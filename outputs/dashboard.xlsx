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diaMainshow-worktrees\4-full-population\outputs\"/>
    </mc:Choice>
  </mc:AlternateContent>
  <xr:revisionPtr revIDLastSave="0" documentId="8_{54D40825-7E93-4E14-AF1E-FFEAFEE4D102}" xr6:coauthVersionLast="47" xr6:coauthVersionMax="47" xr10:uidLastSave="{00000000-0000-0000-0000-000000000000}"/>
  <bookViews>
    <workbookView xWindow="-98" yWindow="-98" windowWidth="22276" windowHeight="13276" activeTab="1" xr2:uid="{7C40CBBB-9CFE-418B-AA68-498D674E0D84}"/>
  </bookViews>
  <sheets>
    <sheet name="episode_registry" sheetId="1" r:id="rId1"/>
    <sheet name="Dashboard" sheetId="2" r:id="rId2"/>
  </sheets>
  <calcPr calcId="0"/>
</workbook>
</file>

<file path=xl/calcChain.xml><?xml version="1.0" encoding="utf-8"?>
<calcChain xmlns="http://schemas.openxmlformats.org/spreadsheetml/2006/main">
  <c r="A50" i="2" l="1" a="1"/>
  <c r="J66" i="2" a="1"/>
  <c r="G66" i="2" a="1"/>
  <c r="E66" i="2" a="1"/>
  <c r="D66" i="2" a="1"/>
  <c r="B68" i="2"/>
  <c r="B67" i="2"/>
  <c r="B66" i="2"/>
  <c r="J11" i="2"/>
  <c r="G11" i="2"/>
  <c r="D11" i="2" a="1"/>
  <c r="A11" i="2" a="1"/>
  <c r="J6" i="2"/>
  <c r="G6" i="2"/>
  <c r="D6" i="2"/>
  <c r="A6" i="2"/>
  <c r="J2" i="2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<sst xmlns="http://schemas.openxmlformats.org/spreadsheetml/2006/main" count="33388" uniqueCount="7251">
  <si>
    <t>show_id</t>
  </si>
  <si>
    <t>show_name</t>
  </si>
  <si>
    <t>season_id</t>
  </si>
  <si>
    <t>season_year</t>
  </si>
  <si>
    <t>season_status</t>
  </si>
  <si>
    <t>format_type</t>
  </si>
  <si>
    <t>episode_no</t>
  </si>
  <si>
    <t>episode_label</t>
  </si>
  <si>
    <t>part_no</t>
  </si>
  <si>
    <t>video_id</t>
  </si>
  <si>
    <t>video_url</t>
  </si>
  <si>
    <t>title</t>
  </si>
  <si>
    <t>normalized_title</t>
  </si>
  <si>
    <t>channel_id</t>
  </si>
  <si>
    <t>channel_name</t>
  </si>
  <si>
    <t>channel_authority</t>
  </si>
  <si>
    <t>playlist_id</t>
  </si>
  <si>
    <t>playlist_name</t>
  </si>
  <si>
    <t>playlist_position</t>
  </si>
  <si>
    <t>published_at</t>
  </si>
  <si>
    <t>duration_seconds</t>
  </si>
  <si>
    <t>season_median_duration</t>
  </si>
  <si>
    <t>duration_ratio</t>
  </si>
  <si>
    <t>duration_flag</t>
  </si>
  <si>
    <t>snapshot_at</t>
  </si>
  <si>
    <t>age_days</t>
  </si>
  <si>
    <t>lifetime_views_per_day</t>
  </si>
  <si>
    <t>view_count</t>
  </si>
  <si>
    <t>mainshow_flag</t>
  </si>
  <si>
    <t>canonical_flag</t>
  </si>
  <si>
    <t>split_episode_flag</t>
  </si>
  <si>
    <t>reupload_flag</t>
  </si>
  <si>
    <t>availability_status</t>
  </si>
  <si>
    <t>classifier_score</t>
  </si>
  <si>
    <t>classifier_confidence</t>
  </si>
  <si>
    <t>review_status</t>
  </si>
  <si>
    <t>exclusion_reason</t>
  </si>
  <si>
    <t>notes</t>
  </si>
  <si>
    <t>discovery_method</t>
  </si>
  <si>
    <t>actor_name</t>
  </si>
  <si>
    <t>actor_run_id</t>
  </si>
  <si>
    <t>source_url</t>
  </si>
  <si>
    <t>ATSH</t>
  </si>
  <si>
    <t>Anh Trai "Say Hi"</t>
  </si>
  <si>
    <t>ATSH_2024</t>
  </si>
  <si>
    <t>completed</t>
  </si>
  <si>
    <t>closed_season</t>
  </si>
  <si>
    <t>r-RUnz9gPbw</t>
  </si>
  <si>
    <t>https://www.youtube.com/watch?v=r-RUnz9gPbw&amp;list=PLxKLMN7WdG5AYDsDPTbq7zZTpOTGH7ay6&amp;index=22</t>
  </si>
  <si>
    <t>Anh trai Erik - VP Bá Vương - Hải Đăng Doo - Roy Nguyễn - JSOL chiếm trọn ánh nhìn với Laviu|Sóng 24</t>
  </si>
  <si>
    <t>anh trai erik vp ba vuong hai dang doo roy nguyen jsol chiem tron anh nhin voi laviu song 24</t>
  </si>
  <si>
    <t>UCkna2OcuN1E6u5I8GVtdkOw</t>
  </si>
  <si>
    <t xml:space="preserve">Vie Channel </t>
  </si>
  <si>
    <t>primary_broadcaster</t>
  </si>
  <si>
    <t>PLxKLMN7WdG5AYDsDPTbq7zZTpOTGH7ay6</t>
  </si>
  <si>
    <t>2024-02-11T04:00:17.000Z</t>
  </si>
  <si>
    <t>strong_reject_short</t>
  </si>
  <si>
    <t>2026-08-12T12:44:06.975475+07:00</t>
  </si>
  <si>
    <t>available</t>
  </si>
  <si>
    <t>HIGH</t>
  </si>
  <si>
    <t>EXCLUDE</t>
  </si>
  <si>
    <t>official_channel;official_full_playlist;show_alias_missing</t>
  </si>
  <si>
    <t>official_playlist</t>
  </si>
  <si>
    <t>streamers/youtube-scraper</t>
  </si>
  <si>
    <t>6aaRakgaGJxf19zR1</t>
  </si>
  <si>
    <t>XMXtFmrySgQ</t>
  </si>
  <si>
    <t>https://www.youtube.com/watch?v=XMXtFmrySgQ&amp;list=PLxKLMN7WdG5AYDsDPTbq7zZTpOTGH7ay6&amp;index=8</t>
  </si>
  <si>
    <t>Anh Trai Say Hi Tập 8: Team Rhyder - Anh Tú bùng nổ, cú lội ngược dòng từ vòng Dance Battle nảy lửa</t>
  </si>
  <si>
    <t>anh trai say hi tap 8 team rhyder anh tu bung no cu loi nguoc dong tu vong dance battle nay lua</t>
  </si>
  <si>
    <t>2024-08-10T13:00:06.000Z</t>
  </si>
  <si>
    <t>normal</t>
  </si>
  <si>
    <t>INCLUDE</t>
  </si>
  <si>
    <t>show_alias;numbered_episode;official_channel;official_full_playlist;plausible_duration</t>
  </si>
  <si>
    <t>Dov2pHhp0Ko</t>
  </si>
  <si>
    <t>https://www.youtube.com/watch?v=Dov2pHhp0Ko&amp;list=PLxKLMN7WdG5AYDsDPTbq7zZTpOTGH7ay6&amp;index=24</t>
  </si>
  <si>
    <t>BTS: Anh trai Song Luân giữ nhiệm vụ "làm màu sân cỏ", đòi phạt thẻ đỏ A Bắp - Gin</t>
  </si>
  <si>
    <t>bts anh trai song luan giu nhiem vu lam mau san co doi phat the do a bap gin</t>
  </si>
  <si>
    <t>2024-04-25T05:57:24.000Z</t>
  </si>
  <si>
    <t>bts</t>
  </si>
  <si>
    <t>hard_exclusion:bts</t>
  </si>
  <si>
    <t>13gXCV5Q3Bw</t>
  </si>
  <si>
    <t>https://www.youtube.com/watch?v=13gXCV5Q3Bw&amp;list=PLxKLMN7WdG5AYDsDPTbq7zZTpOTGH7ay6&amp;index=14</t>
  </si>
  <si>
    <t>Anh Trai Say Hi - Tập 2: Nanon xuất hiện đốt cháy sân khấu, 6 đội trưởng vỡ òa vì cú twist phút cuối</t>
  </si>
  <si>
    <t>anh trai say hi tap 2 nanon xuat hien dot chay san khau 6 doi truong vo oa vi cu twist phut cuoi</t>
  </si>
  <si>
    <t>2024-06-22T13:00:06.000Z</t>
  </si>
  <si>
    <t>QJx96CYpJNU</t>
  </si>
  <si>
    <t>https://www.youtube.com/watch?v=QJx96CYpJNU&amp;list=PLxKLMN7WdG5AYDsDPTbq7zZTpOTGH7ay6&amp;index=7</t>
  </si>
  <si>
    <t>Anh Trai Say Hi Tập 9: Hội anh em - hội kịch liên tục hội ngộ, vô số anh trai đánh mất nụ hôn đầu</t>
  </si>
  <si>
    <t>anh trai say hi tap 9 hoi anh em hoi kich lien tuc hoi ngo vo so anh trai danh mat nu hon dau</t>
  </si>
  <si>
    <t>UC2Lgi2uPsOcCVF3imz7l2mg</t>
  </si>
  <si>
    <t>Vie GIẢITRÍ</t>
  </si>
  <si>
    <t>official_distribution_partner</t>
  </si>
  <si>
    <t>2024-08-17T13:00:08.000Z</t>
  </si>
  <si>
    <t>4d_Uctu_wWI</t>
  </si>
  <si>
    <t>https://www.youtube.com/watch?v=4d_Uctu_wWI&amp;list=PLxKLMN7WdG5AYDsDPTbq7zZTpOTGH7ay6&amp;index=15</t>
  </si>
  <si>
    <t>Anh Trai Say Hi - Tập 1: Cú "knock out" bất ngờ sẽ là BẢNH team ATUS hay I.C.O.N team ISAAC?</t>
  </si>
  <si>
    <t>anh trai say hi tap 1 cu knock out bat ngo se la banh team atus hay i c o n team isaac</t>
  </si>
  <si>
    <t>2024-06-15T13:00:06.000Z</t>
  </si>
  <si>
    <t>bVPfMsREl4g</t>
  </si>
  <si>
    <t>https://www.youtube.com/watch?v=bVPfMsREl4g&amp;list=PLxKLMN7WdG5AYDsDPTbq7zZTpOTGH7ay6&amp;index=13</t>
  </si>
  <si>
    <t>Anh Trai Say Hi - Tập 3: Đại chiến hồ bơi của quản gia Dương Lâm và 30 Anh Trai, lộ diện 8 demo mới</t>
  </si>
  <si>
    <t>anh trai say hi tap 3 dai chien ho boi cua quan gia duong lam va 30 anh trai lo dien 8 demo moi</t>
  </si>
  <si>
    <t>2024-06-29T13:00:07.000Z</t>
  </si>
  <si>
    <t>u76BOoh4Ga8</t>
  </si>
  <si>
    <t>https://www.youtube.com/watch?v=u76BOoh4Ga8&amp;list=PLxKLMN7WdG5AYDsDPTbq7zZTpOTGH7ay6&amp;index=6</t>
  </si>
  <si>
    <t>Anh Trai Say Hi Tập 10: Đắm chìm cùng loạt tiết mục đẳng cấp tại Tứ Kết với mọi cung bậc cảm xúc</t>
  </si>
  <si>
    <t>anh trai say hi tap 10 dam chim cung loat tiet muc dang cap tai tu ket voi moi cung bac cam xuc</t>
  </si>
  <si>
    <t>2024-08-18T13:00:08.000Z</t>
  </si>
  <si>
    <t>0UXCacoRFIw</t>
  </si>
  <si>
    <t>https://www.youtube.com/watch?v=0UXCacoRFIw&amp;list=PLxKLMN7WdG5AYDsDPTbq7zZTpOTGH7ay6&amp;index=29</t>
  </si>
  <si>
    <t>BTS: A Bắp bỏ 100 triệu để đưa anh trai HIEUTHUHAI về đội, GinPu tình bể bình Cris Phan cỡ nào?</t>
  </si>
  <si>
    <t>bts a bap bo 100 trieu de dua anh trai hieuthuhai ve doi ginpu tinh be binh cris phan co nao</t>
  </si>
  <si>
    <t>2024-04-29T05:30:00.000Z</t>
  </si>
  <si>
    <t>UViWc8A8vjA</t>
  </si>
  <si>
    <t>https://www.youtube.com/watch?v=UViWc8A8vjA&amp;list=PLxKLMN7WdG5AYDsDPTbq7zZTpOTGH7ay6&amp;index=10</t>
  </si>
  <si>
    <t>Anh Trai Say Hi Tập 6:Isaac, Rhyder, HIEUTHUHAI, Anh Tú, Dương Domic, Quân A.P all-in lập dream team</t>
  </si>
  <si>
    <t>anh trai say hi tap 6 isaac rhyder hieuthuhai anh tu duong domic quan a p all in lap dream team</t>
  </si>
  <si>
    <t>2024-07-27T13:00:06.000Z</t>
  </si>
  <si>
    <t>cKRcKPXnHgs</t>
  </si>
  <si>
    <t>https://www.youtube.com/watch?v=cKRcKPXnHgs&amp;list=PLxKLMN7WdG5AYDsDPTbq7zZTpOTGH7ay6&amp;index=11</t>
  </si>
  <si>
    <t>Anh Trai Say Hi - Tập 5: 30 Anh Trai đối diện vòng loại đầy hồi hộp, ai sẽ đi tiếp Livestage 3</t>
  </si>
  <si>
    <t>anh trai say hi tap 5 30 anh trai doi dien vong loai day hoi hop ai se di tiep livestage 3</t>
  </si>
  <si>
    <t>2024-07-13T13:00:07.000Z</t>
  </si>
  <si>
    <t>a1MuWPRiqb0</t>
  </si>
  <si>
    <t>https://www.youtube.com/watch?v=a1MuWPRiqb0&amp;list=PLxKLMN7WdG5AYDsDPTbq7zZTpOTGH7ay6&amp;index=27</t>
  </si>
  <si>
    <t>Người nắm giữ thông tin về các Anh Trai "nhả hint" chất lượng #anhtraisayhi #anhtrai #shorts</t>
  </si>
  <si>
    <t>nguoi nam giu thong tin ve cac anh trai nha hint chat luong anhtraisayhi anhtrai shorts</t>
  </si>
  <si>
    <t>2024-04-06T11:00:00.000Z</t>
  </si>
  <si>
    <t>shorts</t>
  </si>
  <si>
    <t>hard_exclusion:shorts</t>
  </si>
  <si>
    <t>7Ox5uiVWaYk</t>
  </si>
  <si>
    <t>https://www.youtube.com/watch?v=7Ox5uiVWaYk&amp;list=PLxKLMN7WdG5AYDsDPTbq7zZTpOTGH7ay6&amp;index=28</t>
  </si>
  <si>
    <t>BTS: Anh trai HURRYKNG nhận kết đắng vì thách thức A Bắp, Cris Phan vùi dập Quỳnh Lý vì pha bóng lỗi</t>
  </si>
  <si>
    <t>bts anh trai hurrykng nhan ket dang vi thach thuc a bap cris phan vui dap quynh ly vi pha bong loi</t>
  </si>
  <si>
    <t>2024-04-27T05:00:03.000Z</t>
  </si>
  <si>
    <t>waxE0tLYEIQ</t>
  </si>
  <si>
    <t>https://www.youtube.com/watch?v=waxE0tLYEIQ&amp;list=PLxKLMN7WdG5AYDsDPTbq7zZTpOTGH7ay6&amp;index=17</t>
  </si>
  <si>
    <t>Teaser THE STARS - MV Theme Song | Anh Trai "Say Hi"</t>
  </si>
  <si>
    <t>teaser the stars mv theme song anh trai say hi</t>
  </si>
  <si>
    <t>2024-06-02T13:00:21.000Z</t>
  </si>
  <si>
    <t>teaser</t>
  </si>
  <si>
    <t>hard_exclusion:teaser</t>
  </si>
  <si>
    <t>xIBKUvuO5Fk</t>
  </si>
  <si>
    <t>https://www.youtube.com/watch?v=xIBKUvuO5Fk&amp;list=PLxKLMN7WdG5AYDsDPTbq7zZTpOTGH7ay6&amp;index=5</t>
  </si>
  <si>
    <t>Anh Trai Say Hi Tập 11: Team HURRYKNG - Atus tạo bất ngờ lớn, hé lộ dàn anh trai góp mặt chung kết</t>
  </si>
  <si>
    <t>anh trai say hi tap 11 team hurrykng atus tao bat ngo lon he lo dan anh trai gop mat chung ket</t>
  </si>
  <si>
    <t>2024-08-24T13:00:08.000Z</t>
  </si>
  <si>
    <t>MH4gUH_BAd0</t>
  </si>
  <si>
    <t>https://www.youtube.com/watch?v=MH4gUH_BAd0&amp;list=PLxKLMN7WdG5AYDsDPTbq7zZTpOTGH7ay6&amp;index=25</t>
  </si>
  <si>
    <t>JustaTee sẵn sàng SUY hết mình với dàn nghệ sĩ trẻ #AnhTraiSayHi #AnhTrai #shorts</t>
  </si>
  <si>
    <t>justatee san sang suy het minh voi dan nghe si tre anhtraisayhi anhtrai shorts</t>
  </si>
  <si>
    <t>2024-04-16T13:00:25.000Z</t>
  </si>
  <si>
    <t>hayn8WRniy0</t>
  </si>
  <si>
    <t>https://www.youtube.com/watch?v=hayn8WRniy0&amp;list=PLxKLMN7WdG5AYDsDPTbq7zZTpOTGH7ay6&amp;index=4</t>
  </si>
  <si>
    <t>Anh Trai Say Hi Tập 12: Dàn anh trai bung hết skill, chơi hết sức với 8 màn solo đêm CHUNG KẾT 1</t>
  </si>
  <si>
    <t>anh trai say hi tap 12 dan anh trai bung het skill choi het suc voi 8 man solo dem chung ket 1</t>
  </si>
  <si>
    <t>2024-08-31T13:00:08.000Z</t>
  </si>
  <si>
    <t>C8I3yL91tPE</t>
  </si>
  <si>
    <t>https://www.youtube.com/watch?v=C8I3yL91tPE&amp;list=PLxKLMN7WdG5AYDsDPTbq7zZTpOTGH7ay6&amp;index=18</t>
  </si>
  <si>
    <t>[Trailer] Isaac, HIEUTHUHAI dẫn đầu liên quân battle "căng đét" với team Anh Tú | Anh Trai "Say Hi"</t>
  </si>
  <si>
    <t>trailer isaac hieuthuhai dan dau lien quan battle cang det voi team anh tu anh trai say hi</t>
  </si>
  <si>
    <t>2024-06-11T14:00:08.000Z</t>
  </si>
  <si>
    <t>trailer</t>
  </si>
  <si>
    <t>hard_exclusion:trailer</t>
  </si>
  <si>
    <t>4CHIUdNfu4Y</t>
  </si>
  <si>
    <t>https://www.youtube.com/watch?v=4CHIUdNfu4Y&amp;list=PLxKLMN7WdG5AYDsDPTbq7zZTpOTGH7ay6&amp;index=20</t>
  </si>
  <si>
    <t>"Say hi": MC Trấn Thành tung hint về dàn Anh Trai và giám đốc âm nhạc xịn xò | Anh Trai "Say Hi"</t>
  </si>
  <si>
    <t>say hi mc tran thanh tung hint ve dan anh trai va giam doc am nhac xin xo anh trai say hi</t>
  </si>
  <si>
    <t>2024-04-10T12:00:06.000Z</t>
  </si>
  <si>
    <t>MEDIUM</t>
  </si>
  <si>
    <t>show_alias;official_channel;official_full_playlist;episode_number_missing;duration_too_short</t>
  </si>
  <si>
    <t>BwErdsjHbYk</t>
  </si>
  <si>
    <t>https://www.youtube.com/watch?v=BwErdsjHbYk&amp;list=PLxKLMN7WdG5AYDsDPTbq7zZTpOTGH7ay6&amp;index=23</t>
  </si>
  <si>
    <t>BTS: Trọn bộ moment đáng giá của Anh Trai HIEUTHUHAI, Bắp - Song Luân không ra sân chỉ "sân si"</t>
  </si>
  <si>
    <t>bts tron bo moment dang gia cua anh trai hieuthuhai bap song luan khong ra san chi san si</t>
  </si>
  <si>
    <t>2024-04-24T06:23:19.000Z</t>
  </si>
  <si>
    <t>0Gf5hvT7mRY</t>
  </si>
  <si>
    <t>https://www.youtube.com/watch?v=0Gf5hvT7mRY&amp;list=PLxKLMN7WdG5AYDsDPTbq7zZTpOTGH7ay6&amp;index=9</t>
  </si>
  <si>
    <t>Anh Trai Say Hi Tập 7: Dàn anh trai cùng khách mời oanh tạc Livestage 3, team nào tạo nên SIÊU PHẨM</t>
  </si>
  <si>
    <t>anh trai say hi tap 7 dan anh trai cung khach moi oanh tac livestage 3 team nao tao nen sieu pham</t>
  </si>
  <si>
    <t>2024-08-03T13:00:07.000Z</t>
  </si>
  <si>
    <t>J3kCVv5SXNk</t>
  </si>
  <si>
    <t>https://www.youtube.com/watch?v=J3kCVv5SXNk&amp;list=PLxKLMN7WdG5AYDsDPTbq7zZTpOTGH7ay6&amp;index=3</t>
  </si>
  <si>
    <t>Anh Trai Say Hi Tập 13: Chấn động đêm CHUNG KẾT 2, mãn nhãn với 8 tiết mục solo bùng cháy sân khấu</t>
  </si>
  <si>
    <t>anh trai say hi tap 13 chan dong dem chung ket 2 man nhan voi 8 tiet muc solo bung chay san khau</t>
  </si>
  <si>
    <t>2024-09-07T13:00:07.000Z</t>
  </si>
  <si>
    <t>qKTqFeRb43w</t>
  </si>
  <si>
    <t>https://www.youtube.com/watch?v=qKTqFeRb43w&amp;list=PLxKLMN7WdG5AYDsDPTbq7zZTpOTGH7ay6&amp;index=2</t>
  </si>
  <si>
    <t>Anh Trai Say Hi Tập 14: Đêm Chung Kết - Công Bố &amp; Trao Giải</t>
  </si>
  <si>
    <t>anh trai say hi tap 14 dem chung ket cong bo trao giai</t>
  </si>
  <si>
    <t>2024-09-14T17:04:34.000Z</t>
  </si>
  <si>
    <t>sZdDZDHLtaU</t>
  </si>
  <si>
    <t>https://www.youtube.com/watch?v=sZdDZDHLtaU&amp;list=PLxKLMN7WdG5AYDsDPTbq7zZTpOTGH7ay6&amp;index=12</t>
  </si>
  <si>
    <t>Anh Trai Say Hi - Tập 4: HIEUTHUHAI, Negav, Song Luân, Isaac mở màn với 4 siêu phẩm phá đảo sân khấu</t>
  </si>
  <si>
    <t>anh trai say hi tap 4 hieuthuhai negav song luan isaac mo man voi 4 sieu pham pha dao san khau</t>
  </si>
  <si>
    <t>2024-07-06T13:00:08.000Z</t>
  </si>
  <si>
    <t>review_short</t>
  </si>
  <si>
    <t>lqp2_F53XPM</t>
  </si>
  <si>
    <t>https://www.youtube.com/watch?v=lqp2_F53XPM&amp;list=PLxKLMN7WdG5AYDsDPTbq7zZTpOTGH7ay6&amp;index=16</t>
  </si>
  <si>
    <t>THE STARS - Official MV Theme Song | Anh Trai "Say Hi"</t>
  </si>
  <si>
    <t>the stars official mv theme song anh trai say hi</t>
  </si>
  <si>
    <t>UC2fu6CiFfNYz5UFORvFyc0w</t>
  </si>
  <si>
    <t>Vie Channel - MUSIC</t>
  </si>
  <si>
    <t>official_music_channel</t>
  </si>
  <si>
    <t>2024-06-05T12:00:07.000Z</t>
  </si>
  <si>
    <t>official mv</t>
  </si>
  <si>
    <t>hard_exclusion:official mv</t>
  </si>
  <si>
    <t>LLsGSQBv5yI</t>
  </si>
  <si>
    <t>https://www.youtube.com/watch?v=LLsGSQBv5yI&amp;list=PLxKLMN7WdG5AYDsDPTbq7zZTpOTGH7ay6&amp;index=19</t>
  </si>
  <si>
    <t>[Teaser] Đại tiệc visual, 30 Anh Trai sẵn sàng bứt phá mọi giới hạn của bản thân | Anh Trai "Say Hi"</t>
  </si>
  <si>
    <t>teaser dai tiec visual 30 anh trai san sang but pha moi gioi han cua ban than anh trai say hi</t>
  </si>
  <si>
    <t>2024-06-07T14:00:29.000Z</t>
  </si>
  <si>
    <t>7Guuuo8jCTM</t>
  </si>
  <si>
    <t>https://www.youtube.com/watch?v=7Guuuo8jCTM&amp;list=PLxKLMN7WdG5AYDsDPTbq7zZTpOTGH7ay6&amp;index=26</t>
  </si>
  <si>
    <t>Trấn Thành tiết lộ liên hoàn hint chấn động về Anh Trai "Say Hi" #AnhTraiSayHi #AnhTrai #shorts</t>
  </si>
  <si>
    <t>tran thanh tiet lo lien hoan hint chan dong ve anh trai say hi anhtraisayhi anhtrai shorts</t>
  </si>
  <si>
    <t>2024-04-11T03:11:25.000Z</t>
  </si>
  <si>
    <t>2V20IKyMqnM</t>
  </si>
  <si>
    <t>https://www.youtube.com/watch?v=2V20IKyMqnM&amp;list=PLxKLMN7WdG5AYDsDPTbq7zZTpOTGH7ay6&amp;index=1</t>
  </si>
  <si>
    <t>Say Hi Rực Rỡ - Tập 3: Hội anh trai trốn khỏi rừng, hé lộ cuốn nhật kí "cảm lạnh" 80 trang</t>
  </si>
  <si>
    <t>say hi ruc ro tap 3 hoi anh trai tron khoi rung he lo cuon nhat ki cam lanh 80 trang</t>
  </si>
  <si>
    <t>UCFMEYTv6N64hIL9FlQ_hxBw</t>
  </si>
  <si>
    <t>ĐÔNG TÂY PROMOTION OFFICIAL</t>
  </si>
  <si>
    <t>primary_producer</t>
  </si>
  <si>
    <t>2026-06-21T13:00:07.000Z</t>
  </si>
  <si>
    <t>numbered_episode;official_channel;official_full_playlist;plausible_duration;show_alias_missing</t>
  </si>
  <si>
    <t>lGepyqJ98uM</t>
  </si>
  <si>
    <t>https://www.youtube.com/watch?v=lGepyqJ98uM&amp;list=PLxKLMN7WdG5AYDsDPTbq7zZTpOTGH7ay6&amp;index=30</t>
  </si>
  <si>
    <t>BTS: Anh trai Gin Tuấn Kiệt được Puka đến tiếp năng lượng, Yuno BigBoi có lăn xả nhưng không đáng kể</t>
  </si>
  <si>
    <t>bts anh trai gin tuan kiet duoc puka den tiep nang luong yuno bigboi co lan xa nhung khong dang ke</t>
  </si>
  <si>
    <t>2024-04-28T05:00:22.000Z</t>
  </si>
  <si>
    <t>JNSfZNYiimg</t>
  </si>
  <si>
    <t>https://www.youtube.com/watch?v=JNSfZNYiimg&amp;list=PLxKLMN7WdG5AYDsDPTbq7zZTpOTGH7ay6&amp;index=21</t>
  </si>
  <si>
    <t>Anh Trai “Say Hi!” chào sân: Hoành tráng, mãn nhãn, 10 điểm không nhưng | Sóng 24</t>
  </si>
  <si>
    <t>anh trai say hi chao san hoanh trang man nhan 10 diem khong nhung song 24</t>
  </si>
  <si>
    <t>2024-02-11T02:00:20.000Z</t>
  </si>
  <si>
    <t>ATSH_2025</t>
  </si>
  <si>
    <t>JLE79Jh5e2U</t>
  </si>
  <si>
    <t>https://www.youtube.com/watch?v=JLE79Jh5e2U</t>
  </si>
  <si>
    <t>Anh Trai Say Hi 2025 -Tập 11: Gay cấn vòng loại cuối, đảo hoang "lật kèo" lộ diện đội hình chung kết</t>
  </si>
  <si>
    <t>anh trai say hi 2025 tap 11 gay can vong loai cuoi dao hoang lat keo lo dien doi hinh chung ket</t>
  </si>
  <si>
    <t>2025-11-22T12:30:11.000Z</t>
  </si>
  <si>
    <t>review_long</t>
  </si>
  <si>
    <t>2026-08-12T13:50:58.446867+07:00</t>
  </si>
  <si>
    <t>show_alias;numbered_episode;official_channel;plausible_duration</t>
  </si>
  <si>
    <t>apify_search</t>
  </si>
  <si>
    <t>M5uwXGq8dZ92waEPT</t>
  </si>
  <si>
    <t>piOfzIT7sQ0</t>
  </si>
  <si>
    <t>https://www.youtube.com/watch?v=piOfzIT7sQ0</t>
  </si>
  <si>
    <t>Anh Trai "Say Hi" 2025 Tập 6: 30 Anh Trai Reply 2000s bùng nổ kí ức,”mùa hoa nở” huyền thoại trở lại</t>
  </si>
  <si>
    <t>anh trai say hi 2025 tap 6 30 anh trai reply 2000s bung no ki uc mua hoa no huyen thoai tro lai</t>
  </si>
  <si>
    <t>2025-10-25T12:30:06.000Z</t>
  </si>
  <si>
    <t>official_duplicate_logical_episode</t>
  </si>
  <si>
    <t>show_alias;numbered_episode;official_channel;plausible_duration;superseded_by_evidence_rank</t>
  </si>
  <si>
    <t>DkPgUmAKEgY</t>
  </si>
  <si>
    <t>https://www.youtube.com/watch?v=DkPgUmAKEgY</t>
  </si>
  <si>
    <t>Anh Trai "Say Hi" 2025-Tập 10:Tàu lượn cảm xúc với loạt tiết mục Livestage4,đại tiệc âm nhạc mãn nhĩ</t>
  </si>
  <si>
    <t>anh trai say hi 2025 tap 10 tau luon cam xuc voi loat tiet muc livestage4 dai tiec am nhac man nhi</t>
  </si>
  <si>
    <t>2025-11-16T12:30:11.000Z</t>
  </si>
  <si>
    <t>Rb3hfEPyJxQ</t>
  </si>
  <si>
    <t>https://www.youtube.com/watch?v=Rb3hfEPyJxQ&amp;list=RDRb3hfEPyJxQ&amp;start_radio=1</t>
  </si>
  <si>
    <t>SECRET - Cody Nam Võ, Quang Hùng MasterD, Wren Evans, CONGB | TINH HÀ SAY HI [PERFORMANCE]</t>
  </si>
  <si>
    <t>secret cody nam vo quang hung masterd wren evans congb tinh ha say hi performance</t>
  </si>
  <si>
    <t>2026-08-09T05:00:06.000Z</t>
  </si>
  <si>
    <t>performance</t>
  </si>
  <si>
    <t>hard_exclusion:performance</t>
  </si>
  <si>
    <t>alsFPwMJGOI</t>
  </si>
  <si>
    <t>https://www.youtube.com/watch?v=alsFPwMJGOI</t>
  </si>
  <si>
    <t>Anh Trai "Say Hi" 2025 Tập 3: Chuyến tàu định mệnh và pha đấu trí gay cấn, Dương Lâm cầu nối cảm xúc</t>
  </si>
  <si>
    <t>anh trai say hi 2025 tap 3 chuyen tau dinh menh va pha dau tri gay can duong lam cau noi cam xuc</t>
  </si>
  <si>
    <t>2025-10-04T12:00:06.000Z</t>
  </si>
  <si>
    <t>hOe5p-yMR_w</t>
  </si>
  <si>
    <t>https://www.youtube.com/watch?v=hOe5p-yMR_w&amp;list=RDhOe5p-yMR_w&amp;start_radio=1</t>
  </si>
  <si>
    <t>RUN TO YOU - Ali Hoàng Dương, IVAN, KIMLONG, Song Luân | TINH HÀ SAY HI [PERFORMANCE]</t>
  </si>
  <si>
    <t>run to you ali hoang duong ivan kimlong song luan tinh ha say hi performance</t>
  </si>
  <si>
    <t>2026-08-09T03:00:06.000Z</t>
  </si>
  <si>
    <t>AtIHwHuj8SQ</t>
  </si>
  <si>
    <t>https://www.youtube.com/watch?v=AtIHwHuj8SQ</t>
  </si>
  <si>
    <t>TINH HÀ SAY HI TẬP 1: 24 Anh Trai đối mặt thử thách MV THEMESONG,ngập tràn twist với độ khó nâng cấp</t>
  </si>
  <si>
    <t>tinh ha say hi tap 1 24 anh trai doi mat thu thach mv themesong ngap tran twist voi do kho nang cap</t>
  </si>
  <si>
    <t>2026-07-04T12:00:06.000Z</t>
  </si>
  <si>
    <t>numbered_episode;official_channel;plausible_duration;show_alias_missing</t>
  </si>
  <si>
    <t>0mQn-pPDLuM</t>
  </si>
  <si>
    <t>https://www.youtube.com/watch?v=0mQn-pPDLuM</t>
  </si>
  <si>
    <t>TINH HÀ SAY HI TẬP 6: Vòng Đấu EP | Team Quang Hùng MasterD - EP: TRẠM ĐẾN EM</t>
  </si>
  <si>
    <t>tinh ha say hi tap 6 vong dau ep team quang hung masterd ep tram den em</t>
  </si>
  <si>
    <t>2026-08-08T13:00:06.000Z</t>
  </si>
  <si>
    <t>6M2Pjtq1OPA</t>
  </si>
  <si>
    <t>https://www.youtube.com/watch?v=6M2Pjtq1OPA&amp;list=RD6M2Pjtq1OPA&amp;start_radio=1</t>
  </si>
  <si>
    <t>Playlist FULL Lyrics  - Ôn Tập Trước Thềm Concert ANH TRAI SAY HI 2025</t>
  </si>
  <si>
    <t>playlist full lyrics on tap truoc them concert anh trai say hi 2025</t>
  </si>
  <si>
    <t>UCzpv5GkSbYqkFdC_lOOi4aQ</t>
  </si>
  <si>
    <t>VieShows</t>
  </si>
  <si>
    <t>unknown</t>
  </si>
  <si>
    <t>2025-12-23T13:00:14.000Z</t>
  </si>
  <si>
    <t>lyrics</t>
  </si>
  <si>
    <t>hard_exclusion:lyrics</t>
  </si>
  <si>
    <t>TH_z2nHyct4</t>
  </si>
  <si>
    <t>https://www.youtube.com/watch?v=TH_z2nHyct4</t>
  </si>
  <si>
    <t>Anh Trai "Say Hi" 2025 -Tập 7: Cuộc đổ bộ 4 siêu phẩm cùng Bảo Thy, MIN, 52Hz, Mỹ Mỹ tại Livestage 3</t>
  </si>
  <si>
    <t>anh trai say hi 2025 tap 7 cuoc do bo 4 sieu pham cung bao thy min 52hz my my tai livestage 3</t>
  </si>
  <si>
    <t>2025-11-01T12:30:11.000Z</t>
  </si>
  <si>
    <t>U_KeF48W4qE</t>
  </si>
  <si>
    <t>https://www.youtube.com/watch?v=U_KeF48W4qE</t>
  </si>
  <si>
    <t>Anh Trai "Say Hi" 2025-Tập 4: Cú nổ lớn ngay tại Livestage 2, 4 đội hình mở màn cuộc chiến khốc liệt</t>
  </si>
  <si>
    <t>anh trai say hi 2025 tap 4 cu no lon ngay tai livestage 2 4 doi hinh mo man cuoc chien khoc liet</t>
  </si>
  <si>
    <t>2025-10-11T13:00:06.000Z</t>
  </si>
  <si>
    <t>DXNSmHHkARY</t>
  </si>
  <si>
    <t>https://www.youtube.com/watch?v=DXNSmHHkARY</t>
  </si>
  <si>
    <t>Anh Trai "Say Hi" 2025 -Tập 5: Cú lội ngược dòng ngoạn mục, 30 Anh Trai bước vào vòng loại nghẹt thở</t>
  </si>
  <si>
    <t>anh trai say hi 2025 tap 5 cu loi nguoc dong ngoan muc 30 anh trai buoc vao vong loai nghet tho</t>
  </si>
  <si>
    <t>2025-10-18T12:30:07.000Z</t>
  </si>
  <si>
    <t>Xdqdt6eobbk</t>
  </si>
  <si>
    <t>https://www.youtube.com/watch?v=Xdqdt6eobbk</t>
  </si>
  <si>
    <t>Anh Trai "Say Hi" 2025 Tập 8: BigDaddy Robber đột phá, Dance Battle với cỗ máy nhảy bí ẩn bung skill</t>
  </si>
  <si>
    <t>anh trai say hi 2025 tap 8 bigdaddy robber dot pha dance battle voi co may nhay bi an bung skill</t>
  </si>
  <si>
    <t>2025-11-08T12:30:11.000Z</t>
  </si>
  <si>
    <t>CXrJ1_dTtz4</t>
  </si>
  <si>
    <t>https://www.youtube.com/watch?v=CXrJ1_dTtz4&amp;list=RDCXrJ1_dTtz4&amp;start_radio=1</t>
  </si>
  <si>
    <t>TRẠM ĐẾN EM - LIÊN QUÂN 2 | Full EP Experience | TINH HÀ SAY HI</t>
  </si>
  <si>
    <t>tram den em lien quan 2 full ep experience tinh ha say hi</t>
  </si>
  <si>
    <t>2026-08-09T02:00:07.000Z</t>
  </si>
  <si>
    <t>show_alias_missing</t>
  </si>
  <si>
    <t>cwlToxaWuL8</t>
  </si>
  <si>
    <t>https://www.youtube.com/watch?v=cwlToxaWuL8&amp;list=RDcwlToxaWuL8&amp;start_radio=1</t>
  </si>
  <si>
    <t>MRT - XUÂN ĐỊNH KY, buitruonglinh, CAPTAIN BOY, HYO | TINH HÀ SAY HI [PERFORMANCE]</t>
  </si>
  <si>
    <t>mrt xuan dinh ky buitruonglinh captain boy hyo tinh ha say hi performance</t>
  </si>
  <si>
    <t>2026-08-09T04:00:06.000Z</t>
  </si>
  <si>
    <t>vs5PyV_nvH8</t>
  </si>
  <si>
    <t>https://www.youtube.com/watch?v=vs5PyV_nvH8</t>
  </si>
  <si>
    <t>[Uncut] Full màn Rap Battle cực chiến của 2 Liên Quân, Ryn Lee xung phong đáp trả | Anh Trai Say Hi</t>
  </si>
  <si>
    <t>uncut full man rap battle cuc chien cua 2 lien quan ryn lee xung phong dap tra anh trai say hi</t>
  </si>
  <si>
    <t>2025-09-23T13:01:50.000Z</t>
  </si>
  <si>
    <t>uncut</t>
  </si>
  <si>
    <t>hard_exclusion:uncut</t>
  </si>
  <si>
    <t>XUvWJyj273c</t>
  </si>
  <si>
    <t>https://www.youtube.com/watch?v=XUvWJyj273c</t>
  </si>
  <si>
    <t>[Uncut] Full màn chia tay đẫm lệ tại vòng loại đáng nhớ, cận cảnh OgeNus "an ủi" các Anh Trai</t>
  </si>
  <si>
    <t>uncut full man chia tay dam le tai vong loai dang nho can canh ogenus an ui cac anh trai</t>
  </si>
  <si>
    <t>2025-10-21T12:59:19.000Z</t>
  </si>
  <si>
    <t>5X8_IxZo8w8</t>
  </si>
  <si>
    <t>https://www.youtube.com/watch?v=5X8_IxZo8w8</t>
  </si>
  <si>
    <t>Anh Trai "Say Hi" 2025 -Tập 1: 30 Anh Trai "Chill Guys Ngon Zai" "Độc Nhất Vô Nhị" chào sân cực chất</t>
  </si>
  <si>
    <t>anh trai say hi 2025 tap 1 30 anh trai chill guys ngon zai doc nhat vo nhi chao san cuc chat</t>
  </si>
  <si>
    <t>2025-09-20T12:00:06.000Z</t>
  </si>
  <si>
    <t>v8WCvNSPSa0</t>
  </si>
  <si>
    <t>https://www.youtube.com/watch?v=v8WCvNSPSa0</t>
  </si>
  <si>
    <t>Anh Trai "Say Hi" 2025 -Tập 2: Team Vũ Cát Tường GILL KHOI VU RIO Sơn.K OgeNus công phá Livestage 1</t>
  </si>
  <si>
    <t>anh trai say hi 2025 tap 2 team vu cat tuong gill khoi vu rio son k ogenus cong pha livestage 1</t>
  </si>
  <si>
    <t>2025-09-27T12:00:06.000Z</t>
  </si>
  <si>
    <t>zjYcqzWbNJE</t>
  </si>
  <si>
    <t>https://www.youtube.com/watch?v=zjYcqzWbNJE</t>
  </si>
  <si>
    <t>Anh Trai "Say Hi" 2025 Tập 9: Chuyến thám hiểm sinh tồn hoang dã, cuộc chiến chọn demo đầy tương tàn</t>
  </si>
  <si>
    <t>anh trai say hi 2025 tap 9 chuyen tham hiem sinh ton hoang da cuoc chien chon demo day tuong tan</t>
  </si>
  <si>
    <t>2025-11-17T00:59:22.000Z</t>
  </si>
  <si>
    <t>2HFRyTKYMAo</t>
  </si>
  <si>
    <t>https://www.youtube.com/watch?v=2HFRyTKYMAo&amp;list=RD2HFRyTKYMAo&amp;start_radio=1</t>
  </si>
  <si>
    <t>Playlist Tinh Hà Say Hi: Tuyển Tập ĐẦY ĐỦ NHẤT Performance 3 Live Stage</t>
  </si>
  <si>
    <t>playlist tinh ha say hi tuyen tap day du nhat performance 3 live stage</t>
  </si>
  <si>
    <t>UCDV0U41nnwOZyKMW4e7oExQ</t>
  </si>
  <si>
    <t>VieSTARS</t>
  </si>
  <si>
    <t>2026-08-10T12:00:03.000Z</t>
  </si>
  <si>
    <t>e-Zg0_bf9lA</t>
  </si>
  <si>
    <t>https://www.youtube.com/watch?v=e-Zg0_bf9lA&amp;list=RDe-Zg0_bf9lA&amp;start_radio=1</t>
  </si>
  <si>
    <t>ĐỘC NHẤT VÔ NHỊ - Liên Quân 2 khiến sân khấu "nổ tung" | Anh Trai Say Hi 2025 Concert [Live Stage]</t>
  </si>
  <si>
    <t>doc nhat vo nhi lien quan 2 khien san khau no tung anh trai say hi 2025 concert live stage</t>
  </si>
  <si>
    <t>2026-01-26T11:01:10.000Z</t>
  </si>
  <si>
    <t>concert</t>
  </si>
  <si>
    <t>hard_exclusion:concert</t>
  </si>
  <si>
    <t>tSshdpvm2ko</t>
  </si>
  <si>
    <t>https://www.youtube.com/watch?v=tSshdpvm2ko</t>
  </si>
  <si>
    <t>Anh Trai "Say Hi" 2025 Concert Tập 1:Đắm chìm lần nữa vào MỘT ĐÊM ĐÁNG ĐẾM TẠI A MERRY X'MAS CONCERT</t>
  </si>
  <si>
    <t>anh trai say hi 2025 concert tap 1 dam chim lan nua vao mot dem dang dem tai a merry x mas concert</t>
  </si>
  <si>
    <t>2026-01-24T13:00:11.000Z</t>
  </si>
  <si>
    <t>https://www.youtube.com/watch?v=UViWc8A8vjA</t>
  </si>
  <si>
    <t>64Njw-cCJkg</t>
  </si>
  <si>
    <t>https://www.youtube.com/watch?v=64Njw-cCJkg</t>
  </si>
  <si>
    <t>MỜI ĐOÀN MÌNH LÊN SÀN - GILL khiến cả sân khấu phải quẩy cùng | Anh Trai Say Hi 2025 [Livestage]</t>
  </si>
  <si>
    <t>moi doan minh len san gill khien ca san khau phai quay cung anh trai say hi 2025 livestage</t>
  </si>
  <si>
    <t>2025-12-07T06:00:09.000Z</t>
  </si>
  <si>
    <t>show_alias;official_channel;episode_number_missing;duration_too_short</t>
  </si>
  <si>
    <t>vBXDH2nltYY</t>
  </si>
  <si>
    <t>https://www.youtube.com/watch?v=vBXDH2nltYY</t>
  </si>
  <si>
    <t>Anh Trai Say Hi: Tuyển tập khoảnh khắc vui nhất #3 - Chuyến Tàu Định Mệnh của các Anh Trai</t>
  </si>
  <si>
    <t>anh trai say hi tuyen tap khoanh khac vui nhat 3 chuyen tau dinh menh cua cac anh trai</t>
  </si>
  <si>
    <t>2026-03-17T12:00:07.000Z</t>
  </si>
  <si>
    <t>LOW</t>
  </si>
  <si>
    <t>REVIEW</t>
  </si>
  <si>
    <t>show_alias;plausible_duration</t>
  </si>
  <si>
    <t>fBsruxXXeTc</t>
  </si>
  <si>
    <t>https://www.youtube.com/watch?v=fBsruxXXeTc</t>
  </si>
  <si>
    <t>Tổng hợp UNCUT tập 1 Anh Trai Say Hi 2025 – Phần 1: Full màn Say Hi cực bá đạo của 30 Anh Trai</t>
  </si>
  <si>
    <t>tong hop uncut tap 1 anh trai say hi 2025 phan 1 full man say hi cuc ba dao cua 30 anh trai</t>
  </si>
  <si>
    <t>2025-10-09T13:00:06.000Z</t>
  </si>
  <si>
    <t>WeRZqP8TpJo</t>
  </si>
  <si>
    <t>https://www.youtube.com/watch?v=WeRZqP8TpJo</t>
  </si>
  <si>
    <t>NGẤT NGÂY CON GÀ TÂY - Sơn.K, CONGB, BigDaddy, Mason Nguyễn | Anh Trai Say Hi 2025 [Livestage]</t>
  </si>
  <si>
    <t>ngat ngay con ga tay son k congb bigdaddy mason nguyen anh trai say hi 2025 livestage</t>
  </si>
  <si>
    <t>2025-12-14T04:00:36.000Z</t>
  </si>
  <si>
    <t>nxTzWhDwv_Y</t>
  </si>
  <si>
    <t>https://www.youtube.com/watch?v=nxTzWhDwv_Y&amp;list=RDnxTzWhDwv_Y&amp;start_radio=1</t>
  </si>
  <si>
    <t>ALL EYES ON US - Official MV Theme Song | Anh Trai "Say Hi" 2025</t>
  </si>
  <si>
    <t>all eyes on us official mv theme song anh trai say hi 2025</t>
  </si>
  <si>
    <t>2025-09-17T13:00:07.000Z</t>
  </si>
  <si>
    <t>BP236Tcs5mk</t>
  </si>
  <si>
    <t>https://www.youtube.com/watch?v=BP236Tcs5mk</t>
  </si>
  <si>
    <t>Toàn cảnh tập nhảy SECRET: CONGB Cody Nam Võ đưa idea khiến biên đạo "bó tay" | Tinh Hà Say Hi Tập 6</t>
  </si>
  <si>
    <t>toan canh tap nhay secret congb cody nam vo dua idea khien bien dao bo tay tinh ha say hi tap 6</t>
  </si>
  <si>
    <t>2026-08-11T05:00:15.000Z</t>
  </si>
  <si>
    <t>numbered_episode;show_alias_missing</t>
  </si>
  <si>
    <t>HdMx4Fq-lxo</t>
  </si>
  <si>
    <t>https://www.youtube.com/watch?v=HdMx4Fq-lxo</t>
  </si>
  <si>
    <t>Anh Trai Say Hi 2025 - Tập 1: 6 Đội tranh tài căng thẳng cố giành Demo hoàn hảo</t>
  </si>
  <si>
    <t>anh trai say hi 2025 tap 1 6 doi tranh tai cang thang co gianh demo hoan hao</t>
  </si>
  <si>
    <t>2025-09-21T05:00:31.000Z</t>
  </si>
  <si>
    <t>show_alias;numbered_episode;official_channel;superseded_by_evidence_rank</t>
  </si>
  <si>
    <t>3ClIC-yT-Fc</t>
  </si>
  <si>
    <t>https://www.youtube.com/watch?v=3ClIC-yT-Fc</t>
  </si>
  <si>
    <t>NGƯỜI NHƯ ANH XỨNG ĐÁNG CÔ ĐƠN - Jey B Negav Vũ Cát Tường Ngô Kiến Huy Karik | Anh Trai Say Hi 2025</t>
  </si>
  <si>
    <t>nguoi nhu anh xung dang co don jey b negav vu cat tuong ngo kien huy karik anh trai say hi 2025</t>
  </si>
  <si>
    <t>2025-09-28T02:00:08.000Z</t>
  </si>
  <si>
    <t>V35glHJioZ8</t>
  </si>
  <si>
    <t>https://www.youtube.com/watch?v=V35glHJioZ8</t>
  </si>
  <si>
    <t>ANH TRAI SAY HI 2025 CONCERT - DAY 1 RECAP: Nhìn lại những khoảnh khắc cháy hết mình của 30 Anh Trai</t>
  </si>
  <si>
    <t>anh trai say hi 2025 concert day 1 recap nhin lai nhung khoanh khac chay het minh cua 30 anh trai</t>
  </si>
  <si>
    <t>2026-02-08T13:00:58.000Z</t>
  </si>
  <si>
    <t>recap</t>
  </si>
  <si>
    <t>hard_exclusion:recap</t>
  </si>
  <si>
    <t>wF0JWdmgYPI</t>
  </si>
  <si>
    <t>https://www.youtube.com/watch?v=wF0JWdmgYPI</t>
  </si>
  <si>
    <t>HIGHLIGHT TẬP 6: Quang Hùng MasterD Dương Domic bật mood Liên Quân Trưởng, màn kết hợp gây tranh cãi</t>
  </si>
  <si>
    <t>highlight tap 6 quang hung masterd duong domic bat mood lien quan truong man ket hop gay tranh cai</t>
  </si>
  <si>
    <t>2026-08-05T13:00:06.000Z</t>
  </si>
  <si>
    <t>highlight</t>
  </si>
  <si>
    <t>hard_exclusion:highlight</t>
  </si>
  <si>
    <t>Pj2qb3E0SqY</t>
  </si>
  <si>
    <t>https://www.youtube.com/watch?v=Pj2qb3E0SqY</t>
  </si>
  <si>
    <t>[Uncut] Ngô Kiến Huy Vũ Cát Tường song kiếm tạo miếng, Thái Ngân "dính bẫy" BigDaddy|Anh Trai Say Hi</t>
  </si>
  <si>
    <t>uncut ngo kien huy vu cat tuong song kiem tao mieng thai ngan dinh bay bigdaddy anh trai say hi</t>
  </si>
  <si>
    <t>2025-10-06T13:19:00.000Z</t>
  </si>
  <si>
    <t>7PH4PalhtQs</t>
  </si>
  <si>
    <t>https://www.youtube.com/watch?v=7PH4PalhtQs&amp;list=RD7PH4PalhtQs&amp;start_radio=1</t>
  </si>
  <si>
    <t>THOÁT RA KHỎI EM - RIO, Phúc Du, Thái Ngân, Jey B | Anh Trai "Say Hi" 2025 [Performance]</t>
  </si>
  <si>
    <t>thoat ra khoi em rio phuc du thai ngan jey b anh trai say hi 2025 performance</t>
  </si>
  <si>
    <t>2025-10-19T02:00:07.000Z</t>
  </si>
  <si>
    <t>0MmOHdJddyE</t>
  </si>
  <si>
    <t>https://www.youtube.com/watch?v=0MmOHdJddyE&amp;list=RD0MmOHdJddyE&amp;start_radio=1</t>
  </si>
  <si>
    <t>SAY HI NEVER SAY GOODBYE - 30 Anh Trai | Anh Trai "Say Hi" Concert 2024</t>
  </si>
  <si>
    <t>say hi never say goodbye 30 anh trai anh trai say hi concert 2024</t>
  </si>
  <si>
    <t>2024-10-19T19:53:54.000Z</t>
  </si>
  <si>
    <t>x7FnxozM6CI</t>
  </si>
  <si>
    <t>https://www.youtube.com/watch?v=x7FnxozM6CI&amp;list=RDx7FnxozM6CI&amp;start_radio=1</t>
  </si>
  <si>
    <t>ẢO ẢNH - Vũ Cát Tường, Ryn Lee, GILL | Anh Trai "Say Hi" 2025 [Performance]</t>
  </si>
  <si>
    <t>ao anh vu cat tuong ryn lee gill anh trai say hi 2025 performance</t>
  </si>
  <si>
    <t>2025-10-19T03:00:07.000Z</t>
  </si>
  <si>
    <t>https://www.youtube.com/watch?v=bVPfMsREl4g</t>
  </si>
  <si>
    <t>ASwhjmbXvDY</t>
  </si>
  <si>
    <t>https://www.youtube.com/watch?v=ASwhjmbXvDY</t>
  </si>
  <si>
    <t>CHILL GUYS NGON ZAI - Liên Quân 1 gây bão với phong cách cực chất |Anh Trai Say Hi 2025 [Live Stage]</t>
  </si>
  <si>
    <t>chill guys ngon zai lien quan 1 gay bao voi phong cach cuc chat anh trai say hi 2025 live stage</t>
  </si>
  <si>
    <t>2025-09-21T02:00:09.000Z</t>
  </si>
  <si>
    <t>Cr5HV-cY9Z0</t>
  </si>
  <si>
    <t>https://www.youtube.com/watch?v=Cr5HV-cY9Z0</t>
  </si>
  <si>
    <t>UNCUT: Cận cảnh cuộc chiến cực căng SONG LUÂN WEAN, tiết lộ lý do HURRYKNG đi trốn | Tinh Hà Say Hi</t>
  </si>
  <si>
    <t>uncut can canh cuoc chien cuc cang song luan wean tiet lo ly do hurrykng di tron tinh ha say hi</t>
  </si>
  <si>
    <t>2026-08-10T05:15:05.000Z</t>
  </si>
  <si>
    <t>H0t99yQWJeA</t>
  </si>
  <si>
    <t>https://www.youtube.com/watch?v=H0t99yQWJeA&amp;list=RDH0t99yQWJeA&amp;start_radio=1</t>
  </si>
  <si>
    <t>NGẤT NGÂY CON GÀ TÂY - Anh Trai Say Hi 2025 Concert - Sơn.K, CONGB, BigDaddy, Mason Nguyễn</t>
  </si>
  <si>
    <t>ngat ngay con ga tay anh trai say hi 2025 concert son k congb bigdaddy mason nguyen</t>
  </si>
  <si>
    <t>2026-03-16T16:30:06.000Z</t>
  </si>
  <si>
    <t>sH9fdyS8Oxw</t>
  </si>
  <si>
    <t>https://www.youtube.com/watch?v=sH9fdyS8Oxw</t>
  </si>
  <si>
    <t>Nghi vấn CAPTAIN BOY cài người nhà, ĐỘI VÔ ĐỊNH "xin vía" TOP 1, buitruonglinh HYO tranh giải Oscars</t>
  </si>
  <si>
    <t>nghi van captain boy cai nguoi nha doi vo dinh xin via top 1 buitruonglinh hyo tranh giai oscars</t>
  </si>
  <si>
    <t>2026-08-07T04:20:39.000Z</t>
  </si>
  <si>
    <t>official_channel;show_alias_missing</t>
  </si>
  <si>
    <t>5y_35sqk-iU</t>
  </si>
  <si>
    <t>https://www.youtube.com/watch?v=5y_35sqk-iU&amp;list=RD5y_35sqk-iU&amp;start_radio=1</t>
  </si>
  <si>
    <t>AI YÊU ANH NHẤT - B Ray, NEGAV, GILL, Vương Bình | Anh Trai Say Hi 2025 [Livestage]</t>
  </si>
  <si>
    <t>ai yeu anh nhat b ray negav gill vuong binh anh trai say hi 2025 livestage</t>
  </si>
  <si>
    <t>2025-12-14T06:00:12.000Z</t>
  </si>
  <si>
    <t>tqxAaVe8KH0</t>
  </si>
  <si>
    <t>https://www.youtube.com/watch?v=tqxAaVe8KH0</t>
  </si>
  <si>
    <t>Tinh Hà "Say Hi" Teaser Trailer | TẬP 1 CHÍNH THỨC PHÁT SÓNG: 20H00 I THỨ BẢY 04.07.2026</t>
  </si>
  <si>
    <t>tinh ha say hi teaser trailer tap 1 chinh thuc phat song 20h00 i thu bay 04 07 2026</t>
  </si>
  <si>
    <t>2026-06-24T12:00:33.000Z</t>
  </si>
  <si>
    <t>eUEJe8EFe64</t>
  </si>
  <si>
    <t>https://www.youtube.com/watch?v=eUEJe8EFe64</t>
  </si>
  <si>
    <t>UNCUT: TOP tiêu chí TONGTAI Quang Hùng MasterD "tuyển nhân sự" Game Thể Lực | Tinh Hà Say Hi</t>
  </si>
  <si>
    <t>uncut top tieu chi tongtai quang hung masterd tuyen nhan su game the luc tinh ha say hi</t>
  </si>
  <si>
    <t>2026-08-07T05:20:31.000Z</t>
  </si>
  <si>
    <t>YQRk6iDykHw</t>
  </si>
  <si>
    <t>https://www.youtube.com/watch?v=YQRk6iDykHw</t>
  </si>
  <si>
    <t>[Uncut] Full màn "Say Hi" của dàn Anh Trai, BigDaddy cố vị, BUITRUONGLINH GILL Sơn.K,... show skill</t>
  </si>
  <si>
    <t>uncut full man say hi cua dan anh trai bigdaddy co vi buitruonglinh gill son k show skill</t>
  </si>
  <si>
    <t>2025-10-02T13:01:08.000Z</t>
  </si>
  <si>
    <t>GeCKwuK5W4s</t>
  </si>
  <si>
    <t>https://www.youtube.com/watch?v=GeCKwuK5W4s</t>
  </si>
  <si>
    <t>Anh Trai Say Hi: Tuyển tập khoảnh khắc vui nhất #4 - Đại chiến bể bơi của 30 Anh Trai</t>
  </si>
  <si>
    <t>anh trai say hi tuyen tap khoanh khac vui nhat 4 dai chien be boi cua 30 anh trai</t>
  </si>
  <si>
    <t>2026-03-18T04:00:06.000Z</t>
  </si>
  <si>
    <t>https://www.youtube.com/watch?v=4d_Uctu_wWI</t>
  </si>
  <si>
    <t>TPsm1y7A07c</t>
  </si>
  <si>
    <t>https://www.youtube.com/watch?v=TPsm1y7A07c</t>
  </si>
  <si>
    <t>CHỜ ANH VỀ - B Ray x AMEE x MASEW màn collab vô cùng ấn tượng | Anh Trai Say Hi 2025 [Livestage]</t>
  </si>
  <si>
    <t>cho anh ve b ray x amee x masew man collab vo cung an tuong anh trai say hi 2025 livestage</t>
  </si>
  <si>
    <t>2025-12-07T04:00:35.000Z</t>
  </si>
  <si>
    <t>https://www.youtube.com/watch?v=XMXtFmrySgQ</t>
  </si>
  <si>
    <t>Szg0NmaAZqE</t>
  </si>
  <si>
    <t>https://www.youtube.com/watch?v=Szg0NmaAZqE</t>
  </si>
  <si>
    <t>[Uncut] Full màn trải lòng đầy cảm xúc của 30 Anh Trai, những chia sẻ thầm kín lần đầu được tiết lộ</t>
  </si>
  <si>
    <t>uncut full man trai long day cam xuc cua 30 anh trai nhung chia se tham kin lan dau duoc tiet lo</t>
  </si>
  <si>
    <t>2025-10-08T05:32:06.000Z</t>
  </si>
  <si>
    <t>tWnkq9zIK7A</t>
  </si>
  <si>
    <t>https://www.youtube.com/watch?v=tWnkq9zIK7A</t>
  </si>
  <si>
    <t>[BTS Tập 13] HERMOSA siêu lò vi sóng, các Anh Trai cùng nhau quẩy tại Solo Stage | ATSH 2025</t>
  </si>
  <si>
    <t>bts tap 13 hermosa sieu lo vi song cac anh trai cung nhau quay tai solo stage atsh 2025</t>
  </si>
  <si>
    <t>2025-12-07T11:01:45.000Z</t>
  </si>
  <si>
    <t>UMTDNjOL2KM</t>
  </si>
  <si>
    <t>https://www.youtube.com/watch?v=UMTDNjOL2KM</t>
  </si>
  <si>
    <t>Say Hi Rực Rỡ - Tập 8: Hội anh trai hoang mang với thước phim tự quay, hé lộ đêm trao giải đặc biệt</t>
  </si>
  <si>
    <t>say hi ruc ro tap 8 hoi anh trai hoang mang voi thuoc phim tu quay he lo dem trao giai dac biet</t>
  </si>
  <si>
    <t>2026-07-26T13:00:07.000Z</t>
  </si>
  <si>
    <t>VZrf5Ks9Ixo</t>
  </si>
  <si>
    <t>https://www.youtube.com/watch?v=VZrf5Ks9Ixo</t>
  </si>
  <si>
    <t>HIGHLIGHT TẬP 14: B Ray Karik làm nhạc "socola kẹo mút", Robber quyết hơn thua, team Sơn.K ngất ngây</t>
  </si>
  <si>
    <t>highlight tap 14 b ray karik lam nhac socola keo mut robber quyet hon thua team son k ngat ngay</t>
  </si>
  <si>
    <t>2025-12-12T13:00:44.000Z</t>
  </si>
  <si>
    <t>sTUMLAuZKc4</t>
  </si>
  <si>
    <t>https://www.youtube.com/watch?v=sTUMLAuZKc4</t>
  </si>
  <si>
    <t>[TIẾT LỘ TẬP 13] Team Chạm "HỘI NGỘ", JSOL đến ủng hộ “em trai”</t>
  </si>
  <si>
    <t>tiet lo tap 13 team cham hoi ngo jsol den ung ho em trai</t>
  </si>
  <si>
    <t>UCBVSuk_f8ZCPIQ_KwXEGWFw</t>
  </si>
  <si>
    <t>VieTalents</t>
  </si>
  <si>
    <t>2025-12-06T02:01:05.000Z</t>
  </si>
  <si>
    <t>numbered_episode;plausible_duration;show_alias_missing</t>
  </si>
  <si>
    <t>nU9pgOM-_7s</t>
  </si>
  <si>
    <t>https://www.youtube.com/watch?v=nU9pgOM-_7s</t>
  </si>
  <si>
    <t>Anh Trai Say Hi: Tuyển tập khoảnh khắc vui nhất #14 - Ngô Kiến Huy vào vai boy phố, Karik bị tố cáo</t>
  </si>
  <si>
    <t>anh trai say hi tuyen tap khoanh khac vui nhat 14 ngo kien huy vao vai boy pho karik bi to cao</t>
  </si>
  <si>
    <t>2026-04-01T12:30:06.000Z</t>
  </si>
  <si>
    <t>gYu-XroEElw</t>
  </si>
  <si>
    <t>https://www.youtube.com/watch?v=gYu-XroEElw</t>
  </si>
  <si>
    <t>WALK - HIEUTHUHAI, Negav, HURRYKNG, Pháp Kiều, ISAAC khuấy đảo đêm Chung Kết Anh Trai Say Hi 2025</t>
  </si>
  <si>
    <t>walk hieuthuhai negav hurrykng phap kieu isaac khuay dao dem chung ket anh trai say hi 2025</t>
  </si>
  <si>
    <t>UCGqQeQ4wSCSCKbtxzG5qzlw</t>
  </si>
  <si>
    <t>VieBeauty</t>
  </si>
  <si>
    <t>2025-12-14T11:28:54.000Z</t>
  </si>
  <si>
    <t>show_alias;episode_number_missing;duration_too_short</t>
  </si>
  <si>
    <t>https://www.youtube.com/watch?v=xIBKUvuO5Fk</t>
  </si>
  <si>
    <t>o3kMC5RE1cc</t>
  </si>
  <si>
    <t>https://www.youtube.com/watch?v=o3kMC5RE1cc</t>
  </si>
  <si>
    <t>( Reaction ) Tập 4 - Anh Trai "Say Hi" 2025 | LIVESTAGE 2, TEAM BRAY DIỄN TIẾT MỤC CHUNG KẾT SỚM !!!</t>
  </si>
  <si>
    <t>reaction tap 4 anh trai say hi 2025 livestage 2 team bray dien tiet muc chung ket som</t>
  </si>
  <si>
    <t>UCePQWJZegisuUJDY3Uz5Iag</t>
  </si>
  <si>
    <t>DMax</t>
  </si>
  <si>
    <t>2025-10-13T14:20:06.000Z</t>
  </si>
  <si>
    <t>reaction</t>
  </si>
  <si>
    <t>hard_exclusion:reaction</t>
  </si>
  <si>
    <t>hoXkEDe4Rew</t>
  </si>
  <si>
    <t>https://www.youtube.com/watch?v=hoXkEDe4Rew&amp;list=RDhoXkEDe4Rew&amp;start_radio=1</t>
  </si>
  <si>
    <t>Playlist FULL 10 Tiết Mục Livstage 4 Anh Trai Say Hi - 25 Anh Trai tỏa sáng như thể đêm chung kết</t>
  </si>
  <si>
    <t>playlist full 10 tiet muc livstage 4 anh trai say hi 25 anh trai toa sang nhu the dem chung ket</t>
  </si>
  <si>
    <t>2025-11-24T13:45:06.000Z</t>
  </si>
  <si>
    <t>e6EPRUnbogw</t>
  </si>
  <si>
    <t>https://www.youtube.com/watch?v=e6EPRUnbogw</t>
  </si>
  <si>
    <t>Anh Trai Say Hi 2025-Tập 13: Sự trở về nguyên bản gây bão, dàn Anh Trai “lên sàn” thổi tung sân khấu</t>
  </si>
  <si>
    <t>anh trai say hi 2025 tap 13 su tro ve nguyen ban gay bao dan anh trai len san thoi tung san khau</t>
  </si>
  <si>
    <t>2025-12-06T12:30:11.000Z</t>
  </si>
  <si>
    <t>vIxVFg38U-g</t>
  </si>
  <si>
    <t>https://www.youtube.com/watch?v=vIxVFg38U-g</t>
  </si>
  <si>
    <t>Tập 11: OgeNus ý định giật giải KHÓC XẤU của BigDaddy, Bùi Duy Ngọc xuất hiện | Anh Trai Say Hi 2025</t>
  </si>
  <si>
    <t>tap 11 ogenus y dinh giat giai khoc xau cua bigdaddy bui duy ngoc xuat hien anh trai say hi 2025</t>
  </si>
  <si>
    <t>2025-11-22T07:01:22.000Z</t>
  </si>
  <si>
    <t>https://www.youtube.com/watch?v=QJx96CYpJNU</t>
  </si>
  <si>
    <t>ReC2ZGbo7n4</t>
  </si>
  <si>
    <t>https://www.youtube.com/watch?v=ReC2ZGbo7n4</t>
  </si>
  <si>
    <t>HIGHLIGHT TẬP 9: Lộ diện 2 "thủ lĩnh mới", B Ray Robber "lặng người" với 2H mất ngủ cùng Jaysonlei</t>
  </si>
  <si>
    <t>highlight tap 9 lo dien 2 thu linh moi b ray robber lang nguoi voi 2h mat ngu cung jaysonlei</t>
  </si>
  <si>
    <t>2025-11-12T13:00:55.000Z</t>
  </si>
  <si>
    <t>https://www.youtube.com/watch?v=hayn8WRniy0</t>
  </si>
  <si>
    <t>Aqs13OxE9rs</t>
  </si>
  <si>
    <t>https://www.youtube.com/watch?v=Aqs13OxE9rs</t>
  </si>
  <si>
    <t>[Uncut] B Ray Robber rủ Thái Ngân giữ chuỗi đi thi, Ngô Kiến Huy khiếu nại miếng nội bộ của CONGB</t>
  </si>
  <si>
    <t>uncut b ray robber ru thai ngan giu chuoi di thi ngo kien huy khieu nai mieng noi bo cua congb</t>
  </si>
  <si>
    <t>2025-12-05T05:05:16.000Z</t>
  </si>
  <si>
    <t>bk-lKnwLztc</t>
  </si>
  <si>
    <t>https://www.youtube.com/watch?v=bk-lKnwLztc</t>
  </si>
  <si>
    <t>Anh Trai Say Hi 2025-Tập 12: Thăng hoa cảm xúc với loạt tiết mục solo bùng nổ mang đậm màu sắc riêng</t>
  </si>
  <si>
    <t>anh trai say hi 2025 tap 12 thang hoa cam xuc voi loat tiet muc solo bung no mang dam mau sac rieng</t>
  </si>
  <si>
    <t>2025-11-29T12:30:11.000Z</t>
  </si>
  <si>
    <t>_5-4wH4aiLU</t>
  </si>
  <si>
    <t>https://www.youtube.com/watch?v=_5-4wH4aiLU</t>
  </si>
  <si>
    <t>[BTS TẬP 10] Karik, B Ray "này nọ" với CONGB, Ngô Kiến Huy bị vạ lây vì chung team | ATSH 2025</t>
  </si>
  <si>
    <t>bts tap 10 karik b ray nay no voi congb ngo kien huy bi va lay vi chung team atsh 2025</t>
  </si>
  <si>
    <t>2025-11-19T03:59:47.000Z</t>
  </si>
  <si>
    <t>kr4xj89HwiI</t>
  </si>
  <si>
    <t>https://www.youtube.com/watch?v=kr4xj89HwiI</t>
  </si>
  <si>
    <t>GAME VÀO PHÒNG: Song Luân WEAN căng sức, Wren Evans bất bình dùm Pháp Kiều | Tinh Hà Say Hi Tập 5</t>
  </si>
  <si>
    <t>game vao phong song luan wean cang suc wren evans bat binh dum phap kieu tinh ha say hi tap 5</t>
  </si>
  <si>
    <t>2026-08-03T12:00:06.000Z</t>
  </si>
  <si>
    <t>H0M2a_ZngVA</t>
  </si>
  <si>
    <t>https://www.youtube.com/watch?v=H0M2a_ZngVA</t>
  </si>
  <si>
    <t>Tổng hợp quảng cáo Anh Trai Say Hi 2025 tập 10 trên HTV2 Vie Channel và ON Vie Giải Trí (16/11/2025)</t>
  </si>
  <si>
    <t>tong hop quang cao anh trai say hi 2025 tap 10 tren htv2 vie channel va on vie giai tri 16 11 2025</t>
  </si>
  <si>
    <t>UCWymij6IyhwzdgoCH7kNJ2A</t>
  </si>
  <si>
    <t>Thập cẩm quảng cáo</t>
  </si>
  <si>
    <t>2025-11-17T03:15:26.000Z</t>
  </si>
  <si>
    <t>show_alias;numbered_episode;plausible_duration;source_authority_unverified</t>
  </si>
  <si>
    <t>https://www.youtube.com/watch?v=-jba7xVTqVA</t>
  </si>
  <si>
    <t>[UNCUT TẬP 5] Cận cảnh biểu cảm của các Anh Trai khi biết top 6 bị loại | Anh Trai Say Hi 2025</t>
  </si>
  <si>
    <t>uncut tap 5 can canh bieu cam cua cac anh trai khi biet top 6 bi loai anh trai say hi 2025</t>
  </si>
  <si>
    <t>2025-10-22T11:00:01.000Z</t>
  </si>
  <si>
    <t>9oe2Hk0vTxE</t>
  </si>
  <si>
    <t>https://www.youtube.com/watch?v=9oe2Hk0vTxE</t>
  </si>
  <si>
    <t>TINH HÀ SAY HI TẬP 2: 24 Anh Trai nâng cấp cuộc chiến, tranh đấu với 6 set quay Performance Video</t>
  </si>
  <si>
    <t>tinh ha say hi tap 2 24 anh trai nang cap cuoc chien tranh dau voi 6 set quay performance video</t>
  </si>
  <si>
    <t>2026-07-11T13:00:06.000Z</t>
  </si>
  <si>
    <t>https://www.youtube.com/watch?v=u76BOoh4Ga8</t>
  </si>
  <si>
    <t>_Fq2eGjRnmo</t>
  </si>
  <si>
    <t>https://www.youtube.com/watch?v=_Fq2eGjRnmo</t>
  </si>
  <si>
    <t>Anh Trai "Say Hi" 2025 - Tập 14: Đêm Chung Kết - Công Bố &amp; Trao Giải</t>
  </si>
  <si>
    <t>anh trai say hi 2025 tap 14 dem chung ket cong bo trao giai</t>
  </si>
  <si>
    <t>2025-12-13T17:11:46.000Z</t>
  </si>
  <si>
    <t>EXSH</t>
  </si>
  <si>
    <t>Em Xinh "Say Hi"</t>
  </si>
  <si>
    <t>EXSH_2025</t>
  </si>
  <si>
    <t>DDJXbr6NlCI</t>
  </si>
  <si>
    <t>https://www.youtube.com/watch?v=DDJXbr6NlCI&amp;list=PLxKLMN7WdG5D1LrbMdeJMn_fL9FrQbJ6V&amp;index=10</t>
  </si>
  <si>
    <t>Em Xinh Say Hi Tập 5: 4 màn so tài nghẹt thở, Em Xinh nào sẽ dừng chân sau Livestage 2 đầy cảm xúc?</t>
  </si>
  <si>
    <t>em xinh say hi tap 5 4 man so tai nghet tho em xinh nao se dung chan sau livestage 2 day cam xuc</t>
  </si>
  <si>
    <t>PLxKLMN7WdG5D1LrbMdeJMn_fL9FrQbJ6V</t>
  </si>
  <si>
    <t>2025-06-28T13:00:06.000Z</t>
  </si>
  <si>
    <t>2026-08-12T13:28:03.124842+07:00</t>
  </si>
  <si>
    <t>TixQy2mPtqIl9j2Dw</t>
  </si>
  <si>
    <t>GNW7dLmYUV8</t>
  </si>
  <si>
    <t>https://www.youtube.com/watch?v=GNW7dLmYUV8&amp;list=PLxKLMN7WdG5D1LrbMdeJMn_fL9FrQbJ6V&amp;index=23</t>
  </si>
  <si>
    <t>Phương Ly, Bảo Anh flex thế mạnh khiến ai cũng dè chừng, thế hệ cợt nhả Hoàng Duyên, Ngô Lan Hương</t>
  </si>
  <si>
    <t>phuong ly bao anh flex the manh khien ai cung de chung the he cot nha hoang duyen ngo lan huong</t>
  </si>
  <si>
    <t>2025-05-27T05:00:13.000Z</t>
  </si>
  <si>
    <t>Qzc1gq34szk</t>
  </si>
  <si>
    <t>https://www.youtube.com/watch?v=Qzc1gq34szk&amp;list=PLxKLMN7WdG5D1LrbMdeJMn_fL9FrQbJ6V&amp;index=21</t>
  </si>
  <si>
    <t>Em Xinh Bích Phương đến với chương trình với năng lượng 100% vui vẻ #shorts #EmXinhSayHi #EmXinh</t>
  </si>
  <si>
    <t>em xinh bich phuong den voi chuong trinh voi nang luong 100 vui ve shorts emxinhsayhi emxinh</t>
  </si>
  <si>
    <t>2025-05-05T07:00:32.000Z</t>
  </si>
  <si>
    <t>hiVt64PSzI0</t>
  </si>
  <si>
    <t>https://www.youtube.com/watch?v=hiVt64PSzI0&amp;list=PLxKLMN7WdG5D1LrbMdeJMn_fL9FrQbJ6V&amp;index=9</t>
  </si>
  <si>
    <t>Em Xinh Say Hi Tập 6: Lộ diện 6 đội chinh chiến Livestage 3, bất ngờ với luật chơi mới đầy khốc liệt</t>
  </si>
  <si>
    <t>em xinh say hi tap 6 lo dien 6 doi chinh chien livestage 3 bat ngo voi luat choi moi day khoc liet</t>
  </si>
  <si>
    <t>2025-07-05T13:00:06.000Z</t>
  </si>
  <si>
    <t>zYdWhh60euQ</t>
  </si>
  <si>
    <t>https://www.youtube.com/watch?v=zYdWhh60euQ&amp;list=PLxKLMN7WdG5D1LrbMdeJMn_fL9FrQbJ6V&amp;index=14</t>
  </si>
  <si>
    <t>Em Xinh Say Hi Tập 1: “Đã Xinh Lại Còn Thông Minh” tỏa sáng, “AAA” phản đòn – Cú hit gọi tên ai?</t>
  </si>
  <si>
    <t>em xinh say hi tap 1 da xinh lai con thong minh toa sang aaa phan don cu hit goi ten ai</t>
  </si>
  <si>
    <t>2025-05-31T12:30:06.000Z</t>
  </si>
  <si>
    <t>YKUsVkMlU4I</t>
  </si>
  <si>
    <t>https://www.youtube.com/watch?v=YKUsVkMlU4I&amp;list=PLxKLMN7WdG5D1LrbMdeJMn_fL9FrQbJ6V&amp;index=16</t>
  </si>
  <si>
    <t>Em Xinh Bích Phương Tiên Tiên giao hữu, Phương Ly Pháo Liu Grace tung chiêu cực căng |Em Xinh Say Hi</t>
  </si>
  <si>
    <t>em xinh bich phuong tien tien giao huu phuong ly phao liu grace tung chieu cuc cang em xinh say hi</t>
  </si>
  <si>
    <t>2025-05-27T13:07:31.000Z</t>
  </si>
  <si>
    <t>p9jiaPI1a18</t>
  </si>
  <si>
    <t>https://www.youtube.com/watch?v=p9jiaPI1a18&amp;list=PLxKLMN7WdG5D1LrbMdeJMn_fL9FrQbJ6V&amp;index=25</t>
  </si>
  <si>
    <t>Em Xinh Han Sara xin chào cả nhàaaa #shorts #EmXinhSayHi #EmXinh</t>
  </si>
  <si>
    <t>em xinh han sara xin chao ca nhaaaa shorts emxinhsayhi emxinh</t>
  </si>
  <si>
    <t>2025-05-06T05:00:47.000Z</t>
  </si>
  <si>
    <t>p6BEWnZ_WjE</t>
  </si>
  <si>
    <t>https://www.youtube.com/watch?v=p6BEWnZ_WjE&amp;list=PLxKLMN7WdG5D1LrbMdeJMn_fL9FrQbJ6V&amp;index=13</t>
  </si>
  <si>
    <t>Em Xinh Say Hi Tập 2: 30 cực phẩm hội tụ - Đại chiến căng thẳng cùng 6 tiết mục dàn dựng công phu</t>
  </si>
  <si>
    <t>em xinh say hi tap 2 30 cuc pham hoi tu dai chien cang thang cung 6 tiet muc dan dung cong phu</t>
  </si>
  <si>
    <t>2025-06-07T13:00:06.000Z</t>
  </si>
  <si>
    <t>0p2FvtMpYDM</t>
  </si>
  <si>
    <t>https://www.youtube.com/watch?v=0p2FvtMpYDM&amp;list=PLxKLMN7WdG5D1LrbMdeJMn_fL9FrQbJ6V&amp;index=26</t>
  </si>
  <si>
    <t>Dàn Em Xinh bùng nổ visual xuất hiện chấn động tại Lễ Ra Mắt 30 Em Xinh | Em Xinh "Say Hi"</t>
  </si>
  <si>
    <t>dan em xinh bung no visual xuat hien chan dong tai le ra mat 30 em xinh em xinh say hi</t>
  </si>
  <si>
    <t>2025-05-22T11:00:03.000Z</t>
  </si>
  <si>
    <t>yHQh2HFU3zE</t>
  </si>
  <si>
    <t>https://www.youtube.com/watch?v=yHQh2HFU3zE&amp;list=PLxKLMN7WdG5D1LrbMdeJMn_fL9FrQbJ6V&amp;index=17</t>
  </si>
  <si>
    <t>Các Anh Trai đã xuất hiện để cổ vũ Em Xinh Say Hi #shorts #emxinhsayhi</t>
  </si>
  <si>
    <t>cac anh trai da xuat hien de co vu em xinh say hi shorts emxinhsayhi</t>
  </si>
  <si>
    <t>2025-05-15T08:30:24.000Z</t>
  </si>
  <si>
    <t>FcdcDXMln7o</t>
  </si>
  <si>
    <t>https://www.youtube.com/watch?v=FcdcDXMln7o&amp;list=PLxKLMN7WdG5D1LrbMdeJMn_fL9FrQbJ6V&amp;index=28</t>
  </si>
  <si>
    <t>Em Xinh Châu Bùi mong chờ thể hiện "Châu Bùi trong âm nhạc" với khán giả #EmXinhSayHi #EmXinh</t>
  </si>
  <si>
    <t>em xinh chau bui mong cho the hien chau bui trong am nhac voi khan gia emxinhsayhi emxinh</t>
  </si>
  <si>
    <t>2025-05-06T07:00:16.000Z</t>
  </si>
  <si>
    <t>8bykG6rb308</t>
  </si>
  <si>
    <t>https://www.youtube.com/watch?v=8bykG6rb308&amp;list=PLxKLMN7WdG5D1LrbMdeJMn_fL9FrQbJ6V&amp;index=19</t>
  </si>
  <si>
    <t>Pháo, Chi Xê, Liu Grace “3 máy nói vô tri” hội tụ, Pháo Liu Grace ngỡ “battle rap”| Em Xinh “Say Hi”</t>
  </si>
  <si>
    <t>phao chi xe liu grace 3 may noi vo tri hoi tu phao liu grace ngo battle rap em xinh say hi</t>
  </si>
  <si>
    <t>2025-05-07T14:00:20.000Z</t>
  </si>
  <si>
    <t>tgmugUoGjNw</t>
  </si>
  <si>
    <t>https://www.youtube.com/watch?v=tgmugUoGjNw&amp;list=PLxKLMN7WdG5D1LrbMdeJMn_fL9FrQbJ6V&amp;index=27</t>
  </si>
  <si>
    <t>Tiên Tiên vào vai EM BÉ của chương trình, Lyly hứa hẹn bộc lộ hết khía cạnh mới | Em Xinh "Say Hi"</t>
  </si>
  <si>
    <t>tien tien vao vai em be cua chuong trinh lyly hua hen boc lo het khia canh moi em xinh say hi</t>
  </si>
  <si>
    <t>2025-05-08T12:01:39.000Z</t>
  </si>
  <si>
    <t>zzP6-SrQ7R8</t>
  </si>
  <si>
    <t>https://www.youtube.com/watch?v=zzP6-SrQ7R8&amp;list=PLxKLMN7WdG5D1LrbMdeJMn_fL9FrQbJ6V&amp;index=7</t>
  </si>
  <si>
    <t>Em Xinh Say Hi Tập 8: Team 52Hz - Mỹ Mỹ toả sáng, Dance Battle bùng nổ cùng loạt nhân tố bí ẩn</t>
  </si>
  <si>
    <t>em xinh say hi tap 8 team 52hz my my toa sang dance battle bung no cung loat nhan to bi an</t>
  </si>
  <si>
    <t>2025-07-19T13:00:06.000Z</t>
  </si>
  <si>
    <t>O-_lQxbES_s</t>
  </si>
  <si>
    <t>https://www.youtube.com/watch?v=O-_lQxbES_s&amp;list=PLxKLMN7WdG5D1LrbMdeJMn_fL9FrQbJ6V&amp;index=3</t>
  </si>
  <si>
    <t>Em Xinh Say Hi Tập 12: Loạt tiết mục solo đẳng cấp trình làng - 8 em xinh mở màn khuấy đảo sân khấu</t>
  </si>
  <si>
    <t>em xinh say hi tap 12 loat tiet muc solo dang cap trinh lang 8 em xinh mo man khuay dao san khau</t>
  </si>
  <si>
    <t>2025-08-16T13:00:06.000Z</t>
  </si>
  <si>
    <t>kK9BT6SVky4</t>
  </si>
  <si>
    <t>https://www.youtube.com/watch?v=kK9BT6SVky4&amp;list=PLxKLMN7WdG5D1LrbMdeJMn_fL9FrQbJ6V&amp;index=30</t>
  </si>
  <si>
    <t>Bích Phương - Bảo Anh - LyLy - Juky San - Đào Tử A1J lộng lẫy đổ bộ họp báo #emxinhsayhi</t>
  </si>
  <si>
    <t>bich phuong bao anh lyly juky san dao tu a1j long lay do bo hop bao emxinhsayhi</t>
  </si>
  <si>
    <t>2025-05-14T11:30:43.000Z</t>
  </si>
  <si>
    <t>https://www.youtube.com/watch?v=-lFBuMLqfPA&amp;list=PLxKLMN7WdG5D1LrbMdeJMn_fL9FrQbJ6V&amp;index=8</t>
  </si>
  <si>
    <t>Em Xinh Say Hi Tập 7: Livestage 3 nóng hơn bao giờ hết, đại tiệc visual cùng loạt siêu phẩm ra mắt</t>
  </si>
  <si>
    <t>em xinh say hi tap 7 livestage 3 nong hon bao gio het dai tiec visual cung loat sieu pham ra mat</t>
  </si>
  <si>
    <t>2025-07-12T13:00:07.000Z</t>
  </si>
  <si>
    <t>nAJdhVe_XGY</t>
  </si>
  <si>
    <t>https://www.youtube.com/watch?v=nAJdhVe_XGY&amp;list=PLxKLMN7WdG5D1LrbMdeJMn_fL9FrQbJ6V&amp;index=6</t>
  </si>
  <si>
    <t>Em Xinh Say Hi Tập 9: Cuộc chiến trò chơi dân gian nảy lửa, 8 demo đỉnh cao lộ diện hứa hẹn bùng nổ</t>
  </si>
  <si>
    <t>em xinh say hi tap 9 cuoc chien tro choi dan gian nay lua 8 demo dinh cao lo dien hua hen bung no</t>
  </si>
  <si>
    <t>2025-07-26T13:00:07.000Z</t>
  </si>
  <si>
    <t>YzMcYwfj3V4</t>
  </si>
  <si>
    <t>https://www.youtube.com/watch?v=YzMcYwfj3V4&amp;list=PLxKLMN7WdG5D1LrbMdeJMn_fL9FrQbJ6V&amp;index=1</t>
  </si>
  <si>
    <t>Em Xinh Say Hi Tập 14: Đêm Chung Kết - Công Bố &amp; Trao Giải</t>
  </si>
  <si>
    <t>em xinh say hi tap 14 dem chung ket cong bo trao giai</t>
  </si>
  <si>
    <t>2025-08-23T17:57:37.000Z</t>
  </si>
  <si>
    <t>oOFm8qIiQdg</t>
  </si>
  <si>
    <t>https://www.youtube.com/watch?v=oOFm8qIiQdg&amp;list=PLxKLMN7WdG5D1LrbMdeJMn_fL9FrQbJ6V&amp;index=29</t>
  </si>
  <si>
    <t>Em Xinh Ngô Lan Hương quyết làm "em xinh thư giãn" #shorts #EmXinhSayHi #EmXinh</t>
  </si>
  <si>
    <t>em xinh ngo lan huong quyet lam em xinh thu gian shorts emxinhsayhi emxinh</t>
  </si>
  <si>
    <t>2025-05-07T05:00:50.000Z</t>
  </si>
  <si>
    <t>O86YTeWG7q4</t>
  </si>
  <si>
    <t>https://www.youtube.com/watch?v=O86YTeWG7q4&amp;list=PLxKLMN7WdG5D1LrbMdeJMn_fL9FrQbJ6V&amp;index=4</t>
  </si>
  <si>
    <t>Em Xinh Say Hi Tập 11: Team Phương Ly - LyHan kết màn cực đẳng cấp, lộ diện đội hình Livestage 5</t>
  </si>
  <si>
    <t>em xinh say hi tap 11 team phuong ly lyhan ket man cuc dang cap lo dien doi hinh livestage 5</t>
  </si>
  <si>
    <t>2025-08-09T13:00:06.000Z</t>
  </si>
  <si>
    <t>piJAY4GF8s0</t>
  </si>
  <si>
    <t>https://www.youtube.com/watch?v=piJAY4GF8s0&amp;list=PLxKLMN7WdG5D1LrbMdeJMn_fL9FrQbJ6V&amp;index=5</t>
  </si>
  <si>
    <t>Em Xinh Say Hi Tập 10: Màn so tài nghẹt thở tại Livestage 4, team nào sẽ giữ vững vị trí HOT CHAIR?</t>
  </si>
  <si>
    <t>em xinh say hi tap 10 man so tai nghet tho tai livestage 4 team nao se giu vung vi tri hot chair</t>
  </si>
  <si>
    <t>2025-08-02T13:00:06.000Z</t>
  </si>
  <si>
    <t>de6UvFKbuZQ</t>
  </si>
  <si>
    <t>https://www.youtube.com/watch?v=de6UvFKbuZQ&amp;list=PLxKLMN7WdG5D1LrbMdeJMn_fL9FrQbJ6V&amp;index=12</t>
  </si>
  <si>
    <t>Em Xinh Say Hi Tập 3: Đại chiến lập đội với màn đấu trí nghẹt thở, Dương Lâm đối đầu thế hệ cợt nhả</t>
  </si>
  <si>
    <t>em xinh say hi tap 3 dai chien lap doi voi man dau tri nghet tho duong lam doi dau the he cot nha</t>
  </si>
  <si>
    <t>2025-06-14T13:00:06.000Z</t>
  </si>
  <si>
    <t>VfQsZe_fhwM</t>
  </si>
  <si>
    <t>https://www.youtube.com/watch?v=VfQsZe_fhwM&amp;list=PLxKLMN7WdG5D1LrbMdeJMn_fL9FrQbJ6V&amp;index=24</t>
  </si>
  <si>
    <t>Hội chị em ĐỒNG GEN mới gặp mà đã ăn ý, Lâm Bảo Ngọc rủ Phương Mỹ Chi đu trend | Em Xinh “Say Hi”</t>
  </si>
  <si>
    <t>hoi chi em dong gen moi gap ma da an y lam bao ngoc ru phuong my chi du trend em xinh say hi</t>
  </si>
  <si>
    <t>2025-05-09T12:00:52.000Z</t>
  </si>
  <si>
    <t>PiYnzheu9-Y</t>
  </si>
  <si>
    <t>https://www.youtube.com/watch?v=PiYnzheu9-Y&amp;list=PLxKLMN7WdG5D1LrbMdeJMn_fL9FrQbJ6V&amp;index=22</t>
  </si>
  <si>
    <t>Bích Phương đính chính "thích lười" - Mộng Cam - Vũ Thảo My theo đuổi hệ tâm linh | Em Xinh “Say Hi”</t>
  </si>
  <si>
    <t>bich phuong dinh chinh thich luoi mong cam vu thao my theo duoi he tam linh em xinh say hi</t>
  </si>
  <si>
    <t>2025-05-14T12:00:46.000Z</t>
  </si>
  <si>
    <t>DNOYwiaVstY</t>
  </si>
  <si>
    <t>https://www.youtube.com/watch?v=DNOYwiaVstY&amp;list=PLxKLMN7WdG5D1LrbMdeJMn_fL9FrQbJ6V&amp;index=2</t>
  </si>
  <si>
    <t>Em Xinh Say Hi Tập 13: Chạm đỉnh cảm xúc cùng 8 tiết mục kết màn vòng SOLO đầy cuốn hút</t>
  </si>
  <si>
    <t>em xinh say hi tap 13 cham dinh cam xuc cung 8 tiet muc ket man vong solo day cuon hut</t>
  </si>
  <si>
    <t>2025-08-17T13:00:06.000Z</t>
  </si>
  <si>
    <t>W82CmMFLINw</t>
  </si>
  <si>
    <t>https://www.youtube.com/watch?v=W82CmMFLINw&amp;list=PLxKLMN7WdG5D1LrbMdeJMn_fL9FrQbJ6V&amp;index=20</t>
  </si>
  <si>
    <t>Bích Phương "chưa chuẩn bị gì hết" khi đến show còn Ánh Sáng AZA thì "chạy cật lực"|Em Xinh "Say Hi"</t>
  </si>
  <si>
    <t>bich phuong chua chuan bi gi het khi den show con anh sang aza thi chay cat luc em xinh say hi</t>
  </si>
  <si>
    <t>2025-05-07T13:00:53.000Z</t>
  </si>
  <si>
    <t>qVliOE9Pg4U</t>
  </si>
  <si>
    <t>https://www.youtube.com/watch?v=qVliOE9Pg4U&amp;list=PLxKLMN7WdG5D1LrbMdeJMn_fL9FrQbJ6V&amp;index=11</t>
  </si>
  <si>
    <t>Em Xinh Say Hi Tập 4: Livestage 2 mở màn cùng 4 tiết mục gây sốt, visual đỉnh – âm nhạc cực chất!</t>
  </si>
  <si>
    <t>em xinh say hi tap 4 livestage 2 mo man cung 4 tiet muc gay sot visual dinh am nhac cuc chat</t>
  </si>
  <si>
    <t>2025-06-21T13:00:06.000Z</t>
  </si>
  <si>
    <t>ReSz2CrbOnA</t>
  </si>
  <si>
    <t>https://www.youtube.com/watch?v=ReSz2CrbOnA&amp;list=PLxKLMN7WdG5D1LrbMdeJMn_fL9FrQbJ6V&amp;index=18</t>
  </si>
  <si>
    <t>Orange được HIEUTHUHAI, Atus khuyên mà lạ lắm, Lamoon mang 100% tích cực đến show | Em Xinh "Say Hi"</t>
  </si>
  <si>
    <t>orange duoc hieuthuhai atus khuyen ma la lam lamoon mang 100 tich cuc den show em xinh say hi</t>
  </si>
  <si>
    <t>2025-05-07T04:00:34.000Z</t>
  </si>
  <si>
    <t>ya31HMyeHX0</t>
  </si>
  <si>
    <t>https://www.youtube.com/watch?v=ya31HMyeHX0&amp;list=PLxKLMN7WdG5D1LrbMdeJMn_fL9FrQbJ6V&amp;index=15</t>
  </si>
  <si>
    <t>THE REAL AURA -  Official MV Theme Song | Em Xinh "Say Hi"</t>
  </si>
  <si>
    <t>the real aura official mv theme song em xinh say hi</t>
  </si>
  <si>
    <t>2025-05-28T13:00:07.000Z</t>
  </si>
  <si>
    <t>THSH</t>
  </si>
  <si>
    <t>Tinh Hà "Say Hi"</t>
  </si>
  <si>
    <t>THSH_2026</t>
  </si>
  <si>
    <t>airing</t>
  </si>
  <si>
    <t>CzJbD44jU6Y</t>
  </si>
  <si>
    <t>https://www.youtube.com/watch?v=CzJbD44jU6Y</t>
  </si>
  <si>
    <t>Pháp Kiều - WEAN mở bát "NỞ HOA", huyền thoại "HOA LÊ" quay lại lợi hại hơn xưa | TINH HÀ SAY HI</t>
  </si>
  <si>
    <t>phap kieu wean mo bat no hoa huyen thoai hoa le quay lai loi hai hon xua tinh ha say hi</t>
  </si>
  <si>
    <t>2026-08-01T02:48:40.000Z</t>
  </si>
  <si>
    <t>2026-08-12T13:52:21.084157+07:00</t>
  </si>
  <si>
    <t>W1tKZGzU3uGHBIo5U</t>
  </si>
  <si>
    <t>9Ydft3BqWXs</t>
  </si>
  <si>
    <t>https://www.youtube.com/watch?v=9Ydft3BqWXs&amp;list=RD9Ydft3BqWXs&amp;start_radio=1</t>
  </si>
  <si>
    <t>MƯA VỘI PHÓNG (MVP) | TINH HÀ SAY HI | OFFICIAL VISUALIZER</t>
  </si>
  <si>
    <t>mua voi phong mvp tinh ha say hi official visualizer</t>
  </si>
  <si>
    <t>2026-08-05T12:00:24.000Z</t>
  </si>
  <si>
    <t>show_alias;numbered_episode;source_authority_unverified</t>
  </si>
  <si>
    <t>E-Yc2gKgu6s</t>
  </si>
  <si>
    <t>https://www.youtube.com/watch?v=E-Yc2gKgu6s</t>
  </si>
  <si>
    <t>TOP 1 CÁI MỎ nói lia lịa như cái chợ khiến các anh trai khác phải NGÁN NGẨM | Tinh Hà Say Hi</t>
  </si>
  <si>
    <t>top 1 cai mo noi lia lia nhu cai cho khien cac anh trai khac phai ngan ngam tinh ha say hi</t>
  </si>
  <si>
    <t>2026-08-07T13:00:39.000Z</t>
  </si>
  <si>
    <t>1ldd8tgMv-M</t>
  </si>
  <si>
    <t>https://www.youtube.com/watch?v=1ldd8tgMv-M</t>
  </si>
  <si>
    <t>TOGETHER WE SHINE | Nhật Ký Phòng Tập - Tinh Hà Say Hi</t>
  </si>
  <si>
    <t>together we shine nhat ky phong tap tinh ha say hi</t>
  </si>
  <si>
    <t>2026-07-09T05:14:37.000Z</t>
  </si>
  <si>
    <t>lDK2rP5ORmo</t>
  </si>
  <si>
    <t>https://www.youtube.com/watch?v=lDK2rP5ORmo</t>
  </si>
  <si>
    <t>NGỌT XỈU khoảnh khắc Dương Domic đón Pháp Kiều về đội y hệt "TRUYỆN CỔ TÍCH" | Tinh Hà Say Hi</t>
  </si>
  <si>
    <t>ngot xiu khoanh khac duong domic don phap kieu ve doi y het truyen co tich tinh ha say hi</t>
  </si>
  <si>
    <t>UC2EDxDPvwukBy5QMy5o2jkQ</t>
  </si>
  <si>
    <t>VieHomiez</t>
  </si>
  <si>
    <t>2026-08-04T12:30:06.000Z</t>
  </si>
  <si>
    <t>NTNZhCQZqs8</t>
  </si>
  <si>
    <t>https://www.youtube.com/watch?v=NTNZhCQZqs8</t>
  </si>
  <si>
    <t>Dương Lâm giữ chuỗi xuất hiện tại "Say Hi", trận bóng KỲ THÚ với 7749 nhân dạng LẠ | TINH HÀ SAY HI</t>
  </si>
  <si>
    <t>duong lam giu chuoi xuat hien tai say hi tran bong ky thu voi 7749 nhan dang la tinh ha say hi</t>
  </si>
  <si>
    <t>2026-07-16T03:41:04.000Z</t>
  </si>
  <si>
    <t>OdqLJ_DHw6M</t>
  </si>
  <si>
    <t>https://www.youtube.com/watch?v=OdqLJ_DHw6M</t>
  </si>
  <si>
    <t>Tinh Hà Say Hi - Tập 3: Lộ diện 6 Đội Trưởng &amp; Full Demo bài hát Live Stage 2</t>
  </si>
  <si>
    <t>tinh ha say hi tap 3 lo dien 6 doi truong full demo bai hat live stage 2</t>
  </si>
  <si>
    <t>2026-07-23T12:00:38.000Z</t>
  </si>
  <si>
    <t>4fk_IdZArYs</t>
  </si>
  <si>
    <t>https://www.youtube.com/watch?v=4fk_IdZArYs</t>
  </si>
  <si>
    <t>Trấn Thành được phen cười ná thở với "trọng tài" Dương Lâm, CONGB và vũ điệu ăn mừng |Tinh Hà Say Hi</t>
  </si>
  <si>
    <t>tran thanh duoc phen cuoi na tho voi trong tai duong lam congb va vu dieu an mung tinh ha say hi</t>
  </si>
  <si>
    <t>2026-07-20T06:54:06.000Z</t>
  </si>
  <si>
    <t>_TY8jqZHuE8</t>
  </si>
  <si>
    <t>https://www.youtube.com/watch?v=_TY8jqZHuE8&amp;list=RD_TY8jqZHuE8&amp;start_radio=1</t>
  </si>
  <si>
    <t>Sảnh chờ TẬP 1 TINH HÀ "SAY HI" - hóng màn ra mắt của 24 Anh Trai cùng playlist nhà "Say Hi"</t>
  </si>
  <si>
    <t>sanh cho tap 1 tinh ha say hi hong man ra mat cua 24 anh trai cung playlist nha say hi</t>
  </si>
  <si>
    <t>2026-07-04T05:00:07.000Z</t>
  </si>
  <si>
    <t>xETexMuAMFw</t>
  </si>
  <si>
    <t>https://www.youtube.com/watch?v=xETexMuAMFw&amp;list=RDxETexMuAMFw&amp;start_radio=1</t>
  </si>
  <si>
    <t>Chill cùng TOP 15 HIT mới nhất từ Tinh Hà "Say Hi": Thế Giới Của Anh, 50 Cuộc Gọi Nhỡ, Mất La Bàn...</t>
  </si>
  <si>
    <t>chill cung top 15 hit moi nhat tu tinh ha say hi the gioi cua anh 50 cuoc goi nho mat la ban</t>
  </si>
  <si>
    <t>2026-08-04T05:10:06.000Z</t>
  </si>
  <si>
    <t>6JYezwyG9Dc</t>
  </si>
  <si>
    <t>https://www.youtube.com/watch?v=6JYezwyG9Dc</t>
  </si>
  <si>
    <t>MRT - XUÂN ĐỊNH KY, buitruonglinh, CAPTAIN BOY, HYO - bản ballad từ EP-TRẠM ĐẾN EM | TINH HÀ SAY HI</t>
  </si>
  <si>
    <t>mrt xuan dinh ky buitruonglinh captain boy hyo ban ballad tu ep tram den em tinh ha say hi</t>
  </si>
  <si>
    <t>2026-08-09T03:30:01.000Z</t>
  </si>
  <si>
    <t>7I9obn4JoNo</t>
  </si>
  <si>
    <t>https://www.youtube.com/watch?v=7I9obn4JoNo</t>
  </si>
  <si>
    <t>[DOLLIE REACTION] TINH HÀ SAY HI TẬP 6: Vòng Đấu EP | Team Quang Hùng MasterD - EP: TRẠM ĐẾN EM</t>
  </si>
  <si>
    <t>dollie reaction tinh ha say hi tap 6 vong dau ep team quang hung masterd ep tram den em</t>
  </si>
  <si>
    <t>UCGFgVaYHsUoHCsoGGl9Koug</t>
  </si>
  <si>
    <t>Dollie nè mấy bà</t>
  </si>
  <si>
    <t>2026-08-11T11:55:58.000Z</t>
  </si>
  <si>
    <t>qG5IGZuYHl8</t>
  </si>
  <si>
    <t>https://www.youtube.com/watch?v=qG5IGZuYHl8</t>
  </si>
  <si>
    <t>Cuộc đua "khắc nghiệt" cỡ nào mà các Anh Trai quằn cỡ này | TINH HÀ SAY HI</t>
  </si>
  <si>
    <t>cuoc dua khac nghiet co nao ma cac anh trai quan co nay tinh ha say hi</t>
  </si>
  <si>
    <t>2026-07-18T02:00:12.000Z</t>
  </si>
  <si>
    <t>IO1vbkRBM20</t>
  </si>
  <si>
    <t>https://www.youtube.com/watch?v=IO1vbkRBM20</t>
  </si>
  <si>
    <t>RUN TO YOU - Ali Hoàng Dương, IVAN, KIMLONG, Song Luân từ EP - TRẠM ĐẾN EM | TINH HÀ SAY HI</t>
  </si>
  <si>
    <t>run to you ali hoang duong ivan kimlong song luan tu ep tram den em tinh ha say hi</t>
  </si>
  <si>
    <t>2026-08-09T04:30:10.000Z</t>
  </si>
  <si>
    <t>F3AAcXvwM3E</t>
  </si>
  <si>
    <t>https://www.youtube.com/watch?v=F3AAcXvwM3E</t>
  </si>
  <si>
    <t>HURRYKNG cười toe toét khi nghe thấy tên Idol và cái kết chọn đội ngã ngửa | Tinh Hà Say Hi</t>
  </si>
  <si>
    <t>hurrykng cuoi toe toet khi nghe thay ten idol va cai ket chon doi nga ngua tinh ha say hi</t>
  </si>
  <si>
    <t>2026-08-03T05:34:27.000Z</t>
  </si>
  <si>
    <t>Dd78O2L9ZIA</t>
  </si>
  <si>
    <t>https://www.youtube.com/watch?v=Dd78O2L9ZIA</t>
  </si>
  <si>
    <t>HURRYKNG soán ngôi "CHƠI DƠ NHẤT", Pháp Kiều truyền gen "XÌ-LAY" cho Ca Siêu | Tinh Hà "Say Hi"</t>
  </si>
  <si>
    <t>hurrykng soan ngoi choi do nhat phap kieu truyen gen xi lay cho ca sieu tinh ha say hi</t>
  </si>
  <si>
    <t>2026-07-20T04:51:24.000Z</t>
  </si>
  <si>
    <t>PWZCdwX6Id0</t>
  </si>
  <si>
    <t>https://www.youtube.com/watch?v=PWZCdwX6Id0</t>
  </si>
  <si>
    <t>BTS: Dương Domic Song Luân tình thương mến thương, CONGB buitruonglinh thị phạm trước Dance Battle</t>
  </si>
  <si>
    <t>bts duong domic song luan tinh thuong men thuong congb buitruonglinh thi pham truoc dance battle</t>
  </si>
  <si>
    <t>2026-08-12T05:01:54.000Z</t>
  </si>
  <si>
    <t>CzOsMP8d5GY</t>
  </si>
  <si>
    <t>https://www.youtube.com/watch?v=CzOsMP8d5GY</t>
  </si>
  <si>
    <t>Cody Nam Võ BẬT KHÓC vì áp lực LẦN ĐẦU LÀM ĐỘI TRƯỞNG khiến các Anh Trai ĐAU LÒNG | Tinh Hà Say Hi</t>
  </si>
  <si>
    <t>cody nam vo bat khoc vi ap luc lan dau lam doi truong khien cac anh trai dau long tinh ha say hi</t>
  </si>
  <si>
    <t>2026-08-11T12:30:06.000Z</t>
  </si>
  <si>
    <t>a_6hZ48Sx_k</t>
  </si>
  <si>
    <t>https://www.youtube.com/watch?v=a_6hZ48Sx_k</t>
  </si>
  <si>
    <t>DANCE PRACTICE | MỘNG DUYÊN - Quang Hùng MasterD, JSOL, Sơn.K, Song Luân | TINH HÀ SAY HI</t>
  </si>
  <si>
    <t>dance practice mong duyen quang hung masterd jsol son k song luan tinh ha say hi</t>
  </si>
  <si>
    <t>2026-08-05T04:01:55.000Z</t>
  </si>
  <si>
    <t>gGzQhCp2SQk</t>
  </si>
  <si>
    <t>https://www.youtube.com/watch?v=gGzQhCp2SQk&amp;list=RDgGzQhCp2SQk&amp;start_radio=1</t>
  </si>
  <si>
    <t>SECRET - LINE DISTRIBUTION - Team Cody Nam Võ | Tinh Hà "Say Hi"</t>
  </si>
  <si>
    <t>secret line distribution team cody nam vo tinh ha say hi</t>
  </si>
  <si>
    <t>2026-08-11T12:00:16.000Z</t>
  </si>
  <si>
    <t>YR82TIJFbwM</t>
  </si>
  <si>
    <t>https://www.youtube.com/watch?v=YR82TIJFbwM</t>
  </si>
  <si>
    <t>NHẬT KÝ “EP: TRẠM ĐẾN EM" team Quang Hùng MasterD, POV: chuyến tàu về quê nghỉ lễ | Tinh Hà Say Hi</t>
  </si>
  <si>
    <t>nhat ky ep tram den em team quang hung masterd pov chuyen tau ve que nghi le tinh ha say hi</t>
  </si>
  <si>
    <t>2026-08-12T04:00:47.000Z</t>
  </si>
  <si>
    <t>2u7MI2f5A1g</t>
  </si>
  <si>
    <t>https://www.youtube.com/watch?v=2u7MI2f5A1g</t>
  </si>
  <si>
    <t>CONGB bật khóc giữa phòng chờ LIVESTAGE 3, JSOL nhận xét đối thủ "CÁI TÔI CAO" | TINH HÀ SAY HI</t>
  </si>
  <si>
    <t>congb bat khoc giua phong cho livestage 3 jsol nhan xet doi thu cai toi cao tinh ha say hi</t>
  </si>
  <si>
    <t>2026-08-06T02:00:35.000Z</t>
  </si>
  <si>
    <t>63mloriuYFI</t>
  </si>
  <si>
    <t>https://www.youtube.com/watch?v=63mloriuYFI</t>
  </si>
  <si>
    <t>Màn "quánh ghen" Song Luân áo quần tả tơi, kết quả của trận chiến cuối mới HẾT HỒN | Tinh Hà Say Hi</t>
  </si>
  <si>
    <t>man quanh ghen song luan ao quan ta toi ket qua cua tran chien cuoi moi het hon tinh ha say hi</t>
  </si>
  <si>
    <t>2026-08-03T03:31:42.000Z</t>
  </si>
  <si>
    <t>pfZ_y-qC9rU</t>
  </si>
  <si>
    <t>https://www.youtube.com/watch?v=pfZ_y-qC9rU</t>
  </si>
  <si>
    <t>Tinh Hà Say Hi Tập 6: Hành trình 14 ngày chạy nước rút hoàn thiện EP Trạm Đến Em của Liên Quân 2</t>
  </si>
  <si>
    <t>tinh ha say hi tap 6 hanh trinh 14 ngay chay nuoc rut hoan thien ep tram den em cua lien quan 2</t>
  </si>
  <si>
    <t>2026-08-12T06:22:17.000Z</t>
  </si>
  <si>
    <t>zoaPaVFD7TY</t>
  </si>
  <si>
    <t>https://www.youtube.com/watch?v=zoaPaVFD7TY</t>
  </si>
  <si>
    <t>Tinh Hà Say Hi - Tập 1: CoolKid "đuổi thẳng" JSOL, HURRYKNG hứa 1 nụ hôn, "cái đuôi nhỏ" VƯƠNG BÌNH</t>
  </si>
  <si>
    <t>tinh ha say hi tap 1 coolkid duoi thang jsol hurrykng hua 1 nu hon cai duoi nho vuong binh</t>
  </si>
  <si>
    <t>2026-07-07T05:00:26.000Z</t>
  </si>
  <si>
    <t>LnZjcfspWfM</t>
  </si>
  <si>
    <t>https://www.youtube.com/watch?v=LnZjcfspWfM</t>
  </si>
  <si>
    <t>TINH HÀ SAY HI TẬP 3: Đại hội thể thao "độc lạ", hé lộ các màn KẾT HỢP LẦN ĐẦU TIÊN tại  Livestage 2</t>
  </si>
  <si>
    <t>tinh ha say hi tap 3 dai hoi the thao doc la he lo cac man ket hop lan dau tien tai livestage 2</t>
  </si>
  <si>
    <t>2026-07-18T12:00:07.000Z</t>
  </si>
  <si>
    <t>sWY60CTYH2Y</t>
  </si>
  <si>
    <t>https://www.youtube.com/watch?v=sWY60CTYH2Y</t>
  </si>
  <si>
    <t>Game Lăn Bóng Tinh Hà: Dàn Anh Trai diện outfit kỳ lạ, quyết chiến giành bóng | Tinh Hà Say Hi Tập 3</t>
  </si>
  <si>
    <t>game lan bong tinh ha dan anh trai dien outfit ky la quyet chien gianh bong tinh ha say hi tap 3</t>
  </si>
  <si>
    <t>2026-07-21T12:00:15.000Z</t>
  </si>
  <si>
    <t>Tn8hY0WsE3I</t>
  </si>
  <si>
    <t>https://www.youtube.com/watch?v=Tn8hY0WsE3I</t>
  </si>
  <si>
    <t>TINH HÀ SAY HI TẬP 4: 6 màn kết hợp với dàn NGHỆ SĨ QUỐC TẾ chưa từng có,sẵn sàng bùng nổ LIVESTAGE2</t>
  </si>
  <si>
    <t>tinh ha say hi tap 4 6 man ket hop voi dan nghe si quoc te chua tung co san sang bung no livestage2</t>
  </si>
  <si>
    <t>2026-07-25T13:00:07.000Z</t>
  </si>
  <si>
    <t>r22u8-lUuQ8</t>
  </si>
  <si>
    <t>https://www.youtube.com/watch?v=r22u8-lUuQ8</t>
  </si>
  <si>
    <t>Game Siêu Tốc Độ: 24 Anh Trai "vắt chân lên cổ" chạy tiếp sức cùng Mascot | Tinh Hà Say Hi Tập 3</t>
  </si>
  <si>
    <t>game sieu toc do 24 anh trai vat chan len co chay tiep suc cung mascot tinh ha say hi tap 3</t>
  </si>
  <si>
    <t>2026-07-21T11:00:00.000Z</t>
  </si>
  <si>
    <t>00vqufE21Xw</t>
  </si>
  <si>
    <t>https://www.youtube.com/watch?v=00vqufE21Xw&amp;list=RD00vqufE21Xw&amp;start_radio=1</t>
  </si>
  <si>
    <t>Sảnh chờ TẬP 6 TINH HÀ "SAY HI" - chờ đón RUN TO YOU, MRT, SECRET cùng Liên Quân 2 tại LIVESTAGE 3</t>
  </si>
  <si>
    <t>sanh cho tap 6 tinh ha say hi cho don run to you mrt secret cung lien quan 2 tai livestage 3</t>
  </si>
  <si>
    <t>2026-08-08T05:00:07.000Z</t>
  </si>
  <si>
    <t>Ilqu9tZJ1_U</t>
  </si>
  <si>
    <t>https://www.youtube.com/watch?v=Ilqu9tZJ1_U</t>
  </si>
  <si>
    <t>HIGHLIGHT TẬP 6 CƯỜI RẦN RẦN: Ali Hoàng Dương nổ Tiếng Anh sai bét và cái kết QUÊ MỘT CỤC | Tinh Hà</t>
  </si>
  <si>
    <t>highlight tap 6 cuoi ran ran ali hoang duong no tieng anh sai bet va cai ket que mot cuc tinh ha</t>
  </si>
  <si>
    <t>2026-08-06T04:15:06.000Z</t>
  </si>
  <si>
    <t>cKWkVIdmqKU</t>
  </si>
  <si>
    <t>https://www.youtube.com/watch?v=cKWkVIdmqKU</t>
  </si>
  <si>
    <t>XEM TRƯỚC TẬP 4: 2 Liên Quân "battle" không thương tiếc, công bố trang phục 6 đội | Tinh Hà Say Hi</t>
  </si>
  <si>
    <t>xem truoc tap 4 2 lien quan battle khong thuong tiec cong bo trang phuc 6 doi tinh ha say hi</t>
  </si>
  <si>
    <t>2026-07-23T03:14:02.000Z</t>
  </si>
  <si>
    <t>xem truoc</t>
  </si>
  <si>
    <t>hard_exclusion:xem truoc</t>
  </si>
  <si>
    <t>v7Wv1olzyNA</t>
  </si>
  <si>
    <t>https://www.youtube.com/watch?v=v7Wv1olzyNA</t>
  </si>
  <si>
    <t>CỰC SỐC "THÂN PHẬN THẬT" của các Anh Trai được tiết lộ trong tập 5, ai là Trùm Cuối | Tinh Hà Say Hi</t>
  </si>
  <si>
    <t>cuc soc than phan that cua cac anh trai duoc tiet lo trong tap 5 ai la trum cuoi tinh ha say hi</t>
  </si>
  <si>
    <t>2026-07-30T13:00:07.000Z</t>
  </si>
  <si>
    <t>StPsQV2sKRY</t>
  </si>
  <si>
    <t>https://www.youtube.com/watch?v=StPsQV2sKRY</t>
  </si>
  <si>
    <t>TINH HÀ SAY HI TẬP 5: Màn chọn đội châm ngòi cuộc chiến 2 Liên Quân khắc nghiệt, đếm ngược Vòng Loại</t>
  </si>
  <si>
    <t>tinh ha say hi tap 5 man chon doi cham ngoi cuoc chien 2 lien quan khac nghiet dem nguoc vong loai</t>
  </si>
  <si>
    <t>2026-08-01T12:00:06.000Z</t>
  </si>
  <si>
    <t>pJWXb8ofStw</t>
  </si>
  <si>
    <t>https://www.youtube.com/watch?v=pJWXb8ofStw</t>
  </si>
  <si>
    <t>Say Hi Rực Rỡ - Tập 2: "Dành Dành" Đức Phúc phát tán sức hút, các anh trai "sợ hãi" Dương Lâm</t>
  </si>
  <si>
    <t>say hi ruc ro tap 2 danh danh duc phuc phat tan suc hut cac anh trai so hai duong lam</t>
  </si>
  <si>
    <t>2026-06-14T13:00:07.000Z</t>
  </si>
  <si>
    <t>efMuQ678sbM</t>
  </si>
  <si>
    <t>https://www.youtube.com/watch?v=efMuQ678sbM&amp;list=RDefMuQ678sbM&amp;start_radio=1</t>
  </si>
  <si>
    <t>Tổng hợp 6 bài hát BÙNG NỔ Livestage 2 TINH HÀ SAY HI: Mộng Duyên, Mưa Vội Phóng, Thế Giới Của Anh..</t>
  </si>
  <si>
    <t>tong hop 6 bai hat bung no livestage 2 tinh ha say hi mong duyen mua voi phong the gioi cua anh</t>
  </si>
  <si>
    <t>2026-07-27T02:51:01.000Z</t>
  </si>
  <si>
    <t>zCnWDjEq-NY</t>
  </si>
  <si>
    <t>https://www.youtube.com/watch?v=zCnWDjEq-NY&amp;list=RDzCnWDjEq-NY&amp;start_radio=1</t>
  </si>
  <si>
    <t>Trọn bộ 12 tiết mục LIVESTAGE 1&amp;2 Tinh Hà "Say Hi" - Mộng Duyên, Mưa Vội Phóng, IDNAT,...</t>
  </si>
  <si>
    <t>tron bo 12 tiet muc livestage 1 2 tinh ha say hi mong duyen mua voi phong idnat</t>
  </si>
  <si>
    <t>2026-07-27T05:00:19.000Z</t>
  </si>
  <si>
    <t>wgOC10x9OX4</t>
  </si>
  <si>
    <t>https://www.youtube.com/watch?v=wgOC10x9OX4&amp;list=RDwgOC10x9OX4&amp;start_radio=1</t>
  </si>
  <si>
    <t>FULL 6 Tiết Mục Live Stage 2 - Tinh Hà Say Hi | Mộng Duyên, Mưa Vội Phóng, Có Gì Đâu Mà Cay,...</t>
  </si>
  <si>
    <t>full 6 tiet muc live stage 2 tinh ha say hi mong duyen mua voi phong co gi dau ma cay</t>
  </si>
  <si>
    <t>2026-07-27T04:53:33.000Z</t>
  </si>
  <si>
    <t>show_alias;official_channel;plausible_duration;source_authority_unverified</t>
  </si>
  <si>
    <t>ywaS_0fVwgM</t>
  </si>
  <si>
    <t>https://www.youtube.com/watch?v=ywaS_0fVwgM</t>
  </si>
  <si>
    <t>[BTS] Tinh tế như Wren Evans chăm sóc IVAN, Ali Hoàng Dương "đâm chọt" WEAN | Tinh Hà Say Hi - Tập 2</t>
  </si>
  <si>
    <t>bts tinh te nhu wren evans cham soc ivan ali hoang duong dam chot wean tinh ha say hi tap 2</t>
  </si>
  <si>
    <t>2026-07-15T06:21:34.000Z</t>
  </si>
  <si>
    <t>L-1bIOHKXIw</t>
  </si>
  <si>
    <t>https://www.youtube.com/watch?v=L-1bIOHKXIw</t>
  </si>
  <si>
    <t>XEM TRƯỚC TẬP 2: IVAN làm thơ tiếng Việt, hé lộ 6 sân khấu Live Stage 1 | Tinh Hà Say Hi - Tập 2</t>
  </si>
  <si>
    <t>xem truoc tap 2 ivan lam tho tieng viet he lo 6 san khau live stage 1 tinh ha say hi tap 2</t>
  </si>
  <si>
    <t>2026-07-11T03:00:33.000Z</t>
  </si>
  <si>
    <t>ZZdWztAF6Qs</t>
  </si>
  <si>
    <t>https://www.youtube.com/watch?v=ZZdWztAF6Qs&amp;list=RDZZdWztAF6Qs&amp;start_radio=1</t>
  </si>
  <si>
    <t>TINH HÀ SAY HI PLAYLIST | FULL 6 TIẾT MỤC LIVESTAGE 2: Mộng Duyên, Thế Giới Của Anh,...</t>
  </si>
  <si>
    <t>tinh ha say hi playlist full 6 tiet muc livestage 2 mong duyen the gioi cua anh</t>
  </si>
  <si>
    <t>2026-08-03T12:00:14.000Z</t>
  </si>
  <si>
    <t>ATVNCG</t>
  </si>
  <si>
    <t>Anh Trai Vượt Ngàn Chông Gai</t>
  </si>
  <si>
    <t>ATVNCG_2024</t>
  </si>
  <si>
    <t>8NbKhGsnJyI</t>
  </si>
  <si>
    <t>https://www.youtube.com/watch?v=8NbKhGsnJyI&amp;list=PLt3LgMEKzFxy03fvdFk_rEtjfVJfD8pUq&amp;index=1</t>
  </si>
  <si>
    <t>Anh Trai Vượt Ngàn Chông Gai 2024 - Tập 15  | GIA TỘC ANH TÀI tạo nên mùa hè 2024 rực rỡ</t>
  </si>
  <si>
    <t>anh trai vuot ngan chong gai 2024 tap 15 gia toc anh tai tao nen mua he 2024 ruc ro</t>
  </si>
  <si>
    <t>UCh_zF2FsiCflCPgYDudtcqg</t>
  </si>
  <si>
    <t>YEAH1 SHOW</t>
  </si>
  <si>
    <t>primary_producer_broadcaster</t>
  </si>
  <si>
    <t>PLt3LgMEKzFxy03fvdFk_rEtjfVJfD8pUq</t>
  </si>
  <si>
    <t>2024-10-19T13:30:07.000Z</t>
  </si>
  <si>
    <t>2026-08-12T13:29:41.176900+07:00</t>
  </si>
  <si>
    <t>5qWXsxtUoecRLfh75</t>
  </si>
  <si>
    <t>QqCausYrRRY</t>
  </si>
  <si>
    <t>https://www.youtube.com/watch?v=QqCausYrRRY&amp;list=PLt3LgMEKzFxy03fvdFk_rEtjfVJfD8pUq&amp;index=6</t>
  </si>
  <si>
    <t>Anh Trai Vượt Ngàn Chông Gai 2024 - Tập 10 | Anh Tài Tự Long TRUYỀN LỬA, 8 sân khấu ĐỈNH NÓC</t>
  </si>
  <si>
    <t>anh trai vuot ngan chong gai 2024 tap 10 anh tai tu long truyen lua 8 san khau dinh noc</t>
  </si>
  <si>
    <t>2024-09-07T13:30:08.000Z</t>
  </si>
  <si>
    <t>G8D8xVwhRy8</t>
  </si>
  <si>
    <t>https://www.youtube.com/watch?v=G8D8xVwhRy8&amp;list=PLt3LgMEKzFxy03fvdFk_rEtjfVJfD8pUq&amp;index=15</t>
  </si>
  <si>
    <t>Anh Trai Vượt Ngàn Chông Gai 2024 - Tập 1 | 33 Anh Tài “bung miếng” &amp; concert cháy hết mình</t>
  </si>
  <si>
    <t>anh trai vuot ngan chong gai 2024 tap 1 33 anh tai bung mieng concert chay het minh</t>
  </si>
  <si>
    <t>2024-06-29T13:30:07.000Z</t>
  </si>
  <si>
    <t>WmHmtuTUBw8</t>
  </si>
  <si>
    <t>https://www.youtube.com/watch?v=WmHmtuTUBw8&amp;list=PLt3LgMEKzFxy03fvdFk_rEtjfVJfD8pUq&amp;index=13</t>
  </si>
  <si>
    <t>Anh Trai Vượt Ngàn Chông Gai 2024 - Tập 3 | Tự Long được săn đón, BB Trần áp lực điểm số?</t>
  </si>
  <si>
    <t>anh trai vuot ngan chong gai 2024 tap 3 tu long duoc san don bb tran ap luc diem so</t>
  </si>
  <si>
    <t>UCecta98cdYVFV6L_lfH__IA</t>
  </si>
  <si>
    <t>YeaH1 Giải Trí</t>
  </si>
  <si>
    <t>2024-07-13T13:30:07.000Z</t>
  </si>
  <si>
    <t>6YAlgIs1ip0</t>
  </si>
  <si>
    <t>https://www.youtube.com/watch?v=6YAlgIs1ip0&amp;list=PLt3LgMEKzFxy03fvdFk_rEtjfVJfD8pUq&amp;index=5</t>
  </si>
  <si>
    <t>Anh Trai Vượt Ngàn Chông Gai 2024 - Tập 11 | RHYMASTIC VS SOOBIN, 2 Anh Tài HỒI SINH là ai?</t>
  </si>
  <si>
    <t>anh trai vuot ngan chong gai 2024 tap 11 rhymastic vs soobin 2 anh tai hoi sinh la ai</t>
  </si>
  <si>
    <t>2024-09-21T21:16:17.000Z</t>
  </si>
  <si>
    <t>HDXbBkkDu6U</t>
  </si>
  <si>
    <t>https://www.youtube.com/watch?v=HDXbBkkDu6U&amp;list=PLt3LgMEKzFxy03fvdFk_rEtjfVJfD8pUq&amp;index=2</t>
  </si>
  <si>
    <t>Anh Trai Vượt Ngàn Chông Gai 2024 - Tập 14 | SUẤT RA MẮT thuộc về Cường Seven hay Tiến Đạt?</t>
  </si>
  <si>
    <t>anh trai vuot ngan chong gai 2024 tap 14 suat ra mat thuoc ve cuong seven hay tien dat</t>
  </si>
  <si>
    <t>2024-10-12T13:30:08.000Z</t>
  </si>
  <si>
    <t>uLiIfZqmneQ</t>
  </si>
  <si>
    <t>https://www.youtube.com/watch?v=uLiIfZqmneQ&amp;list=PLt3LgMEKzFxy03fvdFk_rEtjfVJfD8pUq&amp;index=10</t>
  </si>
  <si>
    <t>Anh Trai Vượt Ngàn Chông Gai 2024 - Tập 6 | Gia Tộc 33 Anh Tài– yêu thương tạo nên sức mạnh</t>
  </si>
  <si>
    <t>anh trai vuot ngan chong gai 2024 tap 6 gia toc 33 anh tai yeu thuong tao nen suc manh</t>
  </si>
  <si>
    <t>2024-08-10T13:30:07.000Z</t>
  </si>
  <si>
    <t>u-qb8Ayxk2Q</t>
  </si>
  <si>
    <t>https://www.youtube.com/watch?v=u-qb8Ayxk2Q&amp;list=PLt3LgMEKzFxy03fvdFk_rEtjfVJfD8pUq&amp;index=9</t>
  </si>
  <si>
    <t>Anh Trai Vượt Ngàn Chông Gai 2024- Tập 7 | Đội hình khủng long lộ diện, ai lên ngôi đầu bếp?</t>
  </si>
  <si>
    <t>anh trai vuot ngan chong gai 2024 tap 7 doi hinh khung long lo dien ai len ngoi dau bep</t>
  </si>
  <si>
    <t>2024-08-17T13:30:09.000Z</t>
  </si>
  <si>
    <t>OVoASkmWlGs</t>
  </si>
  <si>
    <t>https://www.youtube.com/watch?v=OVoASkmWlGs&amp;list=PLt3LgMEKzFxy03fvdFk_rEtjfVJfD8pUq&amp;index=12</t>
  </si>
  <si>
    <t>Anh Trai Vượt Ngàn Chông Gai 2024 - Tập 4 | Duy Khánh, Cường Seven và 8 NHÀ bùng nổ giai điệu tự hào</t>
  </si>
  <si>
    <t>anh trai vuot ngan chong gai 2024 tap 4 duy khanh cuong seven va 8 nha bung no giai dieu tu hao</t>
  </si>
  <si>
    <t>2024-07-27T13:30:07.000Z</t>
  </si>
  <si>
    <t>jFCC3YmHMa4</t>
  </si>
  <si>
    <t>https://www.youtube.com/watch?v=jFCC3YmHMa4&amp;list=PLt3LgMEKzFxy03fvdFk_rEtjfVJfD8pUq&amp;index=14</t>
  </si>
  <si>
    <t>Anh Trai Vượt Ngàn Chông Gai 2024 - Tập 2 | Dàn Anh Tài cùng Tiến Luật, Binz cháy hết mình</t>
  </si>
  <si>
    <t>anh trai vuot ngan chong gai 2024 tap 2 dan anh tai cung tien luat binz chay het minh</t>
  </si>
  <si>
    <t>2024-07-06T13:30:08.000Z</t>
  </si>
  <si>
    <t>4M7tpDj5Ljk</t>
  </si>
  <si>
    <t>https://www.youtube.com/watch?v=4M7tpDj5Ljk&amp;list=PLt3LgMEKzFxy03fvdFk_rEtjfVJfD8pUq&amp;index=11</t>
  </si>
  <si>
    <t>Anh Trai Vượt Ngàn Chông Gai 2024 - Tập 5 | SOOBIN hụt ca khúc, Jun Phạm nắm trọn cơ hội</t>
  </si>
  <si>
    <t>anh trai vuot ngan chong gai 2024 tap 5 soobin hut ca khuc jun pham nam tron co hoi</t>
  </si>
  <si>
    <t>2024-08-03T13:30:09.000Z</t>
  </si>
  <si>
    <t>vE-4_m31wlM</t>
  </si>
  <si>
    <t>https://www.youtube.com/watch?v=vE-4_m31wlM&amp;list=PLt3LgMEKzFxy03fvdFk_rEtjfVJfD8pUq&amp;index=4</t>
  </si>
  <si>
    <t>Anh Trai Vượt Ngàn Chông Gai 2024 - Tập 12 | Công diễn 5 khốc liệt,  Ai sẽ tỏa sáng?</t>
  </si>
  <si>
    <t>anh trai vuot ngan chong gai 2024 tap 12 cong dien 5 khoc liet ai se toa sang</t>
  </si>
  <si>
    <t>2024-09-28T13:30:33.000Z</t>
  </si>
  <si>
    <t>uo0yKLxfzwY</t>
  </si>
  <si>
    <t>https://www.youtube.com/watch?v=uo0yKLxfzwY&amp;list=PLt3LgMEKzFxy03fvdFk_rEtjfVJfD8pUq&amp;index=3</t>
  </si>
  <si>
    <t>Anh Trai Vượt Ngàn Chông Gai 2024-Tập 13 | Kiên Ứng &amp; Hà Lê TRỞ LẠI, giọt nước mắt CHIA TAY</t>
  </si>
  <si>
    <t>anh trai vuot ngan chong gai 2024 tap 13 kien ung ha le tro lai giot nuoc mat chia tay</t>
  </si>
  <si>
    <t>2024-10-05T13:30:29.000Z</t>
  </si>
  <si>
    <t>3Y5hUQzv0e8</t>
  </si>
  <si>
    <t>https://www.youtube.com/watch?v=3Y5hUQzv0e8&amp;list=PLt3LgMEKzFxy03fvdFk_rEtjfVJfD8pUq&amp;index=8</t>
  </si>
  <si>
    <t>Anh Trai Vượt Ngàn Chông Gai 2024 - Tập 8 | Nhà Trẻ, Cá Lớn, Chín Muồi, Mứt Gừng BỨT PHÁ</t>
  </si>
  <si>
    <t>anh trai vuot ngan chong gai 2024 tap 8 nha tre ca lon chin muoi mut gung but pha</t>
  </si>
  <si>
    <t>2024-08-24T14:15:08.000Z</t>
  </si>
  <si>
    <t>YXtIs9-B0IU</t>
  </si>
  <si>
    <t>https://www.youtube.com/watch?v=YXtIs9-B0IU&amp;list=PLt3LgMEKzFxy03fvdFk_rEtjfVJfD8pUq&amp;index=7</t>
  </si>
  <si>
    <t>Anh Trai Vượt Ngàn Chông Gai 2024 -Tập 9 | TIỂU PHẨM trên đồi trà và sự LỘT XÁC của Tuấn Hưng</t>
  </si>
  <si>
    <t>anh trai vuot ngan chong gai 2024 tap 9 tieu pham tren doi tra va su lot xac cua tuan hung</t>
  </si>
  <si>
    <t>2024-08-31T13:30:24.000Z</t>
  </si>
  <si>
    <t>ATVNCG_2026</t>
  </si>
  <si>
    <t>snc1rgD5W1M</t>
  </si>
  <si>
    <t>https://www.youtube.com/watch?v=snc1rgD5W1M&amp;list=PLdWk-MlnCC7M&amp;index=4</t>
  </si>
  <si>
    <t>ANH TRAI VƯỢT NGÀN CHÔNG GAI 2026 - Tập 4 | ẨN SỐ nào đang được khán giả mong chờ ở Bảng Đấu Hắc Mã</t>
  </si>
  <si>
    <t>anh trai vuot ngan chong gai 2026 tap 4 an so nao dang duoc khan gia mong cho o bang dau hac ma</t>
  </si>
  <si>
    <t>PLdWk-MlnCC7M</t>
  </si>
  <si>
    <t>2026-07-25T13:30:06.000Z</t>
  </si>
  <si>
    <t>2026-08-12T13:30:02.436913+07:00</t>
  </si>
  <si>
    <t>swmXfvSodtaAJA8Jm</t>
  </si>
  <si>
    <t>8gPXKl3BpMc</t>
  </si>
  <si>
    <t>https://www.youtube.com/watch?v=8gPXKl3BpMc&amp;list=PLdWk-MlnCC7M&amp;index=2</t>
  </si>
  <si>
    <t>ANH TRAI VƯỢT NGÀN CHÔNG GAI 2026 - Tập 2 | Cuộc chiến 6 Nhóm Anh Tài kết lại CÔNG DIỄN sẽ ra sao?</t>
  </si>
  <si>
    <t>anh trai vuot ngan chong gai 2026 tap 2 cuoc chien 6 nhom anh tai ket lai cong dien se ra sao</t>
  </si>
  <si>
    <t>2026-07-04T13:30:06.000Z</t>
  </si>
  <si>
    <t>qP0PAjdfH0s</t>
  </si>
  <si>
    <t>https://www.youtube.com/watch?v=qP0PAjdfH0s&amp;list=PLdWk-MlnCC7M&amp;index=6</t>
  </si>
  <si>
    <t>ANH TRAI VƯỢT NGÀN CHÔNG GAI 2026 - Tập 6 | MÃ PHI NƯỚC ĐẠI, VƯƠN MÌNH THÀNH CÔNG</t>
  </si>
  <si>
    <t>anh trai vuot ngan chong gai 2026 tap 6 ma phi nuoc dai vuon minh thanh cong</t>
  </si>
  <si>
    <t>2026-08-08T13:30:06.000Z</t>
  </si>
  <si>
    <t>dXkw0uMUBYs</t>
  </si>
  <si>
    <t>https://www.youtube.com/watch?v=dXkw0uMUBYs&amp;list=PLdWk-MlnCC7M&amp;index=1</t>
  </si>
  <si>
    <t>ANH TRAI VƯỢT NGÀN CHÔNG GAI 2026 - Tập 1 | 34 Anh Tài - Hành Trình Cổ Tích Của Người Hùng bắt đầu</t>
  </si>
  <si>
    <t>anh trai vuot ngan chong gai 2026 tap 1 34 anh tai hanh trinh co tich cua nguoi hung bat dau</t>
  </si>
  <si>
    <t>2026-06-27T13:30:06.000Z</t>
  </si>
  <si>
    <t>AXCczcyNCoQ</t>
  </si>
  <si>
    <t>https://www.youtube.com/watch?v=AXCczcyNCoQ&amp;list=PLdWk-MlnCC7M&amp;index=3</t>
  </si>
  <si>
    <t>ANH TRAI VƯỢT NGÀN CHÔNG GAI 2026 - Tập 3 | Công diễn 1 mở màn - Bảng đấu định đoạt số phận ra sao?</t>
  </si>
  <si>
    <t>anh trai vuot ngan chong gai 2026 tap 3 cong dien 1 mo man bang dau dinh doat so phan ra sao</t>
  </si>
  <si>
    <t>2026-07-18T13:30:06.000Z</t>
  </si>
  <si>
    <t>ESz__7Pdyf8</t>
  </si>
  <si>
    <t>https://www.youtube.com/watch?v=ESz__7Pdyf8&amp;list=PLdWk-MlnCC7M&amp;index=5</t>
  </si>
  <si>
    <t>ANH TRAI VƯỢT NGÀN CHÔNG GAI 2026 - Tập 5 | Chuyến Ngoại Khoá SUNG SƯỚNG &amp; THOẢI MÁI của Các Anh Tài</t>
  </si>
  <si>
    <t>anh trai vuot ngan chong gai 2026 tap 5 chuyen ngoai khoa sung suong thoai mai cua cac anh tai</t>
  </si>
  <si>
    <t>2026-08-01T13:30:06.000Z</t>
  </si>
  <si>
    <t>CDDG</t>
  </si>
  <si>
    <t>Chị Đẹp Đạp Gió</t>
  </si>
  <si>
    <t>CDDG_2023</t>
  </si>
  <si>
    <t>lvq1qcPhQms</t>
  </si>
  <si>
    <t>https://www.youtube.com/watch?v=lvq1qcPhQms&amp;list=PLt3LgMEKzFxxvhzWqiZPdQsr84wrtmK1A&amp;index=14</t>
  </si>
  <si>
    <t>Tập 2 | Điểm số lộ diện, Chị Đẹp nào sẽ là người “nắm quyền”? - Chị Đẹp Đạp Gió Rẽ Sóng 2023</t>
  </si>
  <si>
    <t>tap 2 diem so lo dien chi dep nao se la nguoi nam quyen chi dep dap gio re song 2023</t>
  </si>
  <si>
    <t>PLt3LgMEKzFxxvhzWqiZPdQsr84wrtmK1A</t>
  </si>
  <si>
    <t>2023-11-04T14:45:13.000Z</t>
  </si>
  <si>
    <t>2026-08-12T13:30:43.959268+07:00</t>
  </si>
  <si>
    <t>Nm0uV0CdE8TP5YEgh</t>
  </si>
  <si>
    <t>https://www.youtube.com/watch?v=-LAdXYSoPLk&amp;list=PLt3LgMEKzFxxvhzWqiZPdQsr84wrtmK1A&amp;index=12</t>
  </si>
  <si>
    <t>Tập 4 | Thử thách tập luyện căng thẳng, đội nào sẽ vượt ải ngoạn mục? - Chị Đẹp Đạp Gió Rẽ Sóng 2023</t>
  </si>
  <si>
    <t>tap 4 thu thach tap luyen cang thang doi nao se vuot ai ngoan muc chi dep dap gio re song 2023</t>
  </si>
  <si>
    <t>2023-11-18T14:45:13.000Z</t>
  </si>
  <si>
    <t>Xh35QRR97Y4</t>
  </si>
  <si>
    <t>https://www.youtube.com/watch?v=Xh35QRR97Y4&amp;list=PLt3LgMEKzFxxvhzWqiZPdQsr84wrtmK1A&amp;index=1</t>
  </si>
  <si>
    <t>Tập 15 | Chung kết bùng nổ, 7 Chị Đẹp nào sẽ thành nhóm thành đoàn - Chị Đẹp Đạp Gió Rẽ Sóng 2023</t>
  </si>
  <si>
    <t>tap 15 chung ket bung no 7 chi dep nao se thanh nhom thanh doan chi dep dap gio re song 2023</t>
  </si>
  <si>
    <t>2024-02-03T14:45:11.000Z</t>
  </si>
  <si>
    <t>8Y0bLhvw7CI</t>
  </si>
  <si>
    <t>https://www.youtube.com/watch?v=8Y0bLhvw7CI&amp;list=PLt3LgMEKzFxxvhzWqiZPdQsr84wrtmK1A&amp;index=11</t>
  </si>
  <si>
    <t>Tập 5 | Công 1 bùng nổ, Lan Ngọc và Diệu Nhi bất ngờ thành đội trưởng - Chị Đẹp Đạp Gió Rẽ Sóng 2023</t>
  </si>
  <si>
    <t>tap 5 cong 1 bung no lan ngoc va dieu nhi bat ngo thanh doi truong chi dep dap gio re song 2023</t>
  </si>
  <si>
    <t>2023-11-25T14:45:10.000Z</t>
  </si>
  <si>
    <t>oPVl-fszgNc</t>
  </si>
  <si>
    <t>https://www.youtube.com/watch?v=oPVl-fszgNc&amp;list=PLt3LgMEKzFxxvhzWqiZPdQsr84wrtmK1A&amp;index=9</t>
  </si>
  <si>
    <t>Tập 7 | Mỹ Linh lộn nhào, Lệ Quyên bắn fast flow tại Công diễn 2 - Chị Đẹp Đạp Gió Rẽ Sóng 2023</t>
  </si>
  <si>
    <t>tap 7 my linh lon nhao le quyen ban fast flow tai cong dien 2 chi dep dap gio re song 2023</t>
  </si>
  <si>
    <t>2023-12-09T14:45:13.000Z</t>
  </si>
  <si>
    <t>FZntC9dTYmE</t>
  </si>
  <si>
    <t>https://www.youtube.com/watch?v=FZntC9dTYmE&amp;list=PLt3LgMEKzFxxvhzWqiZPdQsr84wrtmK1A&amp;index=2</t>
  </si>
  <si>
    <t>Tập 14 | Hồng Nhung hát cải lương cực ngọt, Mỹ Linh đam mê vũ đạo - Chị Đẹp Đạp Gió Rẽ Sóng 2023</t>
  </si>
  <si>
    <t>tap 14 hong nhung hat cai luong cuc ngot my linh dam me vu dao chi dep dap gio re song 2023</t>
  </si>
  <si>
    <t>2024-01-27T14:45:08.000Z</t>
  </si>
  <si>
    <t>QtNJYcJCp18</t>
  </si>
  <si>
    <t>https://www.youtube.com/watch?v=QtNJYcJCp18&amp;list=PLt3LgMEKzFxxvhzWqiZPdQsr84wrtmK1A&amp;index=13</t>
  </si>
  <si>
    <t>Tập 3 | Chị Đẹp lập nhóm, “thử" thôi không “thách”? - Chị Đẹp Đạp Gió Rẽ Sóng 2023</t>
  </si>
  <si>
    <t>tap 3 chi dep lap nhom thu thoi khong thach chi dep dap gio re song 2023</t>
  </si>
  <si>
    <t>2023-11-11T14:45:13.000Z</t>
  </si>
  <si>
    <t>ErXWrG0vPd4</t>
  </si>
  <si>
    <t>https://www.youtube.com/watch?v=ErXWrG0vPd4&amp;list=PLt3LgMEKzFxxvhzWqiZPdQsr84wrtmK1A&amp;index=5</t>
  </si>
  <si>
    <t>Tập 11 | 3 Anh Tài BIGDADDY, MONO và Tăng Duy Tân cực cháy tại Công 4 - Chị Đẹp Đạp Gió Rẽ Sóng 2023</t>
  </si>
  <si>
    <t>tap 11 3 anh tai bigdaddy mono va tang duy tan cuc chay tai cong 4 chi dep dap gio re song 2023</t>
  </si>
  <si>
    <t>2024-01-06T14:45:13.000Z</t>
  </si>
  <si>
    <t>IH6ocKZb7DY</t>
  </si>
  <si>
    <t>https://www.youtube.com/watch?v=IH6ocKZb7DY&amp;list=PLt3LgMEKzFxxvhzWqiZPdQsr84wrtmK1A&amp;index=4</t>
  </si>
  <si>
    <t>Tập 12 | Thanh Ngọc mang lửa lên sân khấu, Quỳnh Nga mạo hiểm đu vòng - Chị Đẹp Đạp Gió Rẽ Sóng 2023</t>
  </si>
  <si>
    <t>tap 12 thanh ngoc mang lua len san khau quynh nga mao hiem du vong chi dep dap gio re song 2023</t>
  </si>
  <si>
    <t>2024-01-13T14:45:11.000Z</t>
  </si>
  <si>
    <t>JTOz0uIPccI</t>
  </si>
  <si>
    <t>https://www.youtube.com/watch?v=JTOz0uIPccI&amp;list=PLt3LgMEKzFxxvhzWqiZPdQsr84wrtmK1A&amp;index=6</t>
  </si>
  <si>
    <t>Tập 10 | Hồng Nhung ke đầu, Mỹ Linh nhảy hiphop khi 3 Anh Tài đổ bộ - Chị Đẹp Đạp Gió Rẽ Sóng 2023</t>
  </si>
  <si>
    <t>tap 10 hong nhung ke dau my linh nhay hiphop khi 3 anh tai do bo chi dep dap gio re song 2023</t>
  </si>
  <si>
    <t>2023-12-30T14:45:12.000Z</t>
  </si>
  <si>
    <t>iGJjD9CT3tQ</t>
  </si>
  <si>
    <t>https://www.youtube.com/watch?v=iGJjD9CT3tQ&amp;list=PLt3LgMEKzFxxvhzWqiZPdQsr84wrtmK1A&amp;index=10</t>
  </si>
  <si>
    <t>Tập 6 | Thử thách luyện tập và hóa trang, Hồng Nhung bỗng "hồi teen"? - Chị Đẹp Đạp Gió Rẽ Sóng 2023</t>
  </si>
  <si>
    <t>tap 6 thu thach luyen tap va hoa trang hong nhung bong hoi teen chi dep dap gio re song 2023</t>
  </si>
  <si>
    <t>2023-12-02T14:45:10.000Z</t>
  </si>
  <si>
    <t>UuAXAlZvmtY</t>
  </si>
  <si>
    <t>https://www.youtube.com/watch?v=UuAXAlZvmtY&amp;list=PLt3LgMEKzFxxvhzWqiZPdQsr84wrtmK1A&amp;index=3</t>
  </si>
  <si>
    <t>Tập 13 | Thu Phương khóc vì Đại Minh Tinh, Nguyên Hà áp lực tập nhảy - Chị Đẹp Đạp Gió Rẽ Sóng 2023</t>
  </si>
  <si>
    <t>tap 13 thu phuong khoc vi dai minh tinh nguyen ha ap luc tap nhay chi dep dap gio re song 2023</t>
  </si>
  <si>
    <t>2024-01-21T11:20:04.000Z</t>
  </si>
  <si>
    <t>fWV4aSBxi6s</t>
  </si>
  <si>
    <t>https://www.youtube.com/watch?v=fWV4aSBxi6s&amp;list=PLt3LgMEKzFxxvhzWqiZPdQsr84wrtmK1A&amp;index=7</t>
  </si>
  <si>
    <t>Tập 9 | Phương Vy bùng nổ, Khổng Tú Quỳnh “tung chiêu” ở Công 3 - Chị Đẹp Đạp Gió Rẽ Sóng 2023</t>
  </si>
  <si>
    <t>tap 9 phuong vy bung no khong tu quynh tung chieu o cong 3 chi dep dap gio re song 2023</t>
  </si>
  <si>
    <t>2023-12-23T14:45:10.000Z</t>
  </si>
  <si>
    <t>9RyOdOoQp9A</t>
  </si>
  <si>
    <t>https://www.youtube.com/watch?v=9RyOdOoQp9A&amp;list=PLt3LgMEKzFxxvhzWqiZPdQsr84wrtmK1A&amp;index=8</t>
  </si>
  <si>
    <t>Tập 8 | Lynk Lee nhảy “hẩy hẩy" cùng SOOBIN, Trang Pháp quẩy quên sốt - Chị Đẹp Đạp Gió Rẽ Sóng 2023</t>
  </si>
  <si>
    <t>tap 8 lynk lee nhay hay hay cung soobin trang phap quay quen sot chi dep dap gio re song 2023</t>
  </si>
  <si>
    <t>2023-12-16T14:45:11.000Z</t>
  </si>
  <si>
    <t>o1KlL4j5O-w</t>
  </si>
  <si>
    <t>https://www.youtube.com/watch?v=o1KlL4j5O-w&amp;list=PLt3LgMEKzFxxvhzWqiZPdQsr84wrtmK1A&amp;index=15</t>
  </si>
  <si>
    <t>Tập 1 | Chị Đẹp “cưỡi gió” tới đây! - Chị Đẹp Đạp Gió Rẽ Sóng 2023</t>
  </si>
  <si>
    <t>tap 1 chi dep cuoi gio toi day chi dep dap gio re song 2023</t>
  </si>
  <si>
    <t>2023-10-28T14:45:11.000Z</t>
  </si>
  <si>
    <t>CDDG_2024</t>
  </si>
  <si>
    <t>rThLTG_UZ5U</t>
  </si>
  <si>
    <t>https://www.youtube.com/watch?v=rThLTG_UZ5U&amp;list=PLt3LgMEKzFxz2EslvirjbydcPyz_MZErF&amp;index=2</t>
  </si>
  <si>
    <t>Chị Đẹp Đạp Gió 2024 - Tập 14 | 30 CHỊ ĐẸP tụ họp khuấy đảo CHUNG KẾT, ai sẽ có SUẤT RA MẮT?</t>
  </si>
  <si>
    <t>chi dep dap gio 2024 tap 14 30 chi dep tu hop khuay dao chung ket ai se co suat ra mat</t>
  </si>
  <si>
    <t>PLt3LgMEKzFxz2EslvirjbydcPyz_MZErF</t>
  </si>
  <si>
    <t>2025-01-18T13:30:07.000Z</t>
  </si>
  <si>
    <t>2026-08-12T13:31:52.156437+07:00</t>
  </si>
  <si>
    <t>feieHpG3pLAJw9qYM</t>
  </si>
  <si>
    <t>9s4WMTeqZmc</t>
  </si>
  <si>
    <t>https://www.youtube.com/watch?v=9s4WMTeqZmc&amp;list=PLt3LgMEKzFxz2EslvirjbydcPyz_MZErF&amp;index=8</t>
  </si>
  <si>
    <t>Chị Đẹp Đạp Gió 2024 - Tập 8 | Ái Phương ĐỐT CHÁY hết tổn thương vụn vỡ, Hoàng Yến Chibi HÁT CHÈO!</t>
  </si>
  <si>
    <t>chi dep dap gio 2024 tap 8 ai phuong dot chay het ton thuong vun vo hoang yen chibi hat cheo</t>
  </si>
  <si>
    <t>2024-12-08T14:30:08.000Z</t>
  </si>
  <si>
    <t>OqQMkTtMO_g</t>
  </si>
  <si>
    <t>https://www.youtube.com/watch?v=OqQMkTtMO_g&amp;list=PLt3LgMEKzFxz2EslvirjbydcPyz_MZErF&amp;index=4</t>
  </si>
  <si>
    <t>Chị Đẹp Đạp Gió 2024 - Tập 12 | Công diễn 5 ĐẲNG CẤP: Misthy BẮN RAP, Phương Thanh ngân câu vọng cổ!</t>
  </si>
  <si>
    <t>chi dep dap gio 2024 tap 12 cong dien 5 dang cap misthy ban rap phuong thanh ngan cau vong co</t>
  </si>
  <si>
    <t>2025-01-04T13:30:07.000Z</t>
  </si>
  <si>
    <t>1XXa2h4EtJI</t>
  </si>
  <si>
    <t>https://www.youtube.com/watch?v=1XXa2h4EtJI&amp;list=PLt3LgMEKzFxz2EslvirjbydcPyz_MZErF&amp;index=13</t>
  </si>
  <si>
    <t>Chị Đẹp Đạp Gió 2024 - Tập 3 | Tóc Tiên "NHẠC NÀO CŨNG NHẢY", Ngọc Phước "NẢY SỐ" dàn dựng tích tắc</t>
  </si>
  <si>
    <t>chi dep dap gio 2024 tap 3 toc tien nhac nao cung nhay ngoc phuoc nay so dan dung tich tac</t>
  </si>
  <si>
    <t>2024-11-09T13:30:07.000Z</t>
  </si>
  <si>
    <t>CvQC5KgiK7c</t>
  </si>
  <si>
    <t>https://www.youtube.com/watch?v=CvQC5KgiK7c&amp;list=PLt3LgMEKzFxz2EslvirjbydcPyz_MZErF&amp;index=11</t>
  </si>
  <si>
    <t>Chị Đẹp Đạp Gió 2024 - Tập 5 | Ngọc Phước KHÓC NẤC vì Thu Phương, Thiều Bảo Trâm nhận THỬ THÁCH KHÓ</t>
  </si>
  <si>
    <t>chi dep dap gio 2024 tap 5 ngoc phuoc khoc nac vi thu phuong thieu bao tram nhan thu thach kho</t>
  </si>
  <si>
    <t>2024-11-23T13:30:07.000Z</t>
  </si>
  <si>
    <t>_WeOgg2IuH4</t>
  </si>
  <si>
    <t>https://www.youtube.com/watch?v=_WeOgg2IuH4&amp;list=PLt3LgMEKzFxz2EslvirjbydcPyz_MZErF&amp;index=12</t>
  </si>
  <si>
    <t>Chị Đẹp Đạp Gió 2024 - Tập 4 | Đại chiến Công Diễn 1, chị đẹp Misthy &amp; Kiều Anh BỨT PHÁ GIỚI HẠN</t>
  </si>
  <si>
    <t>chi dep dap gio 2024 tap 4 dai chien cong dien 1 chi dep misthy kieu anh but pha gioi han</t>
  </si>
  <si>
    <t>2024-11-16T13:30:08.000Z</t>
  </si>
  <si>
    <t>zHSjftVIZQ8</t>
  </si>
  <si>
    <t>https://www.youtube.com/watch?v=zHSjftVIZQ8&amp;list=PLt3LgMEKzFxz2EslvirjbydcPyz_MZErF&amp;index=3</t>
  </si>
  <si>
    <t>Chị Đẹp Đạp Gió 2024 - Tập 13 | Mie "LỘI NGƯỢC DÒNG", Kiều Anh "CHƠI TẤT TAY" kết lại công diễn 5</t>
  </si>
  <si>
    <t>chi dep dap gio 2024 tap 13 mie loi nguoc dong kieu anh choi tat tay ket lai cong dien 5</t>
  </si>
  <si>
    <t>2025-01-11T13:30:08.000Z</t>
  </si>
  <si>
    <t>lDUhaxEAxb4</t>
  </si>
  <si>
    <t>https://www.youtube.com/watch?v=lDUhaxEAxb4&amp;list=PLt3LgMEKzFxz2EslvirjbydcPyz_MZErF&amp;index=5</t>
  </si>
  <si>
    <t>Chị Đẹp Đạp Gió 2024 - Tập 11 | Thiều Bảo Trâm nhận KẾT CỤC BUỒN , Kiều Anh CHẬT VẬT vòng lập đội!</t>
  </si>
  <si>
    <t>chi dep dap gio 2024 tap 11 thieu bao tram nhan ket cuc buon kieu anh chat vat vong lap doi</t>
  </si>
  <si>
    <t>2024-12-28T13:30:07.000Z</t>
  </si>
  <si>
    <t>hSEtU7S6vzk</t>
  </si>
  <si>
    <t>https://www.youtube.com/watch?v=hSEtU7S6vzk&amp;list=PLt3LgMEKzFxz2EslvirjbydcPyz_MZErF&amp;index=14</t>
  </si>
  <si>
    <t>Chị Đẹp Đạp Gió 2024 - Tập 2 | Minh Tuyết &amp; Minh Hằng "QUÉT SẠCH" sàn diễn, 6 ĐỘI TRƯỞNG lộ diện!</t>
  </si>
  <si>
    <t>chi dep dap gio 2024 tap 2 minh tuyet minh hang quet sach san dien 6 doi truong lo dien</t>
  </si>
  <si>
    <t>2024-11-02T13:30:07.000Z</t>
  </si>
  <si>
    <t>QO7S6k_QPoA</t>
  </si>
  <si>
    <t>https://www.youtube.com/watch?v=QO7S6k_QPoA&amp;list=PLt3LgMEKzFxz2EslvirjbydcPyz_MZErF&amp;index=6</t>
  </si>
  <si>
    <t>Chị Đẹp Đạp Gió 2024 - Tập 10 | Minh Tuyết đu dây hát Bolero, Mỹ Linh ke đầu giữa "vườn địa đàng"</t>
  </si>
  <si>
    <t>chi dep dap gio 2024 tap 10 minh tuyet du day hat bolero my linh ke dau giua vuon dia dang</t>
  </si>
  <si>
    <t>2024-12-21T13:30:07.000Z</t>
  </si>
  <si>
    <t>ic64P20RdSk</t>
  </si>
  <si>
    <t>https://www.youtube.com/watch?v=ic64P20RdSk&amp;list=PLt3LgMEKzFxz2EslvirjbydcPyz_MZErF&amp;index=10</t>
  </si>
  <si>
    <t>Chị Đẹp Đạp Gió 2024 - Tập 6 | Tuimi, Xuân Nghi xứng danh ALL-ROUNDER &amp; NƯỚC MẮT vòng loại đầu tiên!</t>
  </si>
  <si>
    <t>chi dep dap gio 2024 tap 6 tuimi xuan nghi xung danh all rounder nuoc mat vong loai dau tien</t>
  </si>
  <si>
    <t>2024-11-30T13:30:07.000Z</t>
  </si>
  <si>
    <t>U88iOtiZhd4</t>
  </si>
  <si>
    <t>https://www.youtube.com/watch?v=U88iOtiZhd4&amp;list=PLt3LgMEKzFxz2EslvirjbydcPyz_MZErF&amp;index=9</t>
  </si>
  <si>
    <t>Chị Đẹp Đạp Gió 2024 - Tập 7 | Chiêu mộ ĐỘI HÌNH SỐNG CÒN, Kiều Anh &amp; Mie tung chiêu DÍ TỚI CÙNG!</t>
  </si>
  <si>
    <t>chi dep dap gio 2024 tap 7 chieu mo doi hinh song con kieu anh mie tung chieu di toi cung</t>
  </si>
  <si>
    <t>2024-12-07T13:30:07.000Z</t>
  </si>
  <si>
    <t>FH8jhZYLY6I</t>
  </si>
  <si>
    <t>https://www.youtube.com/watch?v=FH8jhZYLY6I&amp;list=PLt3LgMEKzFxz2EslvirjbydcPyz_MZErF&amp;index=15</t>
  </si>
  <si>
    <t>Chị Đẹp Đạp Gió 2024 - Tập 1 | Mỹ Linh &amp; Thu Phương TRỞ LẠI, SÂN KHẤU RA MẮT của 30 CHỊ ĐẸP bắt đầu!</t>
  </si>
  <si>
    <t>chi dep dap gio 2024 tap 1 my linh thu phuong tro lai san khau ra mat cua 30 chi dep bat dau</t>
  </si>
  <si>
    <t>2024-10-26T13:30:07.000Z</t>
  </si>
  <si>
    <t>W22D6pvvnY8</t>
  </si>
  <si>
    <t>https://www.youtube.com/watch?v=W22D6pvvnY8&amp;list=PLt3LgMEKzFxz2EslvirjbydcPyz_MZErF&amp;index=7</t>
  </si>
  <si>
    <t>Chị Đẹp Đạp Gió 2024 - Tập 9 | Phương Thanh trình diễn đầy lột xác, Bùi Lan Hương cất giọng MÊ ĐẮM</t>
  </si>
  <si>
    <t>chi dep dap gio 2024 tap 9 phuong thanh trinh dien day lot xac bui lan huong cat giong me dam</t>
  </si>
  <si>
    <t>2024-12-14T13:30:07.000Z</t>
  </si>
  <si>
    <t>GC0PYg7k9wk</t>
  </si>
  <si>
    <t>https://www.youtube.com/watch?v=GC0PYg7k9wk&amp;list=PLt3LgMEKzFxz2EslvirjbydcPyz_MZErF&amp;index=1</t>
  </si>
  <si>
    <t>Chị Đẹp Đạp Gió 2024 - Tập 15 | HÀNH TRÌNH ĐẠP GIÓ THĂNG CẤP, 10 "BÔNG HOA" CHỊ ĐẸP RA MẮT RỰC RỠ</t>
  </si>
  <si>
    <t>chi dep dap gio 2024 tap 15 hanh trinh dap gio thang cap 10 bong hoa chi dep ra mat ruc ro</t>
  </si>
  <si>
    <t>2025-01-25T13:30:07.000Z</t>
  </si>
  <si>
    <t>RAPVIET</t>
  </si>
  <si>
    <t>Rap Việt</t>
  </si>
  <si>
    <t>RAPVIET_2023</t>
  </si>
  <si>
    <t>W4B_wqK8_OI</t>
  </si>
  <si>
    <t>https://www.youtube.com/watch?v=W4B_wqK8_OI&amp;list=PLxKLMN7WdG5DYy2yJiXnhMVnvNN1e31l7&amp;index=14</t>
  </si>
  <si>
    <t>Rap Việt Mùa 3 - Tập 3: HIEUTHUHAI xuất hiện, HURRYKNG Mikelodic đốt cháy sân khấu | Rap Việt 2023</t>
  </si>
  <si>
    <t>rap viet mua 3 tap 3 hieuthuhai xuat hien hurrykng mikelodic dot chay san khau rap viet 2023</t>
  </si>
  <si>
    <t>PLxKLMN7WdG5DYy2yJiXnhMVnvNN1e31l7</t>
  </si>
  <si>
    <t>2023-06-10T14:00:08.000Z</t>
  </si>
  <si>
    <t>2026-08-12T13:58:29.187848+07:00</t>
  </si>
  <si>
    <t>ehOMbyiKThKUMtTen</t>
  </si>
  <si>
    <t>Kn0rfI26sLQ</t>
  </si>
  <si>
    <t>https://www.youtube.com/watch?v=Kn0rfI26sLQ&amp;list=PLxKLMN7WdG5DYy2yJiXnhMVnvNN1e31l7&amp;index=3</t>
  </si>
  <si>
    <t>Rap Việt Mùa 3 - Tập 14: 3 Nón Vàng được tung, Top 9 bước vào Chung Kết lộ diện | Rap Việt 2023</t>
  </si>
  <si>
    <t>rap viet mua 3 tap 14 3 non vang duoc tung top 9 buoc vao chung ket lo dien rap viet 2023</t>
  </si>
  <si>
    <t>2023-08-26T14:00:08.000Z</t>
  </si>
  <si>
    <t>2o0cNxO2fWE</t>
  </si>
  <si>
    <t>https://www.youtube.com/watch?v=2o0cNxO2fWE&amp;list=PLxKLMN7WdG5DYy2yJiXnhMVnvNN1e31l7&amp;index=19</t>
  </si>
  <si>
    <t>Mikelodic Về Quê đóng tune mà áp đảo tập 3, nhận ngay 4 chọn của HLV |Rap Việt 2023 [Live Stage]</t>
  </si>
  <si>
    <t>mikelodic ve que dong tune ma ap dao tap 3 nhan ngay 4 chon cua hlv rap viet 2023 live stage</t>
  </si>
  <si>
    <t>2023-06-10T16:00:02.000Z</t>
  </si>
  <si>
    <t>show_alias;numbered_episode;official_channel;official_full_playlist;superseded_by_evidence_rank</t>
  </si>
  <si>
    <t>xiAcFjb-L2c</t>
  </si>
  <si>
    <t>https://www.youtube.com/watch?v=xiAcFjb-L2c&amp;list=PLxKLMN7WdG5DYy2yJiXnhMVnvNN1e31l7&amp;index=18</t>
  </si>
  <si>
    <t>WE GO HARD: Suboi, JustaTee, Karik, Thái VG, BigDaddy, Andree, B Ray | Rap Việt Mùa 3 [Live Stage]</t>
  </si>
  <si>
    <t>we go hard suboi justatee karik thai vg bigdaddy andree b ray rap viet mua 3 live stage</t>
  </si>
  <si>
    <t>2023-05-28T02:30:19.000Z</t>
  </si>
  <si>
    <t>Yn7of6GIZpg</t>
  </si>
  <si>
    <t>https://www.youtube.com/watch?v=Yn7of6GIZpg&amp;list=PLxKLMN7WdG5DYy2yJiXnhMVnvNN1e31l7&amp;index=2</t>
  </si>
  <si>
    <t>Rap Việt Mùa 3 - Tập 15: Chung kết 1 - Top 9 lột xác với 9 tiết mục đẳng cấp | Rap Việt 2023</t>
  </si>
  <si>
    <t>rap viet mua 3 tap 15 chung ket 1 top 9 lot xac voi 9 tiet muc dang cap rap viet 2023</t>
  </si>
  <si>
    <t>2023-09-02T14:00:10.000Z</t>
  </si>
  <si>
    <t>rExo9QFiew4</t>
  </si>
  <si>
    <t>https://www.youtube.com/watch?v=rExo9QFiew4&amp;list=PLxKLMN7WdG5DYy2yJiXnhMVnvNN1e31l7&amp;index=16</t>
  </si>
  <si>
    <t>Rap Việt Mùa 3 - Tập 1 | Suboi, JustaTee, Karik, Thái VG, BigDaddy, Andree Right Hand, B Ray</t>
  </si>
  <si>
    <t>rap viet mua 3 tap 1 suboi justatee karik thai vg bigdaddy andree right hand b ray</t>
  </si>
  <si>
    <t>2023-05-27T14:00:08.000Z</t>
  </si>
  <si>
    <t>4f5TI1AHFJY</t>
  </si>
  <si>
    <t>https://www.youtube.com/watch?v=4f5TI1AHFJY&amp;list=PLxKLMN7WdG5DYy2yJiXnhMVnvNN1e31l7&amp;index=26</t>
  </si>
  <si>
    <t>CAPTAIN đốn tim fan hỏi yêu mình anh được không khi rap Để Anh Sang| Rap Việt Mùa 3 [Live Stage]</t>
  </si>
  <si>
    <t>captain don tim fan hoi yeu minh anh duoc khong khi rap de anh sang rap viet mua 3 live stage</t>
  </si>
  <si>
    <t>2023-05-28T06:30:03.000Z</t>
  </si>
  <si>
    <t>vpk6V4Y7OMc</t>
  </si>
  <si>
    <t>https://www.youtube.com/watch?v=vpk6V4Y7OMc&amp;list=PLxKLMN7WdG5DYy2yJiXnhMVnvNN1e31l7&amp;index=4</t>
  </si>
  <si>
    <t>Rap Việt Mùa 3 - Tập 13: Rhyder thể hiện skill rap, OgeNus CAPTAIN bứt tốc mạnh mẽ | Rap Việt 2023</t>
  </si>
  <si>
    <t>rap viet mua 3 tap 13 rhyder the hien skill rap ogenus captain but toc manh me rap viet 2023</t>
  </si>
  <si>
    <t>2023-08-19T14:00:10.000Z</t>
  </si>
  <si>
    <t>vainx5HZjzg</t>
  </si>
  <si>
    <t>https://www.youtube.com/watch?v=vainx5HZjzg&amp;list=PLxKLMN7WdG5DYy2yJiXnhMVnvNN1e31l7&amp;index=23</t>
  </si>
  <si>
    <t>Những tiết mục nghe là dính của Top 20 quái vật khủng vòng Chinh Phục | Rap Việt 2023</t>
  </si>
  <si>
    <t>nhung tiet muc nghe la dinh cua top 20 quai vat khung vong chinh phuc rap viet 2023</t>
  </si>
  <si>
    <t>2023-07-03T14:00:10.000Z</t>
  </si>
  <si>
    <t>show_alias;official_channel;official_full_playlist;plausible_duration;source_authority_unverified</t>
  </si>
  <si>
    <t>O6BOjB7BpkY</t>
  </si>
  <si>
    <t>https://www.youtube.com/watch?v=O6BOjB7BpkY&amp;list=PLxKLMN7WdG5DYy2yJiXnhMVnvNN1e31l7&amp;index=7</t>
  </si>
  <si>
    <t>Rap Việt Mùa 3 - Tập 10: Team BigDaddy xung trận, Pháp Kiều - HURRYKNG khuấy đảo | Rap Việt 2023</t>
  </si>
  <si>
    <t>rap viet mua 3 tap 10 team bigdaddy xung tran phap kieu hurrykng khuay dao rap viet 2023</t>
  </si>
  <si>
    <t>2023-07-29T14:00:08.000Z</t>
  </si>
  <si>
    <t>zqflOk30rM8</t>
  </si>
  <si>
    <t>https://www.youtube.com/watch?v=zqflOk30rM8&amp;list=PLxKLMN7WdG5DYy2yJiXnhMVnvNN1e31l7&amp;index=25</t>
  </si>
  <si>
    <t>OgeNus - Limitlxss rap Anh Không Cố Ý nhưng lại cố tình gây u mê | Rap Việt 2023 [Live Stage]</t>
  </si>
  <si>
    <t>ogenus limitlxss rap anh khong co y nhung lai co tinh gay u me rap viet 2023 live stage</t>
  </si>
  <si>
    <t>2023-07-30T02:00:19.000Z</t>
  </si>
  <si>
    <t>BpMO0Gn8WBo</t>
  </si>
  <si>
    <t>https://www.youtube.com/watch?v=BpMO0Gn8WBo&amp;list=PLxKLMN7WdG5DYy2yJiXnhMVnvNN1e31l7&amp;index=1</t>
  </si>
  <si>
    <t>Rap Việt Mùa 3 - Tập 16: Trực tiếp Đêm Công bố &amp; Trao giải - Ai sẽ là Quán quân? | Rap Việt 2023</t>
  </si>
  <si>
    <t>rap viet mua 3 tap 16 truc tiep dem cong bo trao giai ai se la quan quan rap viet 2023</t>
  </si>
  <si>
    <t>2023-09-09T16:18:33.000Z</t>
  </si>
  <si>
    <t>CNhQjMGFLu4</t>
  </si>
  <si>
    <t>https://www.youtube.com/watch?v=CNhQjMGFLu4&amp;list=PLxKLMN7WdG5DYy2yJiXnhMVnvNN1e31l7&amp;index=15</t>
  </si>
  <si>
    <t>Rap Việt Mùa 3 - Tập 2 | Siêu chiến binh xuất hiện, cơn bão nón vàng đổ bộ | Rap Việt 2023</t>
  </si>
  <si>
    <t>rap viet mua 3 tap 2 sieu chien binh xuat hien con bao non vang do bo rap viet 2023</t>
  </si>
  <si>
    <t>2023-06-03T14:00:07.000Z</t>
  </si>
  <si>
    <t>b9P7VfHNdfQ</t>
  </si>
  <si>
    <t>https://www.youtube.com/watch?v=b9P7VfHNdfQ&amp;list=PLxKLMN7WdG5DYy2yJiXnhMVnvNN1e31l7&amp;index=22</t>
  </si>
  <si>
    <t>Minh Lai đi flow độc lạ bằng hit của AMEE khiến bộ 7 phục sát đất|Rap Việt 2023 [Live Stage]</t>
  </si>
  <si>
    <t>minh lai di flow doc la bang hit cua amee khien bo 7 phuc sat dat rap viet 2023 live stage</t>
  </si>
  <si>
    <t>2023-06-24T16:00:21.000Z</t>
  </si>
  <si>
    <t>bxG8DPeECqM</t>
  </si>
  <si>
    <t>https://www.youtube.com/watch?v=bxG8DPeECqM&amp;list=PLxKLMN7WdG5DYy2yJiXnhMVnvNN1e31l7&amp;index=5</t>
  </si>
  <si>
    <t>Rap Việt Mùa 3 - Tập 12: Tez khiến Karik khâm phục, Double2T Dlow phá đảo vì bứt phá | Rap Việt 2023</t>
  </si>
  <si>
    <t>rap viet mua 3 tap 12 tez khien karik kham phuc double2t dlow pha dao vi but pha rap viet 2023</t>
  </si>
  <si>
    <t>2023-08-12T14:00:10.000Z</t>
  </si>
  <si>
    <t>czbVyqiDUHE</t>
  </si>
  <si>
    <t>https://www.youtube.com/watch?v=czbVyqiDUHE&amp;list=PLxKLMN7WdG5DYy2yJiXnhMVnvNN1e31l7&amp;index=27</t>
  </si>
  <si>
    <t>Kiều nhưng không có Thúy, chỉ có Pháp Kiều keo ly với Hoa Hồng Gai..Y! | Rap Việt Mùa 3 [Live Stage]</t>
  </si>
  <si>
    <t>kieu nhung khong co thuy chi co phap kieu keo ly voi hoa hong gai y rap viet mua 3 live stage</t>
  </si>
  <si>
    <t>2023-05-28T04:30:14.000Z</t>
  </si>
  <si>
    <t>cX2tE3WX3Xo</t>
  </si>
  <si>
    <t>https://www.youtube.com/watch?v=cX2tE3WX3Xo&amp;list=PLxKLMN7WdG5DYy2yJiXnhMVnvNN1e31l7&amp;index=30</t>
  </si>
  <si>
    <t>CADMIUM rap vang âm hưởng Việt Nam Kiêu Hùng làm bộ 7 không thể ngồi yên|Rap Việt Mùa 3 [Live Stage]</t>
  </si>
  <si>
    <t>cadmium rap vang am huong viet nam kieu hung lam bo 7 khong the ngoi yen rap viet mua 3 live stage</t>
  </si>
  <si>
    <t>2023-05-28T03:30:20.000Z</t>
  </si>
  <si>
    <t>AA4G7HcojCY</t>
  </si>
  <si>
    <t>https://www.youtube.com/watch?v=AA4G7HcojCY&amp;list=PLxKLMN7WdG5DYy2yJiXnhMVnvNN1e31l7&amp;index=9</t>
  </si>
  <si>
    <t>Rap Việt Mùa 3 - Tập 8: B Ray ghép cặp đấu thần sầu, tạo nên Đại chiến Nón Vàng | Rap Việt 2023</t>
  </si>
  <si>
    <t>rap viet mua 3 tap 8 b ray ghep cap dau than sau tao nen dai chien non vang rap viet 2023</t>
  </si>
  <si>
    <t>2023-07-15T14:00:08.000Z</t>
  </si>
  <si>
    <t>UzvbmzVDCQ4</t>
  </si>
  <si>
    <t>https://www.youtube.com/watch?v=UzvbmzVDCQ4&amp;list=PLxKLMN7WdG5DYy2yJiXnhMVnvNN1e31l7&amp;index=12</t>
  </si>
  <si>
    <t>Rap Việt Mùa 3 - Tập 5: Minh Lai phá đảo với hit của AMEE, HYDRA ẵm luôn 4 chọn | Rap Việt 2023</t>
  </si>
  <si>
    <t>rap viet mua 3 tap 5 minh lai pha dao voi hit cua amee hydra am luon 4 chon rap viet 2023</t>
  </si>
  <si>
    <t>2023-06-24T14:00:09.000Z</t>
  </si>
  <si>
    <t>vPn0h0lO_5Q</t>
  </si>
  <si>
    <t>https://www.youtube.com/watch?v=vPn0h0lO_5Q&amp;list=PLxKLMN7WdG5DYy2yJiXnhMVnvNN1e31l7&amp;index=8</t>
  </si>
  <si>
    <t>Rap Việt Mùa 3 - Tập 9: Sở hữu đội hình khủng, Thái VG tạo cơn địa chấn với loạt hit | Rap Việt 2023</t>
  </si>
  <si>
    <t>rap viet mua 3 tap 9 so huu doi hinh khung thai vg tao con dia chan voi loat hit rap viet 2023</t>
  </si>
  <si>
    <t>2023-07-22T14:00:10.000Z</t>
  </si>
  <si>
    <t>rReto9XNLLc</t>
  </si>
  <si>
    <t>https://www.youtube.com/watch?v=rReto9XNLLc&amp;list=PLxKLMN7WdG5DYy2yJiXnhMVnvNN1e31l7&amp;index=29</t>
  </si>
  <si>
    <t>Huỳnh Công Hiếu lấy nước mắt bộ 7 với Sống Cho Hết Đời Thanh Xuân 4 | Rap Việt 2023 [LiveStage]</t>
  </si>
  <si>
    <t>huynh cong hieu lay nuoc mat bo 7 voi song cho het doi thanh xuan 4 rap viet 2023 livestage</t>
  </si>
  <si>
    <t>2023-08-20T02:00:18.000Z</t>
  </si>
  <si>
    <t>zHIfh_OBWj8</t>
  </si>
  <si>
    <t>https://www.youtube.com/watch?v=zHIfh_OBWj8&amp;list=PLxKLMN7WdG5DYy2yJiXnhMVnvNN1e31l7&amp;index=20</t>
  </si>
  <si>
    <t>Đừng hỏi Bao Giờ Lấy Vợ vì 24k.Right đã lấy trọn 4 chọn, 4 nón vàng| Rap Việt Mùa 3 [Live Stage]</t>
  </si>
  <si>
    <t>dung hoi bao gio lay vo vi 24k right da lay tron 4 chon 4 non vang rap viet mua 3 live stage</t>
  </si>
  <si>
    <t>2023-06-03T16:00:43.000Z</t>
  </si>
  <si>
    <t>lOgoXLY7edQ</t>
  </si>
  <si>
    <t>https://www.youtube.com/watch?v=lOgoXLY7edQ&amp;list=PLxKLMN7WdG5DYy2yJiXnhMVnvNN1e31l7&amp;index=28</t>
  </si>
  <si>
    <t>HIEUTHUHAI giữ lời hứa hỗ trợ HURRYKNG với Một Công Đôi Việc | Rap Việt 2023 [LiveStage]</t>
  </si>
  <si>
    <t>hieuthuhai giu loi hua ho tro hurrykng voi mot cong doi viec rap viet 2023 livestage</t>
  </si>
  <si>
    <t>2023-08-05T16:00:28.000Z</t>
  </si>
  <si>
    <t>XgArxMajFeE</t>
  </si>
  <si>
    <t>https://www.youtube.com/watch?v=XgArxMajFeE&amp;list=PLxKLMN7WdG5DYy2yJiXnhMVnvNN1e31l7&amp;index=21</t>
  </si>
  <si>
    <t>Rhyder cân cả rap và hát siêu đỉnh với Để Anh Một Mình|Rap Việt Mùa 3 [Live Stage]</t>
  </si>
  <si>
    <t>rhyder can ca rap va hat sieu dinh voi de anh mot minh rap viet mua 3 live stage</t>
  </si>
  <si>
    <t>2023-06-04T04:00:23.000Z</t>
  </si>
  <si>
    <t>JVZsRaZ6kTA</t>
  </si>
  <si>
    <t>https://www.youtube.com/watch?v=JVZsRaZ6kTA&amp;list=PLxKLMN7WdG5DYy2yJiXnhMVnvNN1e31l7&amp;index=24</t>
  </si>
  <si>
    <t>Tan chảy trong từng giai điệu với Anh Là Ai? của DT Tập Rap &amp; Công Hiếu | Rap Việt 2023 [Live Stage]</t>
  </si>
  <si>
    <t>tan chay trong tung giai dieu voi anh la ai cua dt tap rap cong hieu rap viet 2023 live stage</t>
  </si>
  <si>
    <t>2023-07-16T02:00:05.000Z</t>
  </si>
  <si>
    <t>rgLtnS7SsDU</t>
  </si>
  <si>
    <t>https://www.youtube.com/watch?v=rgLtnS7SsDU&amp;list=PLxKLMN7WdG5DYy2yJiXnhMVnvNN1e31l7&amp;index=32</t>
  </si>
  <si>
    <t>Người miền núi chất Double2T khuấy đảo với Thanh Âm Miền Núi | Rap Việt 2023 [Live Stage]</t>
  </si>
  <si>
    <t>nguoi mien nui chat double2t khuay dao voi thanh am mien nui rap viet 2023 live stage</t>
  </si>
  <si>
    <t>2023-07-02T12:07:01.000Z</t>
  </si>
  <si>
    <t>HpsgasbeMdw</t>
  </si>
  <si>
    <t>https://www.youtube.com/watch?v=HpsgasbeMdw&amp;list=PLxKLMN7WdG5DYy2yJiXnhMVnvNN1e31l7&amp;index=6</t>
  </si>
  <si>
    <t>Rap Việt Mùa 3 - Tập 11: Bảng đấu "thét ra lửa" khai hỏa, HIEUTHUHAI - WXRDIE trợ diễn|Rap Việt 2023</t>
  </si>
  <si>
    <t>rap viet mua 3 tap 11 bang dau thet ra lua khai hoa hieuthuhai wxrdie tro dien rap viet 2023</t>
  </si>
  <si>
    <t>2023-08-05T14:00:09.000Z</t>
  </si>
  <si>
    <t>7JTihdQyplY</t>
  </si>
  <si>
    <t>https://www.youtube.com/watch?v=7JTihdQyplY&amp;list=PLxKLMN7WdG5DYy2yJiXnhMVnvNN1e31l7&amp;index=13</t>
  </si>
  <si>
    <t>Rap Việt Mùa 3 - Tập 4: Đại chiến nón vàng trở lại, Liu Grace - Tez xuất trận | Rap Việt 2023</t>
  </si>
  <si>
    <t>rap viet mua 3 tap 4 dai chien non vang tro lai liu grace tez xuat tran rap viet 2023</t>
  </si>
  <si>
    <t>2023-06-17T14:00:07.000Z</t>
  </si>
  <si>
    <t>show_alias;numbered_episode;official_channel;official_full_playlist;plausible_duration;superseded_by_evidence_rank</t>
  </si>
  <si>
    <t>9gitpjz97ZY</t>
  </si>
  <si>
    <t>https://www.youtube.com/watch?v=9gitpjz97ZY&amp;list=PLxKLMN7WdG5DYy2yJiXnhMVnvNN1e31l7&amp;index=10</t>
  </si>
  <si>
    <t>Rap Việt Mùa 3 - Tập 7: Team Andree khai hoả vòng Đối Đầu, Rhyder SMO Minh Lai khuấy đảo sân khấu</t>
  </si>
  <si>
    <t>rap viet mua 3 tap 7 team andree khai hoa vong doi dau rhyder smo minh lai khuay dao san khau</t>
  </si>
  <si>
    <t>2023-07-08T14:00:09.000Z</t>
  </si>
  <si>
    <t>Cyxv7HawRXE</t>
  </si>
  <si>
    <t>https://www.youtube.com/watch?v=Cyxv7HawRXE&amp;list=PLxKLMN7WdG5DYy2yJiXnhMVnvNN1e31l7&amp;index=17</t>
  </si>
  <si>
    <t>Vành Khuyên Nhỏ Liu Grace áp đảo tập 4, ẵm luôn nón vàng từ Thái VG | Rap Việt 2023 [Live Stage]</t>
  </si>
  <si>
    <t>vanh khuyen nho liu grace ap dao tap 4 am luon non vang tu thai vg rap viet 2023 live stage</t>
  </si>
  <si>
    <t>2023-06-17T16:00:08.000Z</t>
  </si>
  <si>
    <t>show_alias;numbered_episode;official_channel;official_full_playlist</t>
  </si>
  <si>
    <t>CvaDn9UhwM0</t>
  </si>
  <si>
    <t>https://www.youtube.com/watch?v=CvaDn9UhwM0&amp;list=PLxKLMN7WdG5DYy2yJiXnhMVnvNN1e31l7&amp;index=31</t>
  </si>
  <si>
    <t>Rhyder thể hiện khả năng rap và đánh trống điêu luyện trong Từ Chối Hiểu | Rap Việt 2023 [LiveStage]</t>
  </si>
  <si>
    <t>rhyder the hien kha nang rap va danh trong dieu luyen trong tu choi hieu rap viet 2023 livestage</t>
  </si>
  <si>
    <t>2023-08-19T16:00:15.000Z</t>
  </si>
  <si>
    <t>iGQxnkjMLjI</t>
  </si>
  <si>
    <t>https://www.youtube.com/watch?v=iGQxnkjMLjI&amp;list=PLxKLMN7WdG5DYy2yJiXnhMVnvNN1e31l7&amp;index=11</t>
  </si>
  <si>
    <t>Rap Việt Mùa 3 - Tập 6: Andree tung chiêu cuối, “cướp” thí sinh trước mắt Thái VG | Rap Việt 2023</t>
  </si>
  <si>
    <t>rap viet mua 3 tap 6 andree tung chieu cuoi cuop thi sinh truoc mat thai vg rap viet 2023</t>
  </si>
  <si>
    <t>2023-07-01T14:00:09.000Z</t>
  </si>
  <si>
    <t>TMSVN</t>
  </si>
  <si>
    <t>The Masked Singer Vietnam</t>
  </si>
  <si>
    <t>TMSVN_2023</t>
  </si>
  <si>
    <t>HH-7nkwN84E</t>
  </si>
  <si>
    <t>https://www.youtube.com/watch?v=HH-7nkwN84E&amp;list=PLxKLMN7WdG5ANJruYBhSGi5UBRUIhQTbi&amp;index=10</t>
  </si>
  <si>
    <t>Ca Sĩ Mặt Nạ Mùa 2 - Tập 8: Cún Tóc Lô hát ra lửa, Sứa Thủy Tinh khuấy đảo với ca khúc mới toanh</t>
  </si>
  <si>
    <t>ca si mat na mua 2 tap 8 cun toc lo hat ra lua sua thuy tinh khuay dao voi ca khuc moi toanh</t>
  </si>
  <si>
    <t>PLxKLMN7WdG5ANJruYBhSGi5UBRUIhQTbi</t>
  </si>
  <si>
    <t>2023-09-29T14:00:07.000Z</t>
  </si>
  <si>
    <t>2026-08-12T14:03:45.582697+07:00</t>
  </si>
  <si>
    <t>GNepb49Reo0c060fy</t>
  </si>
  <si>
    <t>ivhXZ6lAkR4</t>
  </si>
  <si>
    <t>https://www.youtube.com/watch?v=ivhXZ6lAkR4&amp;list=PLxKLMN7WdG5ANJruYBhSGi5UBRUIhQTbi&amp;index=17</t>
  </si>
  <si>
    <t>Ca Sĩ Mặt Nạ Mùa 2 - Tập 4: Đối thủ mới - Ong Bây Bi, Bạch Khổng Tước | The Masked Singer Vietnam</t>
  </si>
  <si>
    <t>ca si mat na mua 2 tap 4 doi thu moi ong bay bi bach khong tuoc the masked singer vietnam</t>
  </si>
  <si>
    <t>2023-08-25T14:00:10.000Z</t>
  </si>
  <si>
    <t>KoJHUL2etzU</t>
  </si>
  <si>
    <t>https://www.youtube.com/watch?v=KoJHUL2etzU&amp;list=PLxKLMN7WdG5ANJruYBhSGi5UBRUIhQTbi&amp;index=18</t>
  </si>
  <si>
    <t>Ca Sĩ Mặt Nạ Mùa 2 - Tập 3 - Lộ diện: Madame Vịt lộ diện với đầy tiếc nuối|The Masked Singer Vietnam</t>
  </si>
  <si>
    <t>ca si mat na mua 2 tap 3 lo dien madame vit lo dien voi day tiec nuoi the masked singer vietnam</t>
  </si>
  <si>
    <t>2023-08-23T14:00:10.000Z</t>
  </si>
  <si>
    <t>TX_vMs_OKAU</t>
  </si>
  <si>
    <t>https://www.youtube.com/watch?v=TX_vMs_OKAU&amp;list=PLxKLMN7WdG5ANJruYBhSGi5UBRUIhQTbi&amp;index=14</t>
  </si>
  <si>
    <t>Ca Sĩ Mặt Nạ Mùa 2 - Tập 5 Lộ diện: Khởi My hát hit khiến Bảo Anh bật khóc|The Masked Singer Vietnam</t>
  </si>
  <si>
    <t>ca si mat na mua 2 tap 5 lo dien khoi my hat hit khien bao anh bat khoc the masked singer vietnam</t>
  </si>
  <si>
    <t>2023-09-06T14:00:11.000Z</t>
  </si>
  <si>
    <t>puc1u1uGInw</t>
  </si>
  <si>
    <t>https://www.youtube.com/watch?v=puc1u1uGInw&amp;list=PLxKLMN7WdG5ANJruYBhSGi5UBRUIhQTbi&amp;index=9</t>
  </si>
  <si>
    <t>Ca Sĩ Mặt Nạ Mùa 2 - Tập 9: Bố Gấu xứng danh bậc thầy âm nhạc, Chuột Cherry xuất thần với siêu phẩm</t>
  </si>
  <si>
    <t>ca si mat na mua 2 tap 9 bo gau xung danh bac thay am nhac chuot cherry xuat than voi sieu pham</t>
  </si>
  <si>
    <t>2023-10-06T14:00:08.000Z</t>
  </si>
  <si>
    <t>wdykZEpVvho</t>
  </si>
  <si>
    <t>https://www.youtube.com/watch?v=wdykZEpVvho&amp;list=PLxKLMN7WdG5ANJruYBhSGi5UBRUIhQTbi&amp;index=13</t>
  </si>
  <si>
    <t>Ca Sĩ Mặt Nạ Mùa 2-Tập 6: Thỏ Xỏ Khuyên lột xác, Sứa phá đảo với hit Erik| The Masked Singer Vietnam</t>
  </si>
  <si>
    <t>ca si mat na mua 2 tap 6 tho xo khuyen lot xac sua pha dao voi hit erik the masked singer vietnam</t>
  </si>
  <si>
    <t>2023-09-15T14:00:09.000Z</t>
  </si>
  <si>
    <t>kqKcOkHiscs</t>
  </si>
  <si>
    <t>https://www.youtube.com/watch?v=kqKcOkHiscs&amp;list=PLxKLMN7WdG5ANJruYBhSGi5UBRUIhQTbi&amp;index=15</t>
  </si>
  <si>
    <t>Ca Sĩ Mặt Nạ Mùa 2 - Tập 5: Voi Bản Đôn xuất thần, 2 Đấu sĩ mới ra trận | The Masked Singer Vietnam</t>
  </si>
  <si>
    <t>ca si mat na mua 2 tap 5 voi ban don xuat than 2 dau si moi ra tran the masked singer vietnam</t>
  </si>
  <si>
    <t>2023-09-01T14:00:11.000Z</t>
  </si>
  <si>
    <t>gzcj_zS1ijY</t>
  </si>
  <si>
    <t>https://www.youtube.com/watch?v=gzcj_zS1ijY&amp;list=PLxKLMN7WdG5ANJruYBhSGi5UBRUIhQTbi&amp;index=20</t>
  </si>
  <si>
    <t>Ca Sĩ Mặt Nạ Mùa 2 - Tập 2 - Lộ diện: Bộ đôi chủ nhân hit triệu view | The Masked Singer Vietnam</t>
  </si>
  <si>
    <t>ca si mat na mua 2 tap 2 lo dien bo doi chu nhan hit trieu view the masked singer vietnam</t>
  </si>
  <si>
    <t>2023-08-16T14:00:09.000Z</t>
  </si>
  <si>
    <t>show_alias;numbered_episode;official_full_playlist;plausible_duration;superseded_by_evidence_rank</t>
  </si>
  <si>
    <t>guKCRqCI6bI</t>
  </si>
  <si>
    <t>https://www.youtube.com/watch?v=guKCRqCI6bI&amp;list=PLxKLMN7WdG5ANJruYBhSGi5UBRUIhQTbi&amp;index=11</t>
  </si>
  <si>
    <t>Ca Sĩ Mặt Nạ Mùa 2 - Tập 7: Lỗi tại mưa nên Voi Bản Đôn nhất quyết không xin lỗi | The Masked Singer</t>
  </si>
  <si>
    <t>ca si mat na mua 2 tap 7 loi tai mua nen voi ban don nhat quyet khong xin loi the masked singer</t>
  </si>
  <si>
    <t>2023-09-22T14:00:12.000Z</t>
  </si>
  <si>
    <t>s1s9McomQC0</t>
  </si>
  <si>
    <t>https://www.youtube.com/watch?v=s1s9McomQC0&amp;list=PLxKLMN7WdG5ANJruYBhSGi5UBRUIhQTbi&amp;index=12</t>
  </si>
  <si>
    <t>Ca Sĩ Mặt Nạ Mùa 2 - Tập 6 - Lộ diện: Tê Giác là chủ nhân hit Ngắm Hoa Lệ Rơi | The Masked Singer</t>
  </si>
  <si>
    <t>ca si mat na mua 2 tap 6 lo dien te giac la chu nhan hit ngam hoa le roi the masked singer</t>
  </si>
  <si>
    <t>2023-09-20T14:00:11.000Z</t>
  </si>
  <si>
    <t>wVf_-0UkzcM</t>
  </si>
  <si>
    <t>https://www.youtube.com/watch?v=wVf_-0UkzcM&amp;list=PLxKLMN7WdG5ANJruYBhSGi5UBRUIhQTbi&amp;index=22</t>
  </si>
  <si>
    <t>Ca Sĩ Mặt Nạ Mùa 2 - Tập 1: Lộ diện ngay từ vòng 1 | The Masked Singer Vietnam</t>
  </si>
  <si>
    <t>ca si mat na mua 2 tap 1 lo dien ngay tu vong 1 the masked singer vietnam</t>
  </si>
  <si>
    <t>2023-08-04T14:00:07.000Z</t>
  </si>
  <si>
    <t>4au37MyRqS0</t>
  </si>
  <si>
    <t>https://www.youtube.com/watch?v=4au37MyRqS0</t>
  </si>
  <si>
    <t>Ca Sĩ Mặt Nạ Mùa 2 - Tập 2: Xuất hiện Mascot đôi tham gia tranh tài | The Masked Singer Vietnam</t>
  </si>
  <si>
    <t>ca si mat na mua 2 tap 2 xuat hien mascot doi tham gia tranh tai the masked singer vietnam</t>
  </si>
  <si>
    <t>2023-08-11T14:00:11.000Z</t>
  </si>
  <si>
    <t>b84_YhDC-SE</t>
  </si>
  <si>
    <t>https://www.youtube.com/watch?v=b84_YhDC-SE&amp;list=PLxKLMN7WdG5ANJruYBhSGi5UBRUIhQTbi&amp;index=27</t>
  </si>
  <si>
    <t>Cừu Bông - Cá Ngựa Đôi tam ca battle hit Tận Cùng Nỗi Nhớ|The Masked Singer Vietnam 2023 [LiveStage]</t>
  </si>
  <si>
    <t>cuu bong ca ngua doi tam ca battle hit tan cung noi nho the masked singer vietnam 2023 livestage</t>
  </si>
  <si>
    <t>2023-08-12T15:10:39.000Z</t>
  </si>
  <si>
    <t>0yftq9W1H1k</t>
  </si>
  <si>
    <t>https://www.youtube.com/watch?v=0yftq9W1H1k&amp;list=PLxKLMN7WdG5ANJruYBhSGi5UBRUIhQTbi&amp;index=25</t>
  </si>
  <si>
    <t>Xuất hiện cặp mascot cùng thi, Bích Phương bị dí hỏi tình cảm tới tấp|The Masked Singer Vietnam 2023</t>
  </si>
  <si>
    <t>xuat hien cap mascot cung thi bich phuong bi di hoi tinh cam toi tap the masked singer vietnam 2023</t>
  </si>
  <si>
    <t>2023-08-10T13:00:02.000Z</t>
  </si>
  <si>
    <t>RP9HG3KBR9c</t>
  </si>
  <si>
    <t>https://www.youtube.com/watch?v=RP9HG3KBR9c&amp;list=PLxKLMN7WdG5ANJruYBhSGi5UBRUIhQTbi&amp;index=1</t>
  </si>
  <si>
    <t>Ca Sĩ Mặt Nạ Mùa 2 - Tập 16: Loạt hit mới công phá đêm Chung kết, Top 3 Mùa 2 lộ diện</t>
  </si>
  <si>
    <t>ca si mat na mua 2 tap 16 loat hit moi cong pha dem chung ket top 3 mua 2 lo dien</t>
  </si>
  <si>
    <t>2023-11-24T14:00:08.000Z</t>
  </si>
  <si>
    <t>qudUtpFrzQ0</t>
  </si>
  <si>
    <t>https://www.youtube.com/watch?v=qudUtpFrzQ0&amp;list=PLxKLMN7WdG5ANJruYBhSGi5UBRUIhQTbi&amp;index=26</t>
  </si>
  <si>
    <t>TEASER: Madame Vịt làm Trấn Thành rối, Chuột Cherry mê trai bất chấp| The Masked Singer Vietnam 2023</t>
  </si>
  <si>
    <t>teaser madame vit lam tran thanh roi chuot cherry me trai bat chap the masked singer vietnam 2023</t>
  </si>
  <si>
    <t>2023-08-15T14:22:02.000Z</t>
  </si>
  <si>
    <t>LakZMdJpu0Y</t>
  </si>
  <si>
    <t>https://www.youtube.com/watch?v=LakZMdJpu0Y&amp;list=PLxKLMN7WdG5ANJruYBhSGi5UBRUIhQTbi&amp;index=23</t>
  </si>
  <si>
    <t>Bích Phương siêu lầy lội điểm nốt ruồi pha ke hòng đoán ra Mascot | The Masked Singer Vietnam 2023</t>
  </si>
  <si>
    <t>bich phuong sieu lay loi diem not ruoi pha ke hong doan ra mascot the masked singer vietnam 2023</t>
  </si>
  <si>
    <t>2023-08-01T14:30:11.000Z</t>
  </si>
  <si>
    <t>UFdldsOHmzs</t>
  </si>
  <si>
    <t>https://www.youtube.com/watch?v=UFdldsOHmzs&amp;list=PLxKLMN7WdG5ANJruYBhSGi5UBRUIhQTbi&amp;index=24</t>
  </si>
  <si>
    <t>TEASER: Trấn Thành, Bích Phương khóc thét vì vocal hiếm có khó đoán | The Masked Singer Vietnam 2023</t>
  </si>
  <si>
    <t>teaser tran thanh bich phuong khoc thet vi vocal hiem co kho doan the masked singer vietnam 2023</t>
  </si>
  <si>
    <t>2023-07-31T14:00:30.000Z</t>
  </si>
  <si>
    <t>2UK7OqPy_Lc</t>
  </si>
  <si>
    <t>https://www.youtube.com/watch?v=2UK7OqPy_Lc&amp;list=PLxKLMN7WdG5ANJruYBhSGi5UBRUIhQTbi&amp;index=7</t>
  </si>
  <si>
    <t>Ca Sĩ Mặt Nạ Mùa 2 - Tập 11: Khắc Hưng choáng vì HippoHappy, khẳng định cách hát Sứa hiếm ai sở hữu</t>
  </si>
  <si>
    <t>ca si mat na mua 2 tap 11 khac hung choang vi hippohappy khang dinh cach hat sua hiem ai so huu</t>
  </si>
  <si>
    <t>2023-10-20T14:00:08.000Z</t>
  </si>
  <si>
    <t>f2VwotgfzmE</t>
  </si>
  <si>
    <t>https://www.youtube.com/watch?v=f2VwotgfzmE&amp;list=PLxKLMN7WdG5ANJruYBhSGi5UBRUIhQTbi&amp;index=33</t>
  </si>
  <si>
    <t>UNCUT: Nể cách Bích Phương reply khi được dặn không nói tiếng Anh | The Masked Singer Vietnam 2023</t>
  </si>
  <si>
    <t>uncut ne cach bich phuong reply khi duoc dan khong noi tieng anh the masked singer vietnam 2023</t>
  </si>
  <si>
    <t>2023-08-24T11:59:50.000Z</t>
  </si>
  <si>
    <t>ULq-pq2s9A8</t>
  </si>
  <si>
    <t>https://www.youtube.com/watch?v=ULq-pq2s9A8&amp;list=PLxKLMN7WdG5ANJruYBhSGi5UBRUIhQTbi&amp;index=6</t>
  </si>
  <si>
    <t>Ca Sĩ Mặt Nạ Mùa 2 - Tập 12: Quang Dũng hòa giọng cùng mascot, Top 6 chung cuộc lộ diện</t>
  </si>
  <si>
    <t>ca si mat na mua 2 tap 12 quang dung hoa giong cung mascot top 6 chung cuoc lo dien</t>
  </si>
  <si>
    <t>2023-10-27T14:00:08.000Z</t>
  </si>
  <si>
    <t>IPVXQNLUNRg</t>
  </si>
  <si>
    <t>https://www.youtube.com/watch?v=IPVXQNLUNRg&amp;list=PLxKLMN7WdG5ANJruYBhSGi5UBRUIhQTbi&amp;index=31</t>
  </si>
  <si>
    <t>HippoHappy tung "fact độc", Hà Nhi há hốc khi Kỳ Lân Lãng Tử mê Lisa| The Masked Singer Vietnam 2023</t>
  </si>
  <si>
    <t>hippohappy tung fact doc ha nhi ha hoc khi ky lan lang tu me lisa the masked singer vietnam 2023</t>
  </si>
  <si>
    <t>2023-08-22T13:58:28.000Z</t>
  </si>
  <si>
    <t>WejXfLIIxlM</t>
  </si>
  <si>
    <t>https://www.youtube.com/watch?v=WejXfLIIxlM&amp;list=PLxKLMN7WdG5ANJruYBhSGi5UBRUIhQTbi&amp;index=5</t>
  </si>
  <si>
    <t>Ca Sĩ Mặt Nạ Mùa 2 - Tập 13: Loạt bài hát mới trình làng, Ong Bây Bi kết hợp Erik lấy trọn nước mắt</t>
  </si>
  <si>
    <t>ca si mat na mua 2 tap 13 loat bai hat moi trinh lang ong bay bi ket hop erik lay tron nuoc mat</t>
  </si>
  <si>
    <t>2023-11-03T14:00:09.000Z</t>
  </si>
  <si>
    <t>xF_lJrCON48</t>
  </si>
  <si>
    <t>https://www.youtube.com/watch?v=xF_lJrCON48&amp;list=PLxKLMN7WdG5ANJruYBhSGi5UBRUIhQTbi&amp;index=16</t>
  </si>
  <si>
    <t>Ca Sĩ Mặt Nạ Mùa 2 - Tập 4 - Lộ diện: Bạch Khổng Tước là Hoàng Mỹ An | The Masked Singer Vietnam</t>
  </si>
  <si>
    <t>ca si mat na mua 2 tap 4 lo dien bach khong tuoc la hoang my an the masked singer vietnam</t>
  </si>
  <si>
    <t>2023-08-30T14:00:12.000Z</t>
  </si>
  <si>
    <t>iOTQREArjGE</t>
  </si>
  <si>
    <t>https://www.youtube.com/watch?v=iOTQREArjGE&amp;list=PLxKLMN7WdG5ANJruYBhSGi5UBRUIhQTbi&amp;index=30</t>
  </si>
  <si>
    <t>Đã tai màn battle Madame Vịt - Chuột Cherry với hit Buông|The Masked Singer Vietnam 2023 [LiveStage]</t>
  </si>
  <si>
    <t>da tai man battle madame vit chuot cherry voi hit buong the masked singer vietnam 2023 livestage</t>
  </si>
  <si>
    <t>2023-08-19T02:00:15.000Z</t>
  </si>
  <si>
    <t>UX4WimPPfLo</t>
  </si>
  <si>
    <t>https://www.youtube.com/watch?v=UX4WimPPfLo&amp;list=PLxKLMN7WdG5ANJruYBhSGi5UBRUIhQTbi&amp;index=32</t>
  </si>
  <si>
    <t>Ong Bây Bi đòi chích Trấn Thành, Bạch Khổng Tước bị Hà Nhi bắt thóp | The Masked Singer Vietnam 2023</t>
  </si>
  <si>
    <t>ong bay bi doi chich tran thanh bach khong tuoc bi ha nhi bat thop the masked singer vietnam 2023</t>
  </si>
  <si>
    <t>2023-08-24T13:00:20.000Z</t>
  </si>
  <si>
    <t>X7EwF_5as9I</t>
  </si>
  <si>
    <t>https://www.youtube.com/watch?v=X7EwF_5as9I&amp;list=PLxKLMN7WdG5ANJruYBhSGi5UBRUIhQTbi&amp;index=3</t>
  </si>
  <si>
    <t>Ca Sĩ Mặt Nạ Mùa 2-Tập 14: Anh Chưa Thương Em Đến Vậy Đâu tái xuất phần 2, Voi mang đến sáng tác mới</t>
  </si>
  <si>
    <t>ca si mat na mua 2 tap 14 anh chua thuong em den vay dau tai xuat phan 2 voi mang den sang tac moi</t>
  </si>
  <si>
    <t>2023-11-10T14:00:11.000Z</t>
  </si>
  <si>
    <t>zRi2TLdr_hw</t>
  </si>
  <si>
    <t>https://www.youtube.com/watch?v=zRi2TLdr_hw&amp;list=PLxKLMN7WdG5ANJruYBhSGi5UBRUIhQTbi&amp;index=8</t>
  </si>
  <si>
    <t>Ca Sĩ Mặt Nạ Mùa 2 - Tập 10: OgeNus trợ diễn cho Voi Bản Đôn, Cú Tây Bắc lấy nước mắt</t>
  </si>
  <si>
    <t>ca si mat na mua 2 tap 10 ogenus tro dien cho voi ban don cu tay bac lay nuoc mat</t>
  </si>
  <si>
    <t>2023-10-13T14:00:11.000Z</t>
  </si>
  <si>
    <t>7Tsjl9bOoik</t>
  </si>
  <si>
    <t>https://www.youtube.com/watch?v=7Tsjl9bOoik&amp;list=PLxKLMN7WdG5ANJruYBhSGi5UBRUIhQTbi&amp;index=28</t>
  </si>
  <si>
    <t>Sứa Thủy Tinh "thao túng" Bích Phương, Tóc Tiên sốc vì Thỏ Xỏ Khuyên |The Masked Singer Vietnam 2023</t>
  </si>
  <si>
    <t>sua thuy tinh thao tung bich phuong toc tien soc vi tho xo khuyen the masked singer vietnam 2023</t>
  </si>
  <si>
    <t>2023-08-17T13:00:04.000Z</t>
  </si>
  <si>
    <t>VbycGKiHFW8</t>
  </si>
  <si>
    <t>https://www.youtube.com/watch?v=VbycGKiHFW8&amp;list=PLxKLMN7WdG5ANJruYBhSGi5UBRUIhQTbi&amp;index=2</t>
  </si>
  <si>
    <t>Ca Sĩ Mặt Nạ Mùa 2-Tập 15: Voi Bản Đôn Miêu Quý Tộc cực tình, Ong Bây Bi mashup hit Cắt Đôi Nỗi Sầu</t>
  </si>
  <si>
    <t>ca si mat na mua 2 tap 15 voi ban don mieu quy toc cuc tinh ong bay bi mashup hit cat doi noi sau</t>
  </si>
  <si>
    <t>2023-11-17T14:01:38.000Z</t>
  </si>
  <si>
    <t>y4js--_H3WU</t>
  </si>
  <si>
    <t>https://www.youtube.com/watch?v=y4js--_H3WU&amp;list=PLxKLMN7WdG5ANJruYBhSGi5UBRUIhQTbi&amp;index=19</t>
  </si>
  <si>
    <t>Ca Sĩ Mặt Nạ Mùa 2 - Tập 3: Hit B Ray MASEW gây bão, loạt giọng ca khủng | The Masked Singer Vietnam</t>
  </si>
  <si>
    <t>ca si mat na mua 2 tap 3 hit b ray masew gay bao loat giong ca khung the masked singer vietnam</t>
  </si>
  <si>
    <t>2023-08-18T14:00:12.000Z</t>
  </si>
  <si>
    <t>5jrd9jgivVQ</t>
  </si>
  <si>
    <t>https://www.youtube.com/watch?v=5jrd9jgivVQ&amp;list=PLxKLMN7WdG5ANJruYBhSGi5UBRUIhQTbi&amp;index=29</t>
  </si>
  <si>
    <t>UNCUT: Voi Bản Đôn sơ hở là tiểu phẩm, A Xìn chiều fan màn karaoke | The Masked Singer Vietnam 2023</t>
  </si>
  <si>
    <t>uncut voi ban don so ho la tieu pham a xin chieu fan man karaoke the masked singer vietnam 2023</t>
  </si>
  <si>
    <t>2023-08-17T12:00:04.000Z</t>
  </si>
  <si>
    <t>TBTN</t>
  </si>
  <si>
    <t>Tân Binh Toàn Năng</t>
  </si>
  <si>
    <t>TBTN_2025</t>
  </si>
  <si>
    <t>1ezn2QIqO40</t>
  </si>
  <si>
    <t>https://www.youtube.com/watch?v=1ezn2QIqO40&amp;list=PLkdwPUk2nejAsI3DcmBXdLg1dv1M0XhrL&amp;index=7</t>
  </si>
  <si>
    <t>Tân Binh Toàn Năng 2025 - Tập 9 | Công Diễn 4 căng đét: Game thử thách khiến ai cũng bật SOS!</t>
  </si>
  <si>
    <t>tan binh toan nang 2025 tap 9 cong dien 4 cang det game thu thach khien ai cung bat sos</t>
  </si>
  <si>
    <t>UC_np0YZuvNMIJceE6jHeggQ</t>
  </si>
  <si>
    <t>YeaH1 ONE</t>
  </si>
  <si>
    <t>PLkdwPUk2nejAsI3DcmBXdLg1dv1M0XhrL</t>
  </si>
  <si>
    <t>2025-11-29T13:30:11.000Z</t>
  </si>
  <si>
    <t>2026-08-12T14:00:05.693993+07:00</t>
  </si>
  <si>
    <t>OukmJuGjfOeqqXWfI</t>
  </si>
  <si>
    <t>N4AnQDIElV8</t>
  </si>
  <si>
    <t>https://www.youtube.com/watch?v=N4AnQDIElV8&amp;list=PLkdwPUk2nejAsI3DcmBXdLg1dv1M0XhrL&amp;index=13</t>
  </si>
  <si>
    <t>Tân Binh Toàn Năng 2025 – Tập 3 | SOOBIN &amp; Nhóm Tân Binh choáng trước KID PHENOMENON &amp; JUSTB?</t>
  </si>
  <si>
    <t>tan binh toan nang 2025 tap 3 soobin nhom tan binh choang truoc kid phenomenon justb</t>
  </si>
  <si>
    <t>2025-10-18T13:30:07.000Z</t>
  </si>
  <si>
    <t>3igqxki1h9M</t>
  </si>
  <si>
    <t>https://www.youtube.com/watch?v=3igqxki1h9M&amp;list=PLkdwPUk2nejAsI3DcmBXdLg1dv1M0XhrL&amp;index=17</t>
  </si>
  <si>
    <t>Tân Binh Toàn Năng -  Official Trailer | Hành trình mới bắt đầu: Vinh quang hay vấp ngã?</t>
  </si>
  <si>
    <t>tan binh toan nang official trailer hanh trinh moi bat dau vinh quang hay vap nga</t>
  </si>
  <si>
    <t>2025-09-30T13:00:06.000Z</t>
  </si>
  <si>
    <t>GH2ij7WKDCY</t>
  </si>
  <si>
    <t>https://www.youtube.com/watch?v=GH2ij7WKDCY&amp;list=PLkdwPUk2nejAsI3DcmBXdLg1dv1M0XhrL&amp;index=2</t>
  </si>
  <si>
    <t>Tân Binh Toàn Năng 2025 - Tập 14 | Chặng cuối của giấc mơ, nơi tuổi trẻ bùng cháy rực rỡ</t>
  </si>
  <si>
    <t>tan binh toan nang 2025 tap 14 chang cuoi cua giac mo noi tuoi tre bung chay ruc ro</t>
  </si>
  <si>
    <t>2026-01-03T13:30:11.000Z</t>
  </si>
  <si>
    <t>TuVJsLzz1hQ</t>
  </si>
  <si>
    <t>https://www.youtube.com/watch?v=TuVJsLzz1hQ&amp;list=PLkdwPUk2nejAsI3DcmBXdLg1dv1M0XhrL&amp;index=4</t>
  </si>
  <si>
    <t>Tân Binh Toàn Năng 2025- Tập 12| Công Diễn 5 đổi luật – ai sở hữu màn trình diễn solo đủ bứt phá?</t>
  </si>
  <si>
    <t>tan binh toan nang 2025 tap 12 cong dien 5 doi luat ai so huu man trinh dien solo du but pha</t>
  </si>
  <si>
    <t>2025-12-20T13:30:11.000Z</t>
  </si>
  <si>
    <t>3KyIPaoEv1Y</t>
  </si>
  <si>
    <t>https://www.youtube.com/watch?v=3KyIPaoEv1Y&amp;list=PLkdwPUk2nejAsI3DcmBXdLg1dv1M0XhrL&amp;index=11</t>
  </si>
  <si>
    <t>Tân Binh Toàn Năng 2025 - Tập 5 | Các Tân Binh tá hỏa khi đi xin việc và 1001 biến số bất ngờ</t>
  </si>
  <si>
    <t>tan binh toan nang 2025 tap 5 cac tan binh ta hoa khi di xin viec va 1001 bien so bat ngo</t>
  </si>
  <si>
    <t>2025-11-01T13:30:07.000Z</t>
  </si>
  <si>
    <t>UMKLgnw9oeI</t>
  </si>
  <si>
    <t>https://www.youtube.com/watch?v=UMKLgnw9oeI&amp;list=PLkdwPUk2nejAsI3DcmBXdLg1dv1M0XhrL&amp;index=8</t>
  </si>
  <si>
    <t>Tân Binh Toàn Năng 2025 - Tập 8 | Đội hình cuối cùng Gương Vỡ Làm Lành có cứu được thầy trò SOOBIN?</t>
  </si>
  <si>
    <t>tan binh toan nang 2025 tap 8 doi hinh cuoi cung guong vo lam lanh co cuu duoc thay tro soobin</t>
  </si>
  <si>
    <t>2025-11-22T13:30:07.000Z</t>
  </si>
  <si>
    <t>0Q1dO9JZxOc</t>
  </si>
  <si>
    <t>https://www.youtube.com/watch?v=0Q1dO9JZxOc&amp;list=PLkdwPUk2nejAsI3DcmBXdLg1dv1M0XhrL&amp;index=9</t>
  </si>
  <si>
    <t>Tân Binh Toàn Năng 2025 - Tập 7 | Phúc Nguyên, Long Hoàng &amp; Đức Duy khiến SOOBIN khóc vì?</t>
  </si>
  <si>
    <t>tan binh toan nang 2025 tap 7 phuc nguyen long hoang duc duy khien soobin khoc vi</t>
  </si>
  <si>
    <t>2025-11-15T13:30:07.000Z</t>
  </si>
  <si>
    <t>QFQEzCBM5bM</t>
  </si>
  <si>
    <t>https://www.youtube.com/watch?v=QFQEzCBM5bM&amp;list=PLkdwPUk2nejAsI3DcmBXdLg1dv1M0XhrL&amp;index=3</t>
  </si>
  <si>
    <t>Tân Binh Toàn Năng 2025- Tập 13 | Thời khắc định đoạt : Ai buộc phải rời cuộc chơi trước chung kết?</t>
  </si>
  <si>
    <t>tan binh toan nang 2025 tap 13 thoi khac dinh doat ai buoc phai roi cuoc choi truoc chung ket</t>
  </si>
  <si>
    <t>2025-12-27T13:30:10.000Z</t>
  </si>
  <si>
    <t>e7lqxbooUUc</t>
  </si>
  <si>
    <t>https://www.youtube.com/watch?v=e7lqxbooUUc&amp;list=PLkdwPUk2nejAsI3DcmBXdLg1dv1M0XhrL&amp;index=10</t>
  </si>
  <si>
    <t>Tân Binh Toàn Năng 2025 - Tập 6 | Quyết tâm RÃ BĂNG đồng đội, ai sẽ đủ bản lĩnh làm LEADER?</t>
  </si>
  <si>
    <t>tan binh toan nang 2025 tap 6 quyet tam ra bang dong doi ai se du ban linh lam leader</t>
  </si>
  <si>
    <t>2025-11-08T13:30:07.000Z</t>
  </si>
  <si>
    <t>FXX-c5GwFZE</t>
  </si>
  <si>
    <t>https://www.youtube.com/watch?v=FXX-c5GwFZE&amp;list=PLkdwPUk2nejAsI3DcmBXdLg1dv1M0XhrL&amp;index=16</t>
  </si>
  <si>
    <t>SHOW ME - OFFICIAL THEME SONG | TÂN BINH TOÀN NĂNG 2025</t>
  </si>
  <si>
    <t>show me official theme song tan binh toan nang 2025</t>
  </si>
  <si>
    <t>UCI2OiZs5aVcyBUBVsgovzng</t>
  </si>
  <si>
    <t>YEAH1 MUSIC</t>
  </si>
  <si>
    <t>2025-09-23T12:19:08.000Z</t>
  </si>
  <si>
    <t>show_alias;official_full_playlist;episode_number_missing;duration_too_short</t>
  </si>
  <si>
    <t>yYJxZnk7g7k</t>
  </si>
  <si>
    <t>https://www.youtube.com/watch?v=yYJxZnk7g7k&amp;list=PLkdwPUk2nejAsI3DcmBXdLg1dv1M0XhrL&amp;index=14</t>
  </si>
  <si>
    <t>Tân Binh Toàn Năng 2025 – Tập 2 | Cú twist cực sốc khiến SOOBIN cũng đứng ngồi không yên?</t>
  </si>
  <si>
    <t>tan binh toan nang 2025 tap 2 cu twist cuc soc khien soobin cung dung ngoi khong yen</t>
  </si>
  <si>
    <t>2025-10-11T13:30:07.000Z</t>
  </si>
  <si>
    <t>oBYRLla12fM</t>
  </si>
  <si>
    <t>https://www.youtube.com/watch?v=oBYRLla12fM&amp;list=PLkdwPUk2nejAsI3DcmBXdLg1dv1M0XhrL&amp;index=6</t>
  </si>
  <si>
    <t>Tân Binh Toàn Năng 2025 - Tập 10 | Công Diễn 4 khắc nghiệt - 10 Tân Binh: Ai sẽ là người bước tiếp?</t>
  </si>
  <si>
    <t>tan binh toan nang 2025 tap 10 cong dien 4 khac nghiet 10 tan binh ai se la nguoi buoc tiep</t>
  </si>
  <si>
    <t>2025-12-06T13:30:11.000Z</t>
  </si>
  <si>
    <t>g_YXZ49A1zY</t>
  </si>
  <si>
    <t>https://www.youtube.com/watch?v=g_YXZ49A1zY&amp;list=PLkdwPUk2nejAsI3DcmBXdLg1dv1M0XhrL&amp;index=15</t>
  </si>
  <si>
    <t>Tân Binh Toàn Năng  – Tập 1 | Khởi động hành trình quốc tế: Ai sẽ tạo nên cú sốc ngay vòng mở màn?</t>
  </si>
  <si>
    <t>tan binh toan nang tap 1 khoi dong hanh trinh quoc te ai se tao nen cu soc ngay vong mo man</t>
  </si>
  <si>
    <t>2025-10-04T13:30:07.000Z</t>
  </si>
  <si>
    <t>aKBwDFoYKX0</t>
  </si>
  <si>
    <t>https://www.youtube.com/watch?v=aKBwDFoYKX0&amp;list=PLkdwPUk2nejAsI3DcmBXdLg1dv1M0XhrL&amp;index=12</t>
  </si>
  <si>
    <t>Tân Binh Toàn Năng 2025 - Tập 4 | SOOBIN không nhẹ tay - “kỷ luật thép” khiến Tân Binh tái mặt</t>
  </si>
  <si>
    <t>tan binh toan nang 2025 tap 4 soobin khong nhe tay ky luat thep khien tan binh tai mat</t>
  </si>
  <si>
    <t>2025-10-25T13:30:07.000Z</t>
  </si>
  <si>
    <t>nldxUlVYhwg</t>
  </si>
  <si>
    <t>https://www.youtube.com/watch?v=nldxUlVYhwg&amp;list=PLkdwPUk2nejAsI3DcmBXdLg1dv1M0XhrL&amp;index=5</t>
  </si>
  <si>
    <t>Tân Binh Toàn Năng 2025- Tập 11| “Chữa lành” không thành, mọi thứ như "hoá điên" với các Tân Binh</t>
  </si>
  <si>
    <t>tan binh toan nang 2025 tap 11 chua lanh khong thanh moi thu nhu hoa dien voi cac tan binh</t>
  </si>
  <si>
    <t>2025-12-13T13:30:07.000Z</t>
  </si>
  <si>
    <t>KQQPuP-2Tgs</t>
  </si>
  <si>
    <t>https://www.youtube.com/watch?v=KQQPuP-2Tgs&amp;list=PLkdwPUk2nejAsI3DcmBXdLg1dv1M0XhrL&amp;index=1</t>
  </si>
  <si>
    <t>Tân Binh Toàn Năng 2025 - Tập 15 | Đội hình Debut xuất hiện, ai sẽ là người đi đến cuối cùng?</t>
  </si>
  <si>
    <t>tan binh toan nang 2025 tap 15 doi hinh debut xuat hien ai se la nguoi di den cuoi cung</t>
  </si>
  <si>
    <t>2026-01-17T13:30:11.000Z</t>
  </si>
  <si>
    <t>OURSONG</t>
  </si>
  <si>
    <t>Bài Hát Của Chúng Ta</t>
  </si>
  <si>
    <t>OURSONG_2024</t>
  </si>
  <si>
    <t>Z-z5GnsUEeE</t>
  </si>
  <si>
    <t>https://www.youtube.com/watch?v=Z-z5GnsUEeE&amp;list=PLy_TpcUT2LZs0BkTqKYtAn61FZgtT3XwP&amp;index=4</t>
  </si>
  <si>
    <t>Our Song Việt Nam - Tập 12: Quang Hùng MasterD mở màn cực cháy, Thanh Lam hát dân ca Nam Bộ ngọt lịm</t>
  </si>
  <si>
    <t>our song viet nam tap 12 quang hung masterd mo man cuc chay thanh lam hat dan ca nam bo ngot lim</t>
  </si>
  <si>
    <t>PLy_TpcUT2LZs0BkTqKYtAn61FZgtT3XwP</t>
  </si>
  <si>
    <t>2024-11-17T14:30:07.000Z</t>
  </si>
  <si>
    <t>2026-08-12T14:00:36.110442+07:00</t>
  </si>
  <si>
    <t>csqekMeoBu6i3BPbj</t>
  </si>
  <si>
    <t>RoBPjIwFbb0</t>
  </si>
  <si>
    <t>https://www.youtube.com/watch?v=RoBPjIwFbb0&amp;list=PLy_TpcUT2LZs0BkTqKYtAn61FZgtT3XwP&amp;index=9</t>
  </si>
  <si>
    <t>Our Song Việt Nam-Tập 7:Mai Tiến Dũng lột xác cùng Pháp Kiều, Orange "rén"vì sức nóng từ liên minh B</t>
  </si>
  <si>
    <t>our song viet nam tap 7 mai tien dung lot xac cung phap kieu orange ren vi suc nong tu lien minh b</t>
  </si>
  <si>
    <t>2024-10-13T14:30:06.000Z</t>
  </si>
  <si>
    <t>PJ7ZVNcyqvM</t>
  </si>
  <si>
    <t>https://www.youtube.com/watch?v=PJ7ZVNcyqvM&amp;list=PLy_TpcUT2LZs0BkTqKYtAn61FZgtT3XwP&amp;index=5</t>
  </si>
  <si>
    <t>Our Song Việt Nam - Tập 11: Thanh Lam - Thu Minh đối đầu nghẹt thở, Orange cosplay "bạn gái Joker"</t>
  </si>
  <si>
    <t>our song viet nam tap 11 thanh lam thu minh doi dau nghet tho orange cosplay ban gai joker</t>
  </si>
  <si>
    <t>2024-11-10T14:30:06.000Z</t>
  </si>
  <si>
    <t>nv-EC2OPtYw</t>
  </si>
  <si>
    <t>https://www.youtube.com/watch?v=nv-EC2OPtYw&amp;list=PLy_TpcUT2LZs0BkTqKYtAn61FZgtT3XwP&amp;index=1</t>
  </si>
  <si>
    <t>Our Song Việt Nam-Tập 14: Đêm Công Bố &amp; Trao Giải: "Sao Hạng A" hội tụ, cặp đôi nào sẽ là Quán quân?</t>
  </si>
  <si>
    <t>our song viet nam tap 14 dem cong bo trao giai sao hang a hoi tu cap doi nao se la quan quan</t>
  </si>
  <si>
    <t>2024-12-01T14:15:06.000Z</t>
  </si>
  <si>
    <t>https://www.youtube.com/watch?v=2V20IKyMqnM&amp;list=PLy_TpcUT2LZs0BkTqKYtAn61FZgtT3XwP&amp;index=2</t>
  </si>
  <si>
    <t>1PbUucFccGg</t>
  </si>
  <si>
    <t>https://www.youtube.com/watch?v=1PbUucFccGg&amp;list=PLy_TpcUT2LZs0BkTqKYtAn61FZgtT3XwP&amp;index=3</t>
  </si>
  <si>
    <t>Our Song Việt Nam - Tập 13: Top 3 tạo cơn địa chấn đêm chung kết, Kim Phút Kim Giờ tung version mới</t>
  </si>
  <si>
    <t>our song viet nam tap 13 top 3 tao con dia chan dem chung ket kim phut kim gio tung version moi</t>
  </si>
  <si>
    <t>2024-11-24T14:30:07.000Z</t>
  </si>
  <si>
    <t>0HMkCTg_IFE</t>
  </si>
  <si>
    <t>https://www.youtube.com/watch?v=0HMkCTg_IFE&amp;list=PLy_TpcUT2LZs0BkTqKYtAn61FZgtT3XwP&amp;index=12</t>
  </si>
  <si>
    <t>Our Song Việt Nam-Tập 4: Lương Bích Hữu tái hiện Thế giới Vpop, LyLy mượn rượu tỏ tình Mai Tiến Dũng</t>
  </si>
  <si>
    <t>our song viet nam tap 4 luong bich huu tai hien the gioi vpop lyly muon ruou to tinh mai tien dung</t>
  </si>
  <si>
    <t>2024-09-22T14:30:07.000Z</t>
  </si>
  <si>
    <t>RYPVmeZ0RCk</t>
  </si>
  <si>
    <t>https://www.youtube.com/watch?v=RYPVmeZ0RCk&amp;list=PLy_TpcUT2LZs0BkTqKYtAn61FZgtT3XwP&amp;index=10</t>
  </si>
  <si>
    <t>Our Song Việt Nam-Tập 6: Vũ Thảo My-WEAN thiêu đốt sân khấu, Hoàng Hải flex trình hát opera cực đỉnh</t>
  </si>
  <si>
    <t>our song viet nam tap 6 vu thao my wean thieu dot san khau hoang hai flex trinh hat opera cuc dinh</t>
  </si>
  <si>
    <t>2024-10-06T14:30:08.000Z</t>
  </si>
  <si>
    <t>oR-NS4hr6T0</t>
  </si>
  <si>
    <t>https://www.youtube.com/watch?v=oR-NS4hr6T0&amp;list=PLy_TpcUT2LZs0BkTqKYtAn61FZgtT3XwP&amp;index=11</t>
  </si>
  <si>
    <t>Our Song Việt Nam - Tập 5: Quang Linh nhảy disco chấn động, Phạm Anh Duy hội ngộ dàn Anh Trai Say Hi</t>
  </si>
  <si>
    <t>our song viet nam tap 5 quang linh nhay disco chan dong pham anh duy hoi ngo dan anh trai say hi</t>
  </si>
  <si>
    <t>2024-09-29T14:30:22.000Z</t>
  </si>
  <si>
    <t>nFzKI9YrWLQ</t>
  </si>
  <si>
    <t>https://www.youtube.com/watch?v=nFzKI9YrWLQ&amp;list=PLy_TpcUT2LZs0BkTqKYtAn61FZgtT3XwP&amp;index=15</t>
  </si>
  <si>
    <t>Our Song Việt Nam - Tập 1: Quang Linh phiêu cùng nhạc Orange, LyLy cực slay và cháy với guitar điện</t>
  </si>
  <si>
    <t>our song viet nam tap 1 quang linh phieu cung nhac orange lyly cuc slay va chay voi guitar dien</t>
  </si>
  <si>
    <t>2024-08-25T14:30:07.000Z</t>
  </si>
  <si>
    <t>npvwYFAww5o</t>
  </si>
  <si>
    <t>https://www.youtube.com/watch?v=npvwYFAww5o&amp;list=PLy_TpcUT2LZs0BkTqKYtAn61FZgtT3XwP&amp;index=8</t>
  </si>
  <si>
    <t>Our Song Việt Nam - Tập 8: Thu Minh - Lương Bích Hữu bứt phá, hé lộ 2 nghệ sĩ đầu tiên rời cuộc chơi</t>
  </si>
  <si>
    <t>our song viet nam tap 8 thu minh luong bich huu but pha he lo 2 nghe si dau tien roi cuoc choi</t>
  </si>
  <si>
    <t>2024-10-20T14:30:06.000Z</t>
  </si>
  <si>
    <t>ElnXBYa2hsQ</t>
  </si>
  <si>
    <t>https://www.youtube.com/watch?v=ElnXBYa2hsQ&amp;list=PLy_TpcUT2LZs0BkTqKYtAn61FZgtT3XwP&amp;index=6</t>
  </si>
  <si>
    <t>Our Song Việt Nam - Tập 10: Quang Linh tung chiêu đu dây, Lương Bích Hữu hóa nữ thần mê hoặc OgeNus</t>
  </si>
  <si>
    <t>our song viet nam tap 10 quang linh tung chieu du day luong bich huu hoa nu than me hoac ogenus</t>
  </si>
  <si>
    <t>2024-11-03T14:30:06.000Z</t>
  </si>
  <si>
    <t>MbLvPIt7cAA</t>
  </si>
  <si>
    <t>https://www.youtube.com/watch?v=MbLvPIt7cAA&amp;list=PLy_TpcUT2LZs0BkTqKYtAn61FZgtT3XwP&amp;index=13</t>
  </si>
  <si>
    <t>Our Song Việt Nam -Tập 3: Thanh Hà-Ngọc Anh “đấu khẩu”,Dương Lâm cosplay Thu Minh làm lễ “tuyên thệ”</t>
  </si>
  <si>
    <t>our song viet nam tap 3 thanh ha ngoc anh dau khau duong lam cosplay thu minh lam le tuyen the</t>
  </si>
  <si>
    <t>2024-09-08T14:30:13.000Z</t>
  </si>
  <si>
    <t>ygktYBEwWTU</t>
  </si>
  <si>
    <t>https://www.youtube.com/watch?v=ygktYBEwWTU&amp;list=PLy_TpcUT2LZs0BkTqKYtAn61FZgtT3XwP&amp;index=14</t>
  </si>
  <si>
    <t>Our Song Việt Nam - Tập 2: Thu Minh khiến OgeNus "mù quáng", Trấn Thành từ chối "miếng" Phạm Anh Duy</t>
  </si>
  <si>
    <t>our song viet nam tap 2 thu minh khien ogenus mu quang tran thanh tu choi mieng pham anh duy</t>
  </si>
  <si>
    <t>2024-09-01T14:30:07.000Z</t>
  </si>
  <si>
    <t>RUpi6MrvdUo</t>
  </si>
  <si>
    <t>https://www.youtube.com/watch?v=RUpi6MrvdUo&amp;list=PLy_TpcUT2LZs0BkTqKYtAn61FZgtT3XwP&amp;index=7</t>
  </si>
  <si>
    <t>Our Song Việt Nam-Tập 9:Thanh Hà - Phạm Anh Duy làm nên siêu phẩm, một OG bất ngờ xin dừng cuộc chơi</t>
  </si>
  <si>
    <t>our song viet nam tap 9 thanh ha pham anh duy lam nen sieu pham mot og bat ngo xin dung cuoc choi</t>
  </si>
  <si>
    <t>2024-10-27T14:30:06.000Z</t>
  </si>
  <si>
    <t>NHVDDP</t>
  </si>
  <si>
    <t>Nữ Hoàng Vũ Đạo Đường Phố</t>
  </si>
  <si>
    <t>NHVDDP_2024</t>
  </si>
  <si>
    <t>Tua7IjtxPWA</t>
  </si>
  <si>
    <t>https://www.youtube.com/watch?v=Tua7IjtxPWA&amp;list=PLJSRfYQoW3dlrKn-U263kJN6t8JogGz0r&amp;index=1</t>
  </si>
  <si>
    <t>Nữ Hoàng Vũ Đạo Đường Phố | Tập 15 | So Fire dễ thương và tỏa sáng, “loi choi” cùng “Tò Te Tí”</t>
  </si>
  <si>
    <t>nu hoang vu dao duong pho tap 15 so fire de thuong va toa sang loi choi cung to te ti</t>
  </si>
  <si>
    <t>UCbq8aOyj9ZtIqcD-0MwG1fQ</t>
  </si>
  <si>
    <t>HTV Entertainment</t>
  </si>
  <si>
    <t>PLJSRfYQoW3dlrKn-U263kJN6t8JogGz0r</t>
  </si>
  <si>
    <t>2024-11-12T07:53:44.000Z</t>
  </si>
  <si>
    <t>2026-08-12T14:03:56.520484+07:00</t>
  </si>
  <si>
    <t>c78HBFzRv6MDmbCg3</t>
  </si>
  <si>
    <t>jyNIIb4Vzj4</t>
  </si>
  <si>
    <t>https://www.youtube.com/watch?v=jyNIIb4Vzj4&amp;list=PLJSRfYQoW3dlrKn-U263kJN6t8JogGz0r&amp;index=10</t>
  </si>
  <si>
    <t>Nữ Hoàng Vũ Đạo Đường Phố | Tập 11 | Siêu đội hình đầy chất Hip-hop từ SS Warriorz</t>
  </si>
  <si>
    <t>nu hoang vu dao duong pho tap 11 sieu doi hinh day chat hip hop tu ss warriorz</t>
  </si>
  <si>
    <t>2024-10-14T06:00:25.000Z</t>
  </si>
  <si>
    <t>4VA5JTktIBQ</t>
  </si>
  <si>
    <t>https://www.youtube.com/watch?v=4VA5JTktIBQ&amp;list=PLJSRfYQoW3dlrKn-U263kJN6t8JogGz0r&amp;index=7</t>
  </si>
  <si>
    <t>Nữ Hoàng Vũ Đạo Đường Phố |Tập 12| HaNoi X-Girls “bung lụa” cùng thanh âm Hà Nội!</t>
  </si>
  <si>
    <t>nu hoang vu dao duong pho tap 12 hanoi x girls bung lua cung thanh am ha noi</t>
  </si>
  <si>
    <t>2024-10-18T04:00:03.000Z</t>
  </si>
  <si>
    <t>L916R-5CvPM</t>
  </si>
  <si>
    <t>https://www.youtube.com/watch?v=L916R-5CvPM&amp;list=PLJSRfYQoW3dlrKn-U263kJN6t8JogGz0r&amp;index=17</t>
  </si>
  <si>
    <t>Nữ Hoàng Vũ Đạo Đường Phố |Tập 10| Thét gào với sàn đấu bốc lửa giữa Mai Thiên Quân và SHIN</t>
  </si>
  <si>
    <t>nu hoang vu dao duong pho tap 10 thet gao voi san dau boc lua giua mai thien quan va shin</t>
  </si>
  <si>
    <t>2024-10-03T06:30:07.000Z</t>
  </si>
  <si>
    <t>i-ijgUHHKrk</t>
  </si>
  <si>
    <t>https://www.youtube.com/watch?v=i-ijgUHHKrk&amp;list=PLJSRfYQoW3dlrKn-U263kJN6t8JogGz0r&amp;index=19</t>
  </si>
  <si>
    <t>Nữ Hoàng Vũ Đạo Đường Phố | Tập 10 (28/9/2024)</t>
  </si>
  <si>
    <t>nu hoang vu dao duong pho tap 10 28 9 2024</t>
  </si>
  <si>
    <t>2024-09-28T14:00:39.000Z</t>
  </si>
  <si>
    <t>ChZ1BBGYGJc</t>
  </si>
  <si>
    <t>https://www.youtube.com/watch?v=ChZ1BBGYGJc&amp;list=PLJSRfYQoW3dlrKn-U263kJN6t8JogGz0r&amp;index=8</t>
  </si>
  <si>
    <t>Nữ Hoàng Vũ Đạo Đường Phố | Tập 12 | Mãn nhãn trước độ đồng đều của “đội cứu hỏa” SO FIRE Crew</t>
  </si>
  <si>
    <t>nu hoang vu dao duong pho tap 12 man nhan truoc do dong deu cua doi cuu hoa so fire crew</t>
  </si>
  <si>
    <t>2024-10-15T09:30:04.000Z</t>
  </si>
  <si>
    <t>bRws8hLBkYA</t>
  </si>
  <si>
    <t>https://www.youtube.com/watch?v=bRws8hLBkYA&amp;list=PLJSRfYQoW3dlrKn-U263kJN6t8JogGz0r&amp;index=14</t>
  </si>
  <si>
    <t>Nữ Hoàng Vũ Đạo Đường Phố | Tập 11 | “Ngọn lửa” của OOPS! khiến các đối thủ phải e dè</t>
  </si>
  <si>
    <t>nu hoang vu dao duong pho tap 11 ngon lua cua oops khien cac doi thu phai e de</t>
  </si>
  <si>
    <t>2024-10-09T06:30:19.000Z</t>
  </si>
  <si>
    <t>9NL9gYnsxRU</t>
  </si>
  <si>
    <t>https://www.youtube.com/watch?v=9NL9gYnsxRU&amp;list=PLJSRfYQoW3dlrKn-U263kJN6t8JogGz0r&amp;index=2</t>
  </si>
  <si>
    <t>Nữ hoàng vũ đạo đường phố |Tập 15| So Fire “bùng nổ" rực rỡ như pháo hoa trong đêm chung kết!</t>
  </si>
  <si>
    <t>nu hoang vu dao duong pho tap 15 so fire bung no ruc ro nhu phao hoa trong dem chung ket</t>
  </si>
  <si>
    <t>2024-11-05T12:00:11.000Z</t>
  </si>
  <si>
    <t>zIk9YrGXkSs</t>
  </si>
  <si>
    <t>https://www.youtube.com/watch?v=zIk9YrGXkSs&amp;list=PLJSRfYQoW3dlrKn-U263kJN6t8JogGz0r&amp;index=12</t>
  </si>
  <si>
    <t>Nữ Hoàng Vũ Đạo Đường Phố |Tập 11| FED cùng Ciin mang cơn lốc qua các vũ đạo “chất lừ"</t>
  </si>
  <si>
    <t>nu hoang vu dao duong pho tap 11 fed cung ciin mang con loc qua cac vu dao chat lu</t>
  </si>
  <si>
    <t>2024-10-10T07:05:36.000Z</t>
  </si>
  <si>
    <t>wt5G_kL6DYc</t>
  </si>
  <si>
    <t>https://www.youtube.com/watch?v=wt5G_kL6DYc&amp;list=PLJSRfYQoW3dlrKn-U263kJN6t8JogGz0r&amp;index=4</t>
  </si>
  <si>
    <t>Nữ Hoàng Vũ Đạo Đường Phố | Tập 14 (26/10/2024)</t>
  </si>
  <si>
    <t>nu hoang vu dao duong pho tap 14 26 10 2024</t>
  </si>
  <si>
    <t>2024-10-26T14:00:54.000Z</t>
  </si>
  <si>
    <t>yZPrz88i-Rs</t>
  </si>
  <si>
    <t>https://www.youtube.com/watch?v=yZPrz88i-Rs&amp;list=PLJSRfYQoW3dlrKn-U263kJN6t8JogGz0r&amp;index=6</t>
  </si>
  <si>
    <t>HaNoi X-Girls “bung lụa” cùng thanh âm Hà Nội!</t>
  </si>
  <si>
    <t>hanoi x girls bung lua cung thanh am ha noi</t>
  </si>
  <si>
    <t>2024-10-18T05:30:25.000Z</t>
  </si>
  <si>
    <t>Hcv7pu_7XMc</t>
  </si>
  <si>
    <t>https://www.youtube.com/watch?v=Hcv7pu_7XMc&amp;list=PLJSRfYQoW3dlrKn-U263kJN6t8JogGz0r&amp;index=9</t>
  </si>
  <si>
    <t>Nữ Hoàng Vũ Đạo Đường Phố | Tập 12 | F.E.D vỡ òa khi lội ngược dòng, tiến thẳng vào đêm chung kết</t>
  </si>
  <si>
    <t>nu hoang vu dao duong pho tap 12 f e d vo oa khi loi nguoc dong tien thang vao dem chung ket</t>
  </si>
  <si>
    <t>2024-10-15T08:15:00.000Z</t>
  </si>
  <si>
    <t>https://www.youtube.com/watch?v=-H8-h4jsRvk&amp;list=PLJSRfYQoW3dlrKn-U263kJN6t8JogGz0r&amp;index=23</t>
  </si>
  <si>
    <t>Nữ Hoàng Vũ Đạo Đường Phố | Tập 8 | HaNoi X-Girl bùng nổ sân khấu trận đấu sống còn</t>
  </si>
  <si>
    <t>nu hoang vu dao duong pho tap 8 hanoi x girl bung no san khau tran dau song con</t>
  </si>
  <si>
    <t>2024-09-19T07:31:10.000Z</t>
  </si>
  <si>
    <t>pOq36klOdUM</t>
  </si>
  <si>
    <t>https://www.youtube.com/watch?v=pOq36klOdUM&amp;list=PLJSRfYQoW3dlrKn-U263kJN6t8JogGz0r&amp;index=22</t>
  </si>
  <si>
    <t>2024-09-19T08:00:35.000Z</t>
  </si>
  <si>
    <t>kSE_KVOSi28</t>
  </si>
  <si>
    <t>https://www.youtube.com/watch?v=kSE_KVOSi28&amp;list=PLJSRfYQoW3dlrKn-U263kJN6t8JogGz0r&amp;index=16</t>
  </si>
  <si>
    <t>Thét gào với sàn đấu bốc lửa giữa Mai Thiên Quân và SHIN</t>
  </si>
  <si>
    <t>thet gao voi san dau boc lua giua mai thien quan va shin</t>
  </si>
  <si>
    <t>2024-10-03T07:00:30.000Z</t>
  </si>
  <si>
    <t>49Qgth6Ga04</t>
  </si>
  <si>
    <t>https://www.youtube.com/watch?v=49Qgth6Ga04&amp;list=PLJSRfYQoW3dlrKn-U263kJN6t8JogGz0r&amp;index=3</t>
  </si>
  <si>
    <t>Nữ Hoàng Vũ Đạo Đường Phố | Tập 15 (2/11/2024)</t>
  </si>
  <si>
    <t>nu hoang vu dao duong pho tap 15 2 11 2024</t>
  </si>
  <si>
    <t>2024-11-02T14:00:03.000Z</t>
  </si>
  <si>
    <t>FR8_XKE2Psc</t>
  </si>
  <si>
    <t>https://www.youtube.com/watch?v=FR8_XKE2Psc&amp;list=PLJSRfYQoW3dlrKn-U263kJN6t8JogGz0r&amp;index=18</t>
  </si>
  <si>
    <t>Nữ Hoàng Vũ Đạo Đường Phố | Tập 10 | Các chiến binh đấu hết mình trong vòng đấu loại đầu tiên</t>
  </si>
  <si>
    <t>nu hoang vu dao duong pho tap 10 cac chien binh dau het minh trong vong dau loai dau tien</t>
  </si>
  <si>
    <t>2024-10-03T05:45:00.000Z</t>
  </si>
  <si>
    <t>8ClSKzIXYPo</t>
  </si>
  <si>
    <t>https://www.youtube.com/watch?v=8ClSKzIXYPo&amp;list=PLJSRfYQoW3dlrKn-U263kJN6t8JogGz0r&amp;index=21</t>
  </si>
  <si>
    <t>Nữ Hoàng Vũ Đạo Đường Phố | Tập 9:"Ba thẻ màu Đỏ"- Đối đầu khốc liệt qua từng bước nhảy! (21/9/2024)</t>
  </si>
  <si>
    <t>nu hoang vu dao duong pho tap 9 ba the mau do doi dau khoc liet qua tung buoc nhay 21 9 2024</t>
  </si>
  <si>
    <t>2024-09-21T14:00:11.000Z</t>
  </si>
  <si>
    <t>jMjaJ7T8a5s</t>
  </si>
  <si>
    <t>https://www.youtube.com/watch?v=jMjaJ7T8a5s&amp;list=PLJSRfYQoW3dlrKn-U263kJN6t8JogGz0r&amp;index=24</t>
  </si>
  <si>
    <t>Nữ Hoàng Vũ Đạo Đường Phố | Tập 8 (14/9/2024)</t>
  </si>
  <si>
    <t>nu hoang vu dao duong pho tap 8 14 9 2024</t>
  </si>
  <si>
    <t>2024-09-14T14:00:41.000Z</t>
  </si>
  <si>
    <t>FPKouqoV1Ko</t>
  </si>
  <si>
    <t>https://www.youtube.com/watch?v=FPKouqoV1Ko&amp;list=PLJSRfYQoW3dlrKn-U263kJN6t8JogGz0r&amp;index=20</t>
  </si>
  <si>
    <t>Nữ Hoàng Vũ Đạo Đường Phố | Tập 8 | Bùng nổ với sự xuất hiện của “BADA LEE”</t>
  </si>
  <si>
    <t>nu hoang vu dao duong pho tap 8 bung no voi su xuat hien cua bada lee</t>
  </si>
  <si>
    <t>2024-09-24T07:00:06.000Z</t>
  </si>
  <si>
    <t>dFxGitO9qnA</t>
  </si>
  <si>
    <t>https://www.youtube.com/watch?v=dFxGitO9qnA&amp;list=PLJSRfYQoW3dlrKn-U263kJN6t8JogGz0r&amp;index=25</t>
  </si>
  <si>
    <t>Nữ Hoàng Vũ Đạo Đường Phố | Tập 7 (7/9/2024)</t>
  </si>
  <si>
    <t>nu hoang vu dao duong pho tap 7 7 9 2024</t>
  </si>
  <si>
    <t>2024-09-07T14:00:36.000Z</t>
  </si>
  <si>
    <t>ZZMJerV79nc</t>
  </si>
  <si>
    <t>https://www.youtube.com/watch?v=ZZMJerV79nc&amp;list=PLJSRfYQoW3dlrKn-U263kJN6t8JogGz0r&amp;index=28</t>
  </si>
  <si>
    <t>Nữ Hoàng Vũ Đạo Đường Phố | Tập 5 (24/8/2024)</t>
  </si>
  <si>
    <t>nu hoang vu dao duong pho tap 5 24 8 2024</t>
  </si>
  <si>
    <t>2024-08-24T14:00:29.000Z</t>
  </si>
  <si>
    <t>c08b2mQQSWI</t>
  </si>
  <si>
    <t>https://www.youtube.com/watch?v=c08b2mQQSWI&amp;list=PLJSRfYQoW3dlrKn-U263kJN6t8JogGz0r&amp;index=26</t>
  </si>
  <si>
    <t>Nữ Hoàng Vũ Đạo Đường Phố | Tập 6 (31/8/2024)</t>
  </si>
  <si>
    <t>nu hoang vu dao duong pho tap 6 31 8 2024</t>
  </si>
  <si>
    <t>2024-08-31T14:00:37.000Z</t>
  </si>
  <si>
    <t>wA2gFjZdbpk</t>
  </si>
  <si>
    <t>https://www.youtube.com/watch?v=wA2gFjZdbpk&amp;list=PLJSRfYQoW3dlrKn-U263kJN6t8JogGz0r&amp;index=34</t>
  </si>
  <si>
    <t>Nữ Hoàng Vũ Đạo Đường Phố | Tập 3 | Minga – Vergina – Groovie làm “tan chảy” Marshmallow</t>
  </si>
  <si>
    <t>nu hoang vu dao duong pho tap 3 minga vergina groovie lam tan chay marshmallow</t>
  </si>
  <si>
    <t>2024-08-12T14:00:50.000Z</t>
  </si>
  <si>
    <t>06Z2gehsFqw</t>
  </si>
  <si>
    <t>https://www.youtube.com/watch?v=06Z2gehsFqw&amp;list=PLJSRfYQoW3dlrKn-U263kJN6t8JogGz0r&amp;index=5</t>
  </si>
  <si>
    <t>Nữ Hoàng Vũ Đạo Đường Phố | Tập 13 (19/10/2024)</t>
  </si>
  <si>
    <t>nu hoang vu dao duong pho tap 13 19 10 2024</t>
  </si>
  <si>
    <t>2024-10-20T04:52:47.000Z</t>
  </si>
  <si>
    <t>lnVmE9-TjAg</t>
  </si>
  <si>
    <t>https://www.youtube.com/watch?v=lnVmE9-TjAg&amp;list=PLJSRfYQoW3dlrKn-U263kJN6t8JogGz0r&amp;index=39</t>
  </si>
  <si>
    <t>Nữ Hoàng Vũ Đạo Đường Phố | Tập 2 | Trận chiến tìm ra “bông hồng” thật sự của Linh PC và Rosie</t>
  </si>
  <si>
    <t>nu hoang vu dao duong pho tap 2 tran chien tim ra bong hong that su cua linh pc va rosie</t>
  </si>
  <si>
    <t>2024-08-09T13:15:06.000Z</t>
  </si>
  <si>
    <t>IfNv1umcw34</t>
  </si>
  <si>
    <t>https://www.youtube.com/watch?v=IfNv1umcw34&amp;list=PLJSRfYQoW3dlrKn-U263kJN6t8JogGz0r&amp;index=29</t>
  </si>
  <si>
    <t>Không có chuyện "cướp" được vũ đạo FED Cộ đâu</t>
  </si>
  <si>
    <t>khong co chuyen cuop duoc vu dao fed co dau</t>
  </si>
  <si>
    <t>2024-08-21T02:00:06.000Z</t>
  </si>
  <si>
    <t>_ds0XZOGdLA</t>
  </si>
  <si>
    <t>https://www.youtube.com/watch?v=_ds0XZOGdLA&amp;list=PLJSRfYQoW3dlrKn-U263kJN6t8JogGz0r&amp;index=42</t>
  </si>
  <si>
    <t>Nữ Hoàng Vũ Đạo Đường Phố | Tập 2 |  Lần đầu phá luật xuất hiện “2 màn tái đấu” cực chiến</t>
  </si>
  <si>
    <t>nu hoang vu dao duong pho tap 2 lan dau pha luat xuat hien 2 man tai dau cuc chien</t>
  </si>
  <si>
    <t>2024-08-09T08:36:35.000Z</t>
  </si>
  <si>
    <t>ovttO7B7qfo</t>
  </si>
  <si>
    <t>https://www.youtube.com/watch?v=ovttO7B7qfo&amp;list=PLJSRfYQoW3dlrKn-U263kJN6t8JogGz0r&amp;index=41</t>
  </si>
  <si>
    <t>Nữ Hoàng Vũ Đạo Đường Phố | Tập 2 |  “Oan gia ngõ hẹp” cuộc chiến căng cực của Lu và KYY</t>
  </si>
  <si>
    <t>nu hoang vu dao duong pho tap 2 oan gia ngo hep cuoc chien cang cuc cua lu va kyy</t>
  </si>
  <si>
    <t>2024-08-09T09:30:21.000Z</t>
  </si>
  <si>
    <t>wiJOqhjg0og</t>
  </si>
  <si>
    <t>https://www.youtube.com/watch?v=wiJOqhjg0og&amp;list=PLJSRfYQoW3dlrKn-U263kJN6t8JogGz0r&amp;index=40</t>
  </si>
  <si>
    <t>Trận chiến tìm ra “bông hồng” thật sự của Linh PC và Rosie</t>
  </si>
  <si>
    <t>tran chien tim ra bong hong that su cua linh pc va rosie</t>
  </si>
  <si>
    <t>2024-08-09T12:15:05.000Z</t>
  </si>
  <si>
    <t>_Y_4Jtyt6SA</t>
  </si>
  <si>
    <t>https://www.youtube.com/watch?v=_Y_4Jtyt6SA&amp;list=PLJSRfYQoW3dlrKn-U263kJN6t8JogGz0r&amp;index=31</t>
  </si>
  <si>
    <t>“Tức nước vỡ bờ” Salad quyết định dừng lại…</t>
  </si>
  <si>
    <t>tuc nuoc vo bo salad quyet dinh dung lai</t>
  </si>
  <si>
    <t>2024-08-19T14:00:35.000Z</t>
  </si>
  <si>
    <t>z2_54GZwNKs</t>
  </si>
  <si>
    <t>https://www.youtube.com/watch?v=z2_54GZwNKs&amp;list=PLJSRfYQoW3dlrKn-U263kJN6t8JogGz0r&amp;index=37</t>
  </si>
  <si>
    <t>Nữ Hoàng Vũ Đạo Đường Phố | Tập 3 | Mai Thiên Quân “bại trận” dưới tay Shin</t>
  </si>
  <si>
    <t>nu hoang vu dao duong pho tap 3 mai thien quan bai tran duoi tay shin</t>
  </si>
  <si>
    <t>2024-08-12T11:01:02.000Z</t>
  </si>
  <si>
    <t>OTX_FyYglZ0</t>
  </si>
  <si>
    <t>https://www.youtube.com/watch?v=OTX_FyYglZ0&amp;list=PLJSRfYQoW3dlrKn-U263kJN6t8JogGz0r&amp;index=43</t>
  </si>
  <si>
    <t>Nữ Hoàng Vũ Đạo Đường Phố | Tập 2 (3/8/2024)</t>
  </si>
  <si>
    <t>nu hoang vu dao duong pho tap 2 3 8 2024</t>
  </si>
  <si>
    <t>2024-08-03T14:00:28.000Z</t>
  </si>
  <si>
    <t>6N_lgzv3wFs</t>
  </si>
  <si>
    <t>https://www.youtube.com/watch?v=6N_lgzv3wFs&amp;list=PLJSRfYQoW3dlrKn-U263kJN6t8JogGz0r&amp;index=27</t>
  </si>
  <si>
    <t>Nữ Hoàng Vũ Đạo Đường Phố - Tập 5 | FED Cộ cua gắt, chỉ điểm BONGPLAYBANG là vũ công yếu nhất</t>
  </si>
  <si>
    <t>nu hoang vu dao duong pho tap 5 fed co cua gat chi diem bongplaybang la vu cong yeu nhat</t>
  </si>
  <si>
    <t>2024-08-29T09:30:04.000Z</t>
  </si>
  <si>
    <t>CPmD7uSgisE</t>
  </si>
  <si>
    <t>https://www.youtube.com/watch?v=CPmD7uSgisE&amp;list=PLJSRfYQoW3dlrKn-U263kJN6t8JogGz0r&amp;index=13</t>
  </si>
  <si>
    <t>Các chiến binh “gai góc” SS WarriorZ nay đã rơi lệ</t>
  </si>
  <si>
    <t>cac chien binh gai goc ss warriorz nay da roi le</t>
  </si>
  <si>
    <t>2024-10-09T07:15:00.000Z</t>
  </si>
  <si>
    <t>-8aJGDB6bAk</t>
  </si>
  <si>
    <t>https://www.youtube.com/watch?v=-8aJGDB6bAk&amp;list=PLJSRfYQoW3dlrKn-U263kJN6t8JogGz0r&amp;index=11</t>
  </si>
  <si>
    <t>Nữ Hoàng Vũ Đạo Đường Phố | Tập 12 (12/10/2024)</t>
  </si>
  <si>
    <t>nu hoang vu dao duong pho tap 12 12 10 2024</t>
  </si>
  <si>
    <t>2024-10-12T14:00:00.000Z</t>
  </si>
  <si>
    <t>tQhiPGEV804</t>
  </si>
  <si>
    <t>https://www.youtube.com/watch?v=tQhiPGEV804&amp;list=PLJSRfYQoW3dlrKn-U263kJN6t8JogGz0r&amp;index=32</t>
  </si>
  <si>
    <t>Nữ Hoàng Vũ Đạo Đường Phố | Tập 4 | Các trưởng nhóm “cực nóng” trên con đường “cướp” vũ đạo</t>
  </si>
  <si>
    <t>nu hoang vu dao duong pho tap 4 cac truong nhom cuc nong tren con duong cuop vu dao</t>
  </si>
  <si>
    <t>2024-08-19T08:30:26.000Z</t>
  </si>
  <si>
    <t>SSOV0D6Od4U</t>
  </si>
  <si>
    <t>https://www.youtube.com/watch?v=SSOV0D6Od4U&amp;list=PLJSRfYQoW3dlrKn-U263kJN6t8JogGz0r&amp;index=15</t>
  </si>
  <si>
    <t>Nữ Hoàng Vũ Đạo Đường Phố | Tập 11: Hứng khởi - căng thẳng "SS Warriors có vượt qua"!  (5/10/2024)</t>
  </si>
  <si>
    <t>nu hoang vu dao duong pho tap 11 hung khoi cang thang ss warriors co vuot qua 5 10 2024</t>
  </si>
  <si>
    <t>2024-10-05T14:00:22.000Z</t>
  </si>
  <si>
    <t>u_N5KQqTLNo</t>
  </si>
  <si>
    <t>https://www.youtube.com/watch?v=u_N5KQqTLNo&amp;list=PLJSRfYQoW3dlrKn-U263kJN6t8JogGz0r&amp;index=30</t>
  </si>
  <si>
    <t>Nữ Hoàng Vũ Đạo Đường Phố - Tập 4 | Không có chuyện "cướp" được vũ đạo FED Cộ đâu</t>
  </si>
  <si>
    <t>nu hoang vu dao duong pho tap 4 khong co chuyen cuop duoc vu dao fed co dau</t>
  </si>
  <si>
    <t>2024-08-20T12:45:06.000Z</t>
  </si>
  <si>
    <t>show_alias;numbered_episode;official_channel</t>
  </si>
  <si>
    <t>m1GBObf7OJs</t>
  </si>
  <si>
    <t>https://www.youtube.com/watch?v=m1GBObf7OJs&amp;list=PLJSRfYQoW3dlrKn-U263kJN6t8JogGz0r&amp;index=38</t>
  </si>
  <si>
    <t>Nữ Hoàng Vũ Đạo Đường Phố | Tập 3 (10/8/2024)</t>
  </si>
  <si>
    <t>nu hoang vu dao duong pho tap 3 10 8 2024</t>
  </si>
  <si>
    <t>2024-08-10T14:00:49.000Z</t>
  </si>
  <si>
    <t>IKaPCYMshFg</t>
  </si>
  <si>
    <t>https://www.youtube.com/watch?v=IKaPCYMshFg&amp;list=PLJSRfYQoW3dlrKn-U263kJN6t8JogGz0r&amp;index=33</t>
  </si>
  <si>
    <t>Nữ Hoàng Vũ Đạo Đường Phố - Tập 4 | Nhiệm vụ cấp bậc (17/8/2024)</t>
  </si>
  <si>
    <t>nu hoang vu dao duong pho tap 4 nhiem vu cap bac 17 8 2024</t>
  </si>
  <si>
    <t>2024-08-17T14:00:15.000Z</t>
  </si>
  <si>
    <t>z-MiG42piqY</t>
  </si>
  <si>
    <t>https://www.youtube.com/watch?v=z-MiG42piqY&amp;list=PLJSRfYQoW3dlrKn-U263kJN6t8JogGz0r&amp;index=36</t>
  </si>
  <si>
    <t>Nữ Hoàng Vũ Đạo Đường Phố | Tập 2 | Màn thách đấu cảm động giữa 2 người bạn tri kỷ Mayonair và Cộ</t>
  </si>
  <si>
    <t>nu hoang vu dao duong pho tap 2 man thach dau cam dong giua 2 nguoi ban tri ky mayonair va co</t>
  </si>
  <si>
    <t>2024-08-12T12:01:05.000Z</t>
  </si>
  <si>
    <t>7U2NWuFAOv8</t>
  </si>
  <si>
    <t>https://www.youtube.com/watch?v=7U2NWuFAOv8&amp;list=PLJSRfYQoW3dlrKn-U263kJN6t8JogGz0r&amp;index=35</t>
  </si>
  <si>
    <t>2 Ngày 1 Đêm - Mùa 3 | Tập 8 | Phương Anh Đào - Hữu Đằng “anh em hạt nhài” mang quạ phủ sóng</t>
  </si>
  <si>
    <t>2 ngay 1 dem mua 3 tap 8 phuong anh dao huu dang anh em hat nhai mang qua phu song</t>
  </si>
  <si>
    <t>2024-08-12T13:00:08.000Z</t>
  </si>
  <si>
    <t>numbered_episode;official_channel;show_alias_missing</t>
  </si>
  <si>
    <t>91tRLDt_dHs</t>
  </si>
  <si>
    <t>https://www.youtube.com/watch?v=91tRLDt_dHs</t>
  </si>
  <si>
    <t>[SWFVN] Nữ Hoàng Vũ Đạo Đường Phố | Tập 1: CUỘC CHẠM TRÁN đầu tiên giữa 6 CREWS khiến BGK nghẹt thở</t>
  </si>
  <si>
    <t>swfvn nu hoang vu dao duong pho tap 1 cuoc cham tran dau tien giua 6 crews khien bgk nghet tho</t>
  </si>
  <si>
    <t>UCHNYJheRUSucT2rERYMn45A</t>
  </si>
  <si>
    <t>Madison Media Group</t>
  </si>
  <si>
    <t>2024-07-27T14:00:06.000Z</t>
  </si>
  <si>
    <t>2N1D</t>
  </si>
  <si>
    <t>2 Ngày 1 Đêm</t>
  </si>
  <si>
    <t>2N1D_S1</t>
  </si>
  <si>
    <t>episodic_reality</t>
  </si>
  <si>
    <t>FjiOfZbujhU</t>
  </si>
  <si>
    <t>https://www.youtube.com/watch?v=FjiOfZbujhU&amp;list=PLY-AuYi7sTugPLS6_J0oa1wFmWkCExstr&amp;index=18</t>
  </si>
  <si>
    <t>2 Ngày 1 Đêm Việt Nam - Tập 14: Kiều Minh Tuấn phối nhạc "rên la", Dương Lâm kéo lê HIEUTHUHAI</t>
  </si>
  <si>
    <t>2 ngay 1 dem viet nam tap 14 kieu minh tuan phoi nhac ren la duong lam keo le hieuthuhai</t>
  </si>
  <si>
    <t>UChGncdgzOKmp5XQTnQa2h4w</t>
  </si>
  <si>
    <t>2 NGÀY 1 ĐÊM VIETNAM</t>
  </si>
  <si>
    <t>official_show_channel</t>
  </si>
  <si>
    <t>PLY-AuYi7sTugPLS6_J0oa1wFmWkCExstr</t>
  </si>
  <si>
    <t>2022-09-22T13:00:08.000Z</t>
  </si>
  <si>
    <t>2026-08-12T14:06:31.995243+07:00</t>
  </si>
  <si>
    <t>PJmq8ewiB6tZl4WFu</t>
  </si>
  <si>
    <t>WpnspZK5qdk</t>
  </si>
  <si>
    <t>https://www.youtube.com/watch?v=WpnspZK5qdk&amp;list=PLY-AuYi7sTugPLS6_J0oa1wFmWkCExstr&amp;index=25</t>
  </si>
  <si>
    <t>2 Ngày 1 Đêm Việt Nam - Tập 7: Trường Giang múa bay chén, Ngô Kiến Huy kéo đàn hồ đại như cưa gỗ</t>
  </si>
  <si>
    <t>2 ngay 1 dem viet nam tap 7 truong giang mua bay chen ngo kien huy keo dan ho dai nhu cua go</t>
  </si>
  <si>
    <t>2022-09-08T12:00:18.000Z</t>
  </si>
  <si>
    <t>ZH-wGCtfozU</t>
  </si>
  <si>
    <t>https://www.youtube.com/watch?v=ZH-wGCtfozU&amp;list=PLY-AuYi7sTugPLS6_J0oa1wFmWkCExstr&amp;index=10</t>
  </si>
  <si>
    <t>2 Ngày 1 Đêm Việt Nam-Tập 22: Ngô Kiến Huy hú hồn với "cục sụn di động" của cô bé bán diêm Dương Lâm</t>
  </si>
  <si>
    <t>2 ngay 1 dem viet nam tap 22 ngo kien huy hu hon voi cuc sun di dong cua co be ban diem duong lam</t>
  </si>
  <si>
    <t>2022-12-29T13:30:09.000Z</t>
  </si>
  <si>
    <t>Gwqajef2ZdM</t>
  </si>
  <si>
    <t>https://www.youtube.com/watch?v=Gwqajef2ZdM&amp;list=PLY-AuYi7sTugPLS6_J0oa1wFmWkCExstr&amp;index=24</t>
  </si>
  <si>
    <t>2 Ngày 1 Đêm Việt Nam - Tập 8: Dương Lâm vào vai lính lệ, tung cú đánh khiến HIEUTHUHAI choáng váng</t>
  </si>
  <si>
    <t>2 ngay 1 dem viet nam tap 8 duong lam vao vai linh le tung cu danh khien hieuthuhai choang vang</t>
  </si>
  <si>
    <t>2022-08-07T14:30:07.000Z</t>
  </si>
  <si>
    <t>zq3SGGKGR4g</t>
  </si>
  <si>
    <t>https://www.youtube.com/watch?v=zq3SGGKGR4g&amp;list=PLY-AuYi7sTugPLS6_J0oa1wFmWkCExstr&amp;index=16</t>
  </si>
  <si>
    <t>2 Ngày 1 Đêm Việt Nam - Tập 16: Dương Lâm lên bờ vì "vỡ ối", liên tục "thao túng tâm lý" HIEUTHUHAI</t>
  </si>
  <si>
    <t>2 ngay 1 dem viet nam tap 16 duong lam len bo vi vo oi lien tuc thao tung tam ly hieuthuhai</t>
  </si>
  <si>
    <t>2022-10-02T14:15:15.000Z</t>
  </si>
  <si>
    <t>ax2ZbRfWdo8</t>
  </si>
  <si>
    <t>https://www.youtube.com/watch?v=ax2ZbRfWdo8&amp;list=PLY-AuYi7sTugPLS6_J0oa1wFmWkCExstr&amp;index=21</t>
  </si>
  <si>
    <t>2 Ngày 1 Đêm Việt Nam-Tập 11: Trường Giang chơi khô máu với Jun Phạm, Dương Lâm lịm đi vì HIEUTHUHAI</t>
  </si>
  <si>
    <t>2 ngay 1 dem viet nam tap 11 truong giang choi kho mau voi jun pham duong lam lim di vi hieuthuhai</t>
  </si>
  <si>
    <t>2022-08-28T14:15:12.000Z</t>
  </si>
  <si>
    <t>ZN7jNEuXrvA</t>
  </si>
  <si>
    <t>https://www.youtube.com/watch?v=ZN7jNEuXrvA&amp;list=PLY-AuYi7sTugPLS6_J0oa1wFmWkCExstr&amp;index=20</t>
  </si>
  <si>
    <t>2 Ngày 1 Đêm Việt Nam -Tập 12: Thúy Ngân, Nhã Phương lục đục vì trai, Cris "sút văng" Kiều Minh Tuấn</t>
  </si>
  <si>
    <t>2 ngay 1 dem viet nam tap 12 thuy ngan nha phuong luc duc vi trai cris sut vang kieu minh tuan</t>
  </si>
  <si>
    <t>2022-09-04T14:15:13.000Z</t>
  </si>
  <si>
    <t>OkF8Il_3Rgc</t>
  </si>
  <si>
    <t>https://www.youtube.com/watch?v=OkF8Il_3Rgc&amp;list=PLY-AuYi7sTugPLS6_J0oa1wFmWkCExstr&amp;index=7</t>
  </si>
  <si>
    <t>2 Ngày 1 Đêm Việt Nam - Tập 25: Trường Giang giải thích “sự cố” tại An Giang, nghi ngờ có “nội gián”</t>
  </si>
  <si>
    <t>2 ngay 1 dem viet nam tap 25 truong giang giai thich su co tai an giang nghi ngo co noi gian</t>
  </si>
  <si>
    <t>2023-01-15T14:15:10.000Z</t>
  </si>
  <si>
    <t>R3cahg9Kz2A</t>
  </si>
  <si>
    <t>https://www.youtube.com/watch?v=R3cahg9Kz2A&amp;list=PLY-AuYi7sTugPLS6_J0oa1wFmWkCExstr&amp;index=17</t>
  </si>
  <si>
    <t>2 Ngày 1 Đêm Việt Nam - Tập 15: Cris Phan hành nghề "ăn trộm" bị tố, HIEUTHUHAI còng lưng gánh team</t>
  </si>
  <si>
    <t>2 ngay 1 dem viet nam tap 15 cris phan hanh nghe an trom bi to hieuthuhai cong lung ganh team</t>
  </si>
  <si>
    <t>2022-09-25T14:15:12.000Z</t>
  </si>
  <si>
    <t>nQ5ICydRcpQ</t>
  </si>
  <si>
    <t>https://www.youtube.com/watch?v=nQ5ICydRcpQ&amp;list=PLY-AuYi7sTugPLS6_J0oa1wFmWkCExstr&amp;index=13</t>
  </si>
  <si>
    <t>2 Ngày 1 Đêm Việt Nam-Tập 19: Trường Giang tạo "plot twist", Kiều Minh Tuấn hóa zombie tấn công Cris</t>
  </si>
  <si>
    <t>2 ngay 1 dem viet nam tap 19 truong giang tao plot twist kieu minh tuan hoa zombie tan cong cris</t>
  </si>
  <si>
    <t>2022-10-23T14:15:10.000Z</t>
  </si>
  <si>
    <t>fnLGL8PMA3c</t>
  </si>
  <si>
    <t>https://www.youtube.com/watch?v=fnLGL8PMA3c&amp;list=PLY-AuYi7sTugPLS6_J0oa1wFmWkCExstr&amp;index=12</t>
  </si>
  <si>
    <t>2 Ngày 1 Đêm Việt Nam -Tập 20: Trường Giang lộn mèo với outfit "nóng bỏng", Cris vận khí công bổ dưa</t>
  </si>
  <si>
    <t>2 ngay 1 dem viet nam tap 20 truong giang lon meo voi outfit nong bong cris van khi cong bo dua</t>
  </si>
  <si>
    <t>2022-11-03T13:00:24.000Z</t>
  </si>
  <si>
    <t>1ppkFEyF6Nk</t>
  </si>
  <si>
    <t>https://www.youtube.com/watch?v=1ppkFEyF6Nk&amp;list=PLY-AuYi7sTugPLS6_J0oa1wFmWkCExstr&amp;index=27</t>
  </si>
  <si>
    <t>2 Ngày 1 Đêm Việt Nam - Tập 5: Trường Giang troll ekip, Dương Lâm lăn xả hứng nước đến mức trúng gió</t>
  </si>
  <si>
    <t>2 ngay 1 dem viet nam tap 5 truong giang troll ekip duong lam lan xa hung nuoc den muc trung gio</t>
  </si>
  <si>
    <t>2022-08-18T12:33:45.000Z</t>
  </si>
  <si>
    <t>Olnxxhhy5g4</t>
  </si>
  <si>
    <t>https://www.youtube.com/watch?v=Olnxxhhy5g4&amp;list=PLY-AuYi7sTugPLS6_J0oa1wFmWkCExstr&amp;index=23</t>
  </si>
  <si>
    <t>2 Ngày 1 Đêm Việt Nam - Tập 9: Trường Giang tung chiêu hù đối thủ, Kiều Minh Tuấn tính toán như thần</t>
  </si>
  <si>
    <t>2 ngay 1 dem viet nam tap 9 truong giang tung chieu hu doi thu kieu minh tuan tinh toan nhu than</t>
  </si>
  <si>
    <t>2022-08-14T14:15:11.000Z</t>
  </si>
  <si>
    <t>DdwR7cW8AJo</t>
  </si>
  <si>
    <t>https://www.youtube.com/watch?v=DdwR7cW8AJo&amp;list=PLY-AuYi7sTugPLS6_J0oa1wFmWkCExstr&amp;index=11</t>
  </si>
  <si>
    <t>2 Ngày 1 Đêm Việt Nam - Tập 21: Kiều Minh Tuấn hóa "chị tổng đài", thách Dương Lâm kẹp sụn mũi</t>
  </si>
  <si>
    <t>2 ngay 1 dem viet nam tap 21 kieu minh tuan hoa chi tong dai thach duong lam kep sun mui</t>
  </si>
  <si>
    <t>2022-12-22T13:30:05.000Z</t>
  </si>
  <si>
    <t>6VvPE7pBKOU</t>
  </si>
  <si>
    <t>https://www.youtube.com/watch?v=6VvPE7pBKOU&amp;list=PLY-AuYi7sTugPLS6_J0oa1wFmWkCExstr&amp;index=30</t>
  </si>
  <si>
    <t>2 Ngày 1 Đêm Việt Nam - Tập 2: Dương Lâm "tác động vật lý" Trường Giang, bị cô ba Tiểu Vy "giở trò"</t>
  </si>
  <si>
    <t>2 ngay 1 dem viet nam tap 2 duong lam tac dong vat ly truong giang bi co ba tieu vy gio tro</t>
  </si>
  <si>
    <t>2022-07-28T13:00:04.000Z</t>
  </si>
  <si>
    <t>3HxRUhJ4djY</t>
  </si>
  <si>
    <t>https://www.youtube.com/watch?v=3HxRUhJ4djY&amp;list=PLY-AuYi7sTugPLS6_J0oa1wFmWkCExstr&amp;index=26</t>
  </si>
  <si>
    <t>2 Ngày 1 Đêm Việt Nam-Tập 6: Dương Lâm kéo co như lau nhà, xúc động thư Kiều Minh Tuấn gửi Cris Phan</t>
  </si>
  <si>
    <t>2 ngay 1 dem viet nam tap 6 duong lam keo co nhu lau nha xuc dong thu kieu minh tuan gui cris phan</t>
  </si>
  <si>
    <t>2022-09-01T13:00:03.000Z</t>
  </si>
  <si>
    <t>yKzaCGp5dpM</t>
  </si>
  <si>
    <t>https://www.youtube.com/watch?v=yKzaCGp5dpM&amp;list=PLY-AuYi7sTugPLS6_J0oa1wFmWkCExstr&amp;index=31</t>
  </si>
  <si>
    <t>2 Ngày 1 Đêm Việt Nam - Tập 1: Ngô Kiến Huy ngân muốn đứt hơi, Kiều Minh Tuấn ghim mũi tên "uất hận"</t>
  </si>
  <si>
    <t>2 ngay 1 dem viet nam tap 1 ngo kien huy ngan muon dut hoi kieu minh tuan ghim mui ten uat han</t>
  </si>
  <si>
    <t>2022-07-22T13:00:39.000Z</t>
  </si>
  <si>
    <t>l49XY7ixsBY</t>
  </si>
  <si>
    <t>https://www.youtube.com/watch?v=l49XY7ixsBY&amp;list=PLY-AuYi7sTugPLS6_J0oa1wFmWkCExstr&amp;index=1</t>
  </si>
  <si>
    <t>2 Ngày 1 Đêm Việt Nam - Tập 31: Kiều Minh Tuấn "rối loạn", hoảng sợ bỏ chạy khỏi "đồi hoang"</t>
  </si>
  <si>
    <t>2 ngay 1 dem viet nam tap 31 kieu minh tuan roi loan hoang so bo chay khoi doi hoang</t>
  </si>
  <si>
    <t>2023-03-02T13:30:28.000Z</t>
  </si>
  <si>
    <t>X7o-yCYNMrM</t>
  </si>
  <si>
    <t>https://www.youtube.com/watch?v=X7o-yCYNMrM&amp;list=PLY-AuYi7sTugPLS6_J0oa1wFmWkCExstr&amp;index=29</t>
  </si>
  <si>
    <t>2 Ngày 1 Đêm Việt Nam - Tập 3: HIEUTHUHAI đốn tim fan nữ, Cris Phan bị anh cả Trường Giang "hãm hại"</t>
  </si>
  <si>
    <t>2 ngay 1 dem viet nam tap 3 hieuthuhai don tim fan nu cris phan bi anh ca truong giang ham hai</t>
  </si>
  <si>
    <t>2022-08-04T13:00:16.000Z</t>
  </si>
  <si>
    <t>5RXN2NuyyMs</t>
  </si>
  <si>
    <t>https://www.youtube.com/watch?v=5RXN2NuyyMs&amp;list=PLY-AuYi7sTugPLS6_J0oa1wFmWkCExstr&amp;index=3</t>
  </si>
  <si>
    <t>2 Ngày 1 Đêm Việt Nam - Tập 29: HIEUTHUHAI trổ tài “nhảy số”, dàn cast gặp “sự cố” bất ngờ</t>
  </si>
  <si>
    <t>2 ngay 1 dem viet nam tap 29 hieuthuhai tro tai nhay so dan cast gap su co bat ngo</t>
  </si>
  <si>
    <t>2023-02-12T14:15:11.000Z</t>
  </si>
  <si>
    <t>NkMirICI7F0</t>
  </si>
  <si>
    <t>https://www.youtube.com/watch?v=NkMirICI7F0&amp;list=PLY-AuYi7sTugPLS6_J0oa1wFmWkCExstr&amp;index=22</t>
  </si>
  <si>
    <t>2 Ngày 1 Đêm Việt Nam - Tập 10: HIEUTHUHAI bị "trừng phạt", Dương Lâm đòi "phóng sanh" Ngô Kiến Huy</t>
  </si>
  <si>
    <t>2 ngay 1 dem viet nam tap 10 hieuthuhai bi trung phat duong lam doi phong sanh ngo kien huy</t>
  </si>
  <si>
    <t>2022-08-21T14:15:12.000Z</t>
  </si>
  <si>
    <t>b1xvZ7aQGxk</t>
  </si>
  <si>
    <t>https://www.youtube.com/watch?v=b1xvZ7aQGxk&amp;list=PLY-AuYi7sTugPLS6_J0oa1wFmWkCExstr&amp;index=5</t>
  </si>
  <si>
    <t>2 Ngày 1 Đêm Việt Nam - Tập 27: Kiều Minh Tuấn "come out", Trường Giang "trốn chạy nhiệm vụ X”</t>
  </si>
  <si>
    <t>2 ngay 1 dem viet nam tap 27 kieu minh tuan come out truong giang tron chay nhiem vu x</t>
  </si>
  <si>
    <t>2023-01-29T14:15:09.000Z</t>
  </si>
  <si>
    <t>WhE7-qypUcI</t>
  </si>
  <si>
    <t>https://www.youtube.com/watch?v=WhE7-qypUcI&amp;list=PLY-AuYi7sTugPLS6_J0oa1wFmWkCExstr&amp;index=14</t>
  </si>
  <si>
    <t>2 Ngày 1 Đêm Việt Nam -Tập 18: Ngô Kiến Huy bị Trường Giang "tiêu khiển", Võ Hoàng Yến tấn công Cris</t>
  </si>
  <si>
    <t>2 ngay 1 dem viet nam tap 18 ngo kien huy bi truong giang tieu khien vo hoang yen tan cong cris</t>
  </si>
  <si>
    <t>2022-10-16T14:15:12.000Z</t>
  </si>
  <si>
    <t>lVM4szOATTE</t>
  </si>
  <si>
    <t>https://www.youtube.com/watch?v=lVM4szOATTE&amp;list=PLY-AuYi7sTugPLS6_J0oa1wFmWkCExstr&amp;index=15</t>
  </si>
  <si>
    <t>2 Ngày 1 Đêm Việt Nam - Tập 17: Kiều Minh Tuấn "vô tri", Cris bị đày đọa phải xài kim bài "miễn tử"</t>
  </si>
  <si>
    <t>2 ngay 1 dem viet nam tap 17 kieu minh tuan vo tri cris bi day doa phai xai kim bai mien tu</t>
  </si>
  <si>
    <t>2022-10-09T14:15:12.000Z</t>
  </si>
  <si>
    <t>Hwsp71oyyZ8</t>
  </si>
  <si>
    <t>https://www.youtube.com/watch?v=Hwsp71oyyZ8&amp;list=PLY-AuYi7sTugPLS6_J0oa1wFmWkCExstr&amp;index=19</t>
  </si>
  <si>
    <t>2 Ngày 1 Đêm Việt Nam - Tập 13: Thúy Ngân lên gối "một cú chí mạng" khiến Ngô Kiến Huy "á khẩu"</t>
  </si>
  <si>
    <t>2 ngay 1 dem viet nam tap 13 thuy ngan len goi mot cu chi mang khien ngo kien huy a khau</t>
  </si>
  <si>
    <t>2022-09-11T14:15:11.000Z</t>
  </si>
  <si>
    <t>nNLvWV7mHPI</t>
  </si>
  <si>
    <t>https://www.youtube.com/watch?v=nNLvWV7mHPI&amp;list=PLY-AuYi7sTugPLS6_J0oa1wFmWkCExstr&amp;index=6</t>
  </si>
  <si>
    <t>2 Ngày 1 Đêm Việt Nam - Tập 26: Ngô Kiến Huy “truyền thái y” khi lần đầu hát lô tô lúc 12G trưa</t>
  </si>
  <si>
    <t>2 ngay 1 dem viet nam tap 26 ngo kien huy truyen thai y khi lan dau hat lo to luc 12g trua</t>
  </si>
  <si>
    <t>2023-01-22T14:15:10.000Z</t>
  </si>
  <si>
    <t>qYOTawWTw-E</t>
  </si>
  <si>
    <t>https://www.youtube.com/watch?v=qYOTawWTw-E&amp;list=PLY-AuYi7sTugPLS6_J0oa1wFmWkCExstr&amp;index=9</t>
  </si>
  <si>
    <t>2 Ngày 1 Đêm Việt Nam - Tập 23: Dương Lâm đang chạy tách đoàn tắm suối, phải cầu cứu Kiều Minh Tuấn</t>
  </si>
  <si>
    <t>2 ngay 1 dem viet nam tap 23 duong lam dang chay tach doan tam suoi phai cau cuu kieu minh tuan</t>
  </si>
  <si>
    <t>2023-01-05T13:30:23.000Z</t>
  </si>
  <si>
    <t>4BegI9FrDOg</t>
  </si>
  <si>
    <t>https://www.youtube.com/watch?v=4BegI9FrDOg&amp;list=PLY-AuYi7sTugPLS6_J0oa1wFmWkCExstr&amp;index=2</t>
  </si>
  <si>
    <t>2 Ngày 1 Đêm Việt Nam -Tập 30: Ngô Kiến Huy không thoát khỏi "vận đen" , Cris "uýnh ghen" HIEUTHUHAI</t>
  </si>
  <si>
    <t>2 ngay 1 dem viet nam tap 30 ngo kien huy khong thoat khoi van den cris uynh ghen hieuthuhai</t>
  </si>
  <si>
    <t>2023-02-23T13:30:02.000Z</t>
  </si>
  <si>
    <t>cWyPS2P4cRY</t>
  </si>
  <si>
    <t>https://www.youtube.com/watch?v=cWyPS2P4cRY&amp;list=PLY-AuYi7sTugPLS6_J0oa1wFmWkCExstr&amp;index=4</t>
  </si>
  <si>
    <t>2 Ngày 1 Đêm Việt Nam-Tập 28: Dương Lâm "ngất xỉu" trên phố cổ,Cris choáng váng vì bị "đánh phủ đầu"</t>
  </si>
  <si>
    <t>2 ngay 1 dem viet nam tap 28 duong lam ngat xiu tren pho co cris choang vang vi bi danh phu dau</t>
  </si>
  <si>
    <t>2023-02-05T14:15:08.000Z</t>
  </si>
  <si>
    <t>2emxLcSzzWA</t>
  </si>
  <si>
    <t>https://www.youtube.com/watch?v=2emxLcSzzWA&amp;list=PLY-AuYi7sTugPLS6_J0oa1wFmWkCExstr&amp;index=8</t>
  </si>
  <si>
    <t>2 Ngày 1 Đêm Việt Nam - Tập 24: Kiều Minh Tuấn "tét mông" với những cú tung đòn từ Dương Lâm</t>
  </si>
  <si>
    <t>2 ngay 1 dem viet nam tap 24 kieu minh tuan tet mong voi nhung cu tung don tu duong lam</t>
  </si>
  <si>
    <t>2023-01-12T13:30:00.000Z</t>
  </si>
  <si>
    <t>BRl1QO5k8ZA</t>
  </si>
  <si>
    <t>https://www.youtube.com/watch?v=BRl1QO5k8ZA&amp;list=PLY-AuYi7sTugPLS6_J0oa1wFmWkCExstr&amp;index=28</t>
  </si>
  <si>
    <t>2 Ngày 1 Đêm Việt Nam - Tập 4: Kiều Minh Tuấn lanh lẹ "nhắc bài" cho LyLy liền bị Dương Lâm "tố"</t>
  </si>
  <si>
    <t>2 ngay 1 dem viet nam tap 4 kieu minh tuan lanh le nhac bai cho lyly lien bi duong lam to</t>
  </si>
  <si>
    <t>2022-08-25T13:00:05.000Z</t>
  </si>
  <si>
    <t>2N1D_S2</t>
  </si>
  <si>
    <t>u5ap3C664B8</t>
  </si>
  <si>
    <t>https://www.youtube.com/watch?v=u5ap3C664B8&amp;list=PLY-AuYi7sTugYnwSrAy9DQtC-sAoitZDJ&amp;index=9</t>
  </si>
  <si>
    <t>2 Ngày 1 Đêm-Mùa 2 | Tập 42: Phương Ly chọn lối đi riêng, Dương Lâm yếu nghề làm rớt miếng Gien - nỳ</t>
  </si>
  <si>
    <t>2 ngay 1 dem mua 2 tap 42 phuong ly chon loi di rieng duong lam yeu nghe lam rot mieng gien ny</t>
  </si>
  <si>
    <t>PLY-AuYi7sTugYnwSrAy9DQtC-sAoitZDJ</t>
  </si>
  <si>
    <t>2023-12-14T13:30:21.000Z</t>
  </si>
  <si>
    <t>2026-08-12T14:07:02.326255+07:00</t>
  </si>
  <si>
    <t>E7hmhsxT1EyJjWMbe</t>
  </si>
  <si>
    <t>CS8sFyH3e6U</t>
  </si>
  <si>
    <t>https://www.youtube.com/watch?v=CS8sFyH3e6U&amp;list=PLY-AuYi7sTugYnwSrAy9DQtC-sAoitZDJ&amp;index=19</t>
  </si>
  <si>
    <t>2 Ngày 1 Đêm - Mùa 2 | Tập 32: Dương Lâm rap chấn động, Kiều Minh Tuấn thất thanh vì bị đột kích</t>
  </si>
  <si>
    <t>2 ngay 1 dem mua 2 tap 32 duong lam rap chan dong kieu minh tuan that thanh vi bi dot kich</t>
  </si>
  <si>
    <t>2023-10-01T13:40:10.000Z</t>
  </si>
  <si>
    <t>m5zha0M89YU</t>
  </si>
  <si>
    <t>https://www.youtube.com/watch?v=m5zha0M89YU&amp;list=PLY-AuYi7sTugYnwSrAy9DQtC-sAoitZDJ&amp;index=8</t>
  </si>
  <si>
    <t>2 Ngày 1 Đêm - Mùa 2 |Tập 43: Ngô Kiến Huy thách đấu ekip, Kiều Minh Tuấn cứu Phương Ly "thoát đói"</t>
  </si>
  <si>
    <t>2 ngay 1 dem mua 2 tap 43 ngo kien huy thach dau ekip kieu minh tuan cuu phuong ly thoat doi</t>
  </si>
  <si>
    <t>2023-12-20T13:30:17.000Z</t>
  </si>
  <si>
    <t>99jkGbsgp3o</t>
  </si>
  <si>
    <t>https://www.youtube.com/watch?v=99jkGbsgp3o&amp;list=PLY-AuYi7sTugYnwSrAy9DQtC-sAoitZDJ&amp;index=11</t>
  </si>
  <si>
    <t>2 Ngày 1 Đêm-Mùa 2 |Tập 40: Cris Phan bộc lộ tài năng diễn xuất, Ngô Kiến Huy "combat" với Dương Lâm</t>
  </si>
  <si>
    <t>2 ngay 1 dem mua 2 tap 40 cris phan boc lo tai nang dien xuat ngo kien huy combat voi duong lam</t>
  </si>
  <si>
    <t>2023-11-26T13:40:10.000Z</t>
  </si>
  <si>
    <t>BS3hs8aS1B0</t>
  </si>
  <si>
    <t>https://www.youtube.com/watch?v=BS3hs8aS1B0&amp;list=PLY-AuYi7sTugYnwSrAy9DQtC-sAoitZDJ&amp;index=18</t>
  </si>
  <si>
    <t>2 Ngày 1 Đêm - Mùa 2 | Tập 33: Mỹ Tâm xuất hiện - Ngô Kiến Huy và dàn 'fanboy' đứng ngồi không yên</t>
  </si>
  <si>
    <t>2 ngay 1 dem mua 2 tap 33 my tam xuat hien ngo kien huy va dan fanboy dung ngoi khong yen</t>
  </si>
  <si>
    <t>2023-10-08T13:40:12.000Z</t>
  </si>
  <si>
    <t>eWMJrhtoMdQ</t>
  </si>
  <si>
    <t>https://www.youtube.com/watch?v=eWMJrhtoMdQ&amp;list=PLY-AuYi7sTugYnwSrAy9DQtC-sAoitZDJ&amp;index=2</t>
  </si>
  <si>
    <t>2 Ngày 1 Đêm-Mùa 2| Tập 49: Trường Giang-Dương Lâm so chuẩn ‘ông Địa’, Ngô Kiến Huy suýt hóa băng đá</t>
  </si>
  <si>
    <t>2 ngay 1 dem mua 2 tap 49 truong giang duong lam so chuan ong dia ngo kien huy suyt hoa bang da</t>
  </si>
  <si>
    <t>2024-01-28T13:40:11.000Z</t>
  </si>
  <si>
    <t>TfG9UihtD4I</t>
  </si>
  <si>
    <t>https://www.youtube.com/watch?v=TfG9UihtD4I&amp;list=PLY-AuYi7sTugYnwSrAy9DQtC-sAoitZDJ&amp;index=17</t>
  </si>
  <si>
    <t>2 Ngày 1 Đêm - Mùa 2|Tập 34: Dương Lâm-Cris Phan trừng mắt hù doạ anh em, HIEUTHUHAI ra oai sức mạnh</t>
  </si>
  <si>
    <t>2 ngay 1 dem mua 2 tap 34 duong lam cris phan trung mat hu doa anh em hieuthuhai ra oai suc manh</t>
  </si>
  <si>
    <t>2023-10-15T13:40:12.000Z</t>
  </si>
  <si>
    <t>EqvPUqcMXIc</t>
  </si>
  <si>
    <t>https://www.youtube.com/watch?v=EqvPUqcMXIc&amp;list=PLY-AuYi7sTugYnwSrAy9DQtC-sAoitZDJ&amp;index=1</t>
  </si>
  <si>
    <t>2 Ngày 1 Đêm-Mùa 2|Tập 50: Ngô Kiến Huy nhận chứng chỉ “thiên tai”, Cris vỡ oà với bữa cơm đoàn viên</t>
  </si>
  <si>
    <t>2 ngay 1 dem mua 2 tap 50 ngo kien huy nhan chung chi thien tai cris vo oa voi bua com doan vien</t>
  </si>
  <si>
    <t>2024-02-04T13:40:11.000Z</t>
  </si>
  <si>
    <t>gTGn3RzPAzg</t>
  </si>
  <si>
    <t>https://www.youtube.com/watch?v=gTGn3RzPAzg&amp;list=PLY-AuYi7sTugYnwSrAy9DQtC-sAoitZDJ&amp;index=16</t>
  </si>
  <si>
    <t>2 Ngày 1 Đêm - Mùa 2 |Tập 35: HIEUTHUHAI "báo" Trường Giang, Dương Lâm "tét mông" với Kiều Minh Tuấn</t>
  </si>
  <si>
    <t>2 ngay 1 dem mua 2 tap 35 hieuthuhai bao truong giang duong lam tet mong voi kieu minh tuan</t>
  </si>
  <si>
    <t>2023-10-22T13:40:12.000Z</t>
  </si>
  <si>
    <t>Ycoic6Tjcc0</t>
  </si>
  <si>
    <t>https://www.youtube.com/watch?v=Ycoic6Tjcc0&amp;list=PLY-AuYi7sTugYnwSrAy9DQtC-sAoitZDJ&amp;index=14</t>
  </si>
  <si>
    <t>2 Ngày 1 Đêm - Mùa 2 | Tập 37: BigDaddy phục vụ múa đèn, Dương Lâm "chặn" đường ăn của anh em</t>
  </si>
  <si>
    <t>2 ngay 1 dem mua 2 tap 37 bigdaddy phuc vu mua den duong lam chan duong an cua anh em</t>
  </si>
  <si>
    <t>2023-11-09T13:30:13.000Z</t>
  </si>
  <si>
    <t>18Om1Z4AkPU</t>
  </si>
  <si>
    <t>https://www.youtube.com/watch?v=18Om1Z4AkPU&amp;list=PLY-AuYi7sTugYnwSrAy9DQtC-sAoitZDJ&amp;index=23</t>
  </si>
  <si>
    <t>Chỉ còn 2 NGÀY nữa!! Diệu Lâm cô nương núp lùm "huỷ hoại" nhan sắc HIEUTHUHAI | 2 Ngày 1 Đêm Mùa 2</t>
  </si>
  <si>
    <t>chi con 2 ngay nua dieu lam co nuong nup lum huy hoai nhan sac hieuthuhai 2 ngay 1 dem mua 2</t>
  </si>
  <si>
    <t>2023-09-29T13:00:01.000Z</t>
  </si>
  <si>
    <t>XHihpeX3glU</t>
  </si>
  <si>
    <t>https://www.youtube.com/watch?v=XHihpeX3glU&amp;list=PLY-AuYi7sTugYnwSrAy9DQtC-sAoitZDJ&amp;index=10</t>
  </si>
  <si>
    <t>2 Ngày 1 Đêm - Mùa 2 | Tập 41: HIEUTHUHAI nổi đóa với Dương Lâm, PuKa thừa cơ đính chính tin đồn</t>
  </si>
  <si>
    <t>2 ngay 1 dem mua 2 tap 41 hieuthuhai noi doa voi duong lam puka thua co dinh chinh tin don</t>
  </si>
  <si>
    <t>2023-12-03T13:40:09.000Z</t>
  </si>
  <si>
    <t>0tYQFSvQacI</t>
  </si>
  <si>
    <t>https://www.youtube.com/watch?v=0tYQFSvQacI&amp;list=PLY-AuYi7sTugYnwSrAy9DQtC-sAoitZDJ&amp;index=25</t>
  </si>
  <si>
    <t>2 Ngày 1 Đêm Việt Nam - Mùa 2 đã trở lại | Official Trailer</t>
  </si>
  <si>
    <t>2 ngay 1 dem viet nam mua 2 da tro lai official trailer</t>
  </si>
  <si>
    <t>2023-09-27T13:22:51.000Z</t>
  </si>
  <si>
    <t>t2m_Yd_pLjo</t>
  </si>
  <si>
    <t>https://www.youtube.com/watch?v=t2m_Yd_pLjo&amp;list=PLY-AuYi7sTugYnwSrAy9DQtC-sAoitZDJ&amp;index=7</t>
  </si>
  <si>
    <t>2 Ngày 1 Đêm - Mùa 2 |Tập 44: Trường Giang bị Dương Lâm "tẩm bột", Song Luân quăng miếng "lạnh ngắt"</t>
  </si>
  <si>
    <t>2 ngay 1 dem mua 2 tap 44 truong giang bi duong lam tam bot song luan quang mieng lanh ngat</t>
  </si>
  <si>
    <t>2023-12-27T13:30:19.000Z</t>
  </si>
  <si>
    <t>ObrjrJufWzA</t>
  </si>
  <si>
    <t>https://www.youtube.com/watch?v=ObrjrJufWzA&amp;list=PLY-AuYi7sTugYnwSrAy9DQtC-sAoitZDJ&amp;index=15</t>
  </si>
  <si>
    <t>2 Ngày 1 Đêm - Mùa 2 | Tập 36: Dương Lâm quyết vùi dập nhan sắc B Ray, BigDaddy tung chiêu xin ăn</t>
  </si>
  <si>
    <t>2 ngay 1 dem mua 2 tap 36 duong lam quyet vui dap nhan sac b ray bigdaddy tung chieu xin an</t>
  </si>
  <si>
    <t>2023-11-02T13:30:15.000Z</t>
  </si>
  <si>
    <t>lhznO_xsbfU</t>
  </si>
  <si>
    <t>https://www.youtube.com/watch?v=lhznO_xsbfU&amp;list=PLY-AuYi7sTugYnwSrAy9DQtC-sAoitZDJ&amp;index=12</t>
  </si>
  <si>
    <t>2 Ngày 1 Đêm - Mùa 2 |Tập 39: Ngô Kiến Huy - Ngọc Phước bị gài bẫy, Kiều Minh Tuấn trả đũa bất thành</t>
  </si>
  <si>
    <t>2 ngay 1 dem mua 2 tap 39 ngo kien huy ngoc phuoc bi gai bay kieu minh tuan tra dua bat thanh</t>
  </si>
  <si>
    <t>2023-11-19T13:40:10.000Z</t>
  </si>
  <si>
    <t>OqRc822B6fs</t>
  </si>
  <si>
    <t>https://www.youtube.com/watch?v=OqRc822B6fs&amp;list=PLY-AuYi7sTugYnwSrAy9DQtC-sAoitZDJ&amp;index=21</t>
  </si>
  <si>
    <t>Chỉ còn 1 NGÀY nữa!! Có ai hóng anh em tụi tui tiểu phẩm hông? | 2 Ngày 1 Đêm Mùa 2</t>
  </si>
  <si>
    <t>chi con 1 ngay nua co ai hong anh em tui tui tieu pham hong 2 ngay 1 dem mua 2</t>
  </si>
  <si>
    <t>2023-09-30T13:00:16.000Z</t>
  </si>
  <si>
    <t>eNWB79yOKe0</t>
  </si>
  <si>
    <t>https://www.youtube.com/watch?v=eNWB79yOKe0&amp;list=PLY-AuYi7sTugYnwSrAy9DQtC-sAoitZDJ&amp;index=13</t>
  </si>
  <si>
    <t>2 Ngày 1 Đêm-Mùa 2 | Tập 38: Dương Lâm tung đòn chí mạng báo B Ray, HIEUTHUHAI tẩu thoát lên nóc nhà</t>
  </si>
  <si>
    <t>2 ngay 1 dem mua 2 tap 38 duong lam tung don chi mang bao b ray hieuthuhai tau thoat len noc nha</t>
  </si>
  <si>
    <t>2023-11-16T13:30:14.000Z</t>
  </si>
  <si>
    <t>i6y1UAQwGvA</t>
  </si>
  <si>
    <t>https://www.youtube.com/watch?v=i6y1UAQwGvA&amp;list=PLY-AuYi7sTugYnwSrAy9DQtC-sAoitZDJ&amp;index=20</t>
  </si>
  <si>
    <t>Đón xem TỐI NAY !! Sẵn sàng với những trận cười "vô tri" cùng 2 Ngày 1 Đêm Mùa 2 chưa cả nhà ơii</t>
  </si>
  <si>
    <t>don xem toi nay san sang voi nhung tran cuoi vo tri cung 2 ngay 1 dem mua 2 chua ca nha oii</t>
  </si>
  <si>
    <t>2023-10-01T04:00:32.000Z</t>
  </si>
  <si>
    <t>GmfB9eF9lY8</t>
  </si>
  <si>
    <t>https://www.youtube.com/watch?v=GmfB9eF9lY8&amp;list=PLY-AuYi7sTugYnwSrAy9DQtC-sAoitZDJ&amp;index=5</t>
  </si>
  <si>
    <t>2 Ngày 1 Đêm - Mùa 2 | Tập 46: Cris Phan khoe gia thế khủng, “cua tặc” Dương Lâm đột kích HIEUTHUHAI</t>
  </si>
  <si>
    <t>2 ngay 1 dem mua 2 tap 46 cris phan khoe gia the khung cua tac duong lam dot kich hieuthuhai</t>
  </si>
  <si>
    <t>2024-01-07T13:40:08.000Z</t>
  </si>
  <si>
    <t>S3UAxkUn1zg</t>
  </si>
  <si>
    <t>https://www.youtube.com/watch?v=S3UAxkUn1zg&amp;list=PLY-AuYi7sTugYnwSrAy9DQtC-sAoitZDJ&amp;index=4</t>
  </si>
  <si>
    <t>2 Ngày 1 Đêm-Mùa 2|Tập 47: "Cua lực sĩ" Dương Lâm vất vả gánh team, Huỳnh Lập "đỡ đẻ" cho HIEUTHUHAI</t>
  </si>
  <si>
    <t>2 ngay 1 dem mua 2 tap 47 cua luc si duong lam vat va ganh team huynh lap do de cho hieuthuhai</t>
  </si>
  <si>
    <t>2024-01-17T13:30:09.000Z</t>
  </si>
  <si>
    <t>67c__GrqNWk</t>
  </si>
  <si>
    <t>https://www.youtube.com/watch?v=67c__GrqNWk&amp;list=PLY-AuYi7sTugYnwSrAy9DQtC-sAoitZDJ&amp;index=3</t>
  </si>
  <si>
    <t>2 Ngày 1 Đêm-Mùa 2|Tập 48: Trường Giang cắm đầu sau pha đột kích, Dương Lâm nhảy sào theo cách riêng</t>
  </si>
  <si>
    <t>2 ngay 1 dem mua 2 tap 48 truong giang cam dau sau pha dot kich duong lam nhay sao theo cach rieng</t>
  </si>
  <si>
    <t>2024-01-24T13:30:03.000Z</t>
  </si>
  <si>
    <t>Z5LfBM6J5oU</t>
  </si>
  <si>
    <t>https://www.youtube.com/watch?v=Z5LfBM6J5oU&amp;list=PLY-AuYi7sTugYnwSrAy9DQtC-sAoitZDJ&amp;index=6</t>
  </si>
  <si>
    <t>2 Ngày 1 Đêm - Mùa 2 |Tập 45: Ngô Kiến Huy "choáy" cùng vũ điệu chào xuân, Anh Tú tranh cúp "mỏ hỗn”</t>
  </si>
  <si>
    <t>2 ngay 1 dem mua 2 tap 45 ngo kien huy choay cung vu dieu chao xuan anh tu tranh cup mo hon</t>
  </si>
  <si>
    <t>2023-12-31T13:40:07.000Z</t>
  </si>
  <si>
    <t>RRVFuLHKLB4</t>
  </si>
  <si>
    <t>https://www.youtube.com/watch?v=RRVFuLHKLB4&amp;list=PLY-AuYi7sTugYnwSrAy9DQtC-sAoitZDJ&amp;index=22</t>
  </si>
  <si>
    <t>Teaser Tập 32 - 2 Ngày 1 Đêm Mùa 2: Ngô Kiến Huy liệu có thoát khỏi vận đen với "ly nước may mắn"?</t>
  </si>
  <si>
    <t>teaser tap 32 2 ngay 1 dem mua 2 ngo kien huy lieu co thoat khoi van den voi ly nuoc may man</t>
  </si>
  <si>
    <t>2023-09-30T03:00:15.000Z</t>
  </si>
  <si>
    <t>-0zOfN0IOzM</t>
  </si>
  <si>
    <t>https://www.youtube.com/watch?v=-0zOfN0IOzM&amp;list=PLY-AuYi7sTugYnwSrAy9DQtC-sAoitZDJ&amp;index=24</t>
  </si>
  <si>
    <t>Chỉ còn 3 NGÀY nữa!! Ngô Kiến Huy bị hội anh em xa lánh vì sợ lây vận xui | 2 Ngày 1 Đêm Mùa 2</t>
  </si>
  <si>
    <t>chi con 3 ngay nua ngo kien huy bi hoi anh em xa lanh vi so lay van xui 2 ngay 1 dem mua 2</t>
  </si>
  <si>
    <t>2023-09-28T13:00:00.000Z</t>
  </si>
  <si>
    <t>2N1D_S3</t>
  </si>
  <si>
    <t>1F65wS5dAFU</t>
  </si>
  <si>
    <t>https://www.youtube.com/watch?v=1F65wS5dAFU&amp;list=PLY-AuYi7sTuiekcFnXNeSR2-r_zPbuiLz&amp;index=17</t>
  </si>
  <si>
    <t>2 Ngày 1 Đêm Mùa 3 -Tập 64: Ngô Kiến Huy tức giận ra mặt, "vua trò chơi" Cris Phan lấy lại phong độ</t>
  </si>
  <si>
    <t>2 ngay 1 dem mua 3 tap 64 ngo kien huy tuc gian ra mat vua tro choi cris phan lay lai phong do</t>
  </si>
  <si>
    <t>PLY-AuYi7sTuiekcFnXNeSR2-r_zPbuiLz</t>
  </si>
  <si>
    <t>2024-09-22T13:40:22.000Z</t>
  </si>
  <si>
    <t>2026-08-12T14:07:45.529244+07:00</t>
  </si>
  <si>
    <t>Mm04NYyBQz5CEnFX9</t>
  </si>
  <si>
    <t>lnhpMqtUt_k</t>
  </si>
  <si>
    <t>https://www.youtube.com/watch?v=lnhpMqtUt_k&amp;list=PLY-AuYi7sTuiekcFnXNeSR2-r_zPbuiLz&amp;index=16</t>
  </si>
  <si>
    <t>2 Ngày 1 Đêm Mùa 3-Tập 65: HIEUTHUHAI bất ngờ bị hạnh kiểm "hên xui", Võ Tấn Phát cùng "sinh vật lạ"</t>
  </si>
  <si>
    <t>2 ngay 1 dem mua 3 tap 65 hieuthuhai bat ngo bi hanh kiem hen xui vo tan phat cung sinh vat la</t>
  </si>
  <si>
    <t>2024-09-29T13:40:21.000Z</t>
  </si>
  <si>
    <t>p8mnCFWyL58</t>
  </si>
  <si>
    <t>https://www.youtube.com/watch?v=p8mnCFWyL58&amp;list=PLY-AuYi7sTuiekcFnXNeSR2-r_zPbuiLz&amp;index=9</t>
  </si>
  <si>
    <t>2 Ngày 1 Đêm Lễ Hội 2024-Tập 72:HIEULAM sum họp sau "hoạn nạn",Bảo Anh-Cris Phan tung chiêu "xã hội"</t>
  </si>
  <si>
    <t>2 ngay 1 dem le hoi 2024 tap 72 hieulam sum hop sau hoan nan bao anh cris phan tung chieu xa hoi</t>
  </si>
  <si>
    <t>2024-11-17T13:40:07.000Z</t>
  </si>
  <si>
    <t>1Gg0ZGkqXJk</t>
  </si>
  <si>
    <t>https://www.youtube.com/watch?v=1Gg0ZGkqXJk&amp;list=PLY-AuYi7sTuiekcFnXNeSR2-r_zPbuiLz&amp;index=19</t>
  </si>
  <si>
    <t>2 Ngày 1 Đêm Mùa 3 -Tập 62: HIEUTHUHAI bất lực vì "nhà toàn nữ", Bích Phương nhập hội "cười mồi"</t>
  </si>
  <si>
    <t>2 ngay 1 dem mua 3 tap 62 hieuthuhai bat luc vi nha toan nu bich phuong nhap hoi cuoi moi</t>
  </si>
  <si>
    <t>2024-09-08T13:40:07.000Z</t>
  </si>
  <si>
    <t>5JCphZY9B4E</t>
  </si>
  <si>
    <t>https://www.youtube.com/watch?v=5JCphZY9B4E&amp;list=PLY-AuYi7sTuiekcFnXNeSR2-r_zPbuiLz&amp;index=8</t>
  </si>
  <si>
    <t>2 Ngày 1 Đêm Lễ Hội 2024 - Tập 73: Huy - Cris kết hợp "phi vụ tiền tỷ", Dương Lâm được "mách nước"</t>
  </si>
  <si>
    <t>2 ngay 1 dem le hoi 2024 tap 73 huy cris ket hop phi vu tien ty duong lam duoc mach nuoc</t>
  </si>
  <si>
    <t>2024-11-24T13:40:06.000Z</t>
  </si>
  <si>
    <t>rb1ehP_IRj4</t>
  </si>
  <si>
    <t>https://www.youtube.com/watch?v=rb1ehP_IRj4&amp;list=PLY-AuYi7sTuiekcFnXNeSR2-r_zPbuiLz&amp;index=14</t>
  </si>
  <si>
    <t>2 Ngày 1 Đêm Mùa 3-Tập 67: Khánh Vân post dáng "vượt nghịch cảnh", Tam Triều Dâng nhập hội hơn thua</t>
  </si>
  <si>
    <t>2 ngay 1 dem mua 3 tap 67 khanh van post dang vuot nghich canh tam trieu dang nhap hoi hon thua</t>
  </si>
  <si>
    <t>2024-10-13T13:40:22.000Z</t>
  </si>
  <si>
    <t>T_sOZd-6v0s</t>
  </si>
  <si>
    <t>https://www.youtube.com/watch?v=T_sOZd-6v0s&amp;list=PLY-AuYi7sTuiekcFnXNeSR2-r_zPbuiLz&amp;index=26</t>
  </si>
  <si>
    <t>2 Ngày 1 Đêm Mùa 3 -Tập 55: Dương Lâm "cọp dê" đối thủ công khai, Tăng Duy Tân flex trình lái xe ATV</t>
  </si>
  <si>
    <t>2 ngay 1 dem mua 3 tap 55 duong lam cop de doi thu cong khai tang duy tan flex trinh lai xe atv</t>
  </si>
  <si>
    <t>2024-07-14T13:40:06.000Z</t>
  </si>
  <si>
    <t>BlfjiODD3oo</t>
  </si>
  <si>
    <t>https://www.youtube.com/watch?v=BlfjiODD3oo&amp;list=PLY-AuYi7sTuiekcFnXNeSR2-r_zPbuiLz&amp;index=18</t>
  </si>
  <si>
    <t>2 Ngày 1 Đêm Mùa 3 -Tập 63: Học sinh "cá biệt" Ngô Kiến Huy bộc lộ năng lực ăn vạ đỉnh kout trên sân</t>
  </si>
  <si>
    <t>2 ngay 1 dem mua 3 tap 63 hoc sinh ca biet ngo kien huy boc lo nang luc an va dinh kout tren san</t>
  </si>
  <si>
    <t>2024-09-19T14:00:10.000Z</t>
  </si>
  <si>
    <t>qQJgnT1E5sk</t>
  </si>
  <si>
    <t>https://www.youtube.com/watch?v=qQJgnT1E5sk&amp;list=PLY-AuYi7sTuiekcFnXNeSR2-r_zPbuiLz&amp;index=20</t>
  </si>
  <si>
    <t>2 Ngày 1 Đêm Mùa 3 -Tập 61: HIEUTHUHAI trổ tài đổ bánh xèo "medium rare", Negav "cứu" Trường Giang</t>
  </si>
  <si>
    <t>2 ngay 1 dem mua 3 tap 61 hieuthuhai tro tai do banh xeo medium rare negav cuu truong giang</t>
  </si>
  <si>
    <t>2024-09-01T13:40:08.000Z</t>
  </si>
  <si>
    <t>7MTAG5aXzYI</t>
  </si>
  <si>
    <t>https://www.youtube.com/watch?v=7MTAG5aXzYI&amp;list=PLY-AuYi7sTuiekcFnXNeSR2-r_zPbuiLz&amp;index=15</t>
  </si>
  <si>
    <t>2 Ngày 1 Đêm Mùa 3-Tập 66: Trường Giang diện đồ lưới cá, Dương Lâm rủ Cris Phan đi "hành hương"</t>
  </si>
  <si>
    <t>2 ngay 1 dem mua 3 tap 66 truong giang dien do luoi ca duong lam ru cris phan di hanh huong</t>
  </si>
  <si>
    <t>2024-10-06T13:40:06.000Z</t>
  </si>
  <si>
    <t>aEmQcuO7_vM</t>
  </si>
  <si>
    <t>https://www.youtube.com/watch?v=aEmQcuO7_vM&amp;list=PLY-AuYi7sTuiekcFnXNeSR2-r_zPbuiLz&amp;index=7</t>
  </si>
  <si>
    <t>2 Ngày 1 Đêm Lễ Hội 2024-Tập 74:“Hoạ sĩ” Đức Phúc ra phố, Kiều Minh Tuấn “ăn vạ” vì bị cuỗm tay trên</t>
  </si>
  <si>
    <t>2 ngay 1 dem le hoi 2024 tap 74 hoa si duc phuc ra pho kieu minh tuan an va vi bi cuom tay tren</t>
  </si>
  <si>
    <t>2024-12-01T13:40:06.000Z</t>
  </si>
  <si>
    <t>OPF_dR_UMpM</t>
  </si>
  <si>
    <t>https://www.youtube.com/watch?v=OPF_dR_UMpM&amp;list=PLY-AuYi7sTuiekcFnXNeSR2-r_zPbuiLz&amp;index=29</t>
  </si>
  <si>
    <t>2 Ngày 1 Đêm Mùa 3 - Tập 52: Trường Giang bị anh em "quay lưng", Kiều Minh Tuấn dùng "khổ nhục kế"</t>
  </si>
  <si>
    <t>2 ngay 1 dem mua 3 tap 52 truong giang bi anh em quay lung kieu minh tuan dung kho nhuc ke</t>
  </si>
  <si>
    <t>2024-06-27T13:30:19.000Z</t>
  </si>
  <si>
    <t>t75i71uhtO4</t>
  </si>
  <si>
    <t>https://www.youtube.com/watch?v=t75i71uhtO4&amp;list=PLY-AuYi7sTuiekcFnXNeSR2-r_zPbuiLz&amp;index=27</t>
  </si>
  <si>
    <t>2 Ngày 1 Đêm Mùa 3 -Tập 54: Tiến Luật sang chấn với phòng chiếu 4D, Cris tính toán "chèn ép" đối thủ</t>
  </si>
  <si>
    <t>2 ngay 1 dem mua 3 tap 54 tien luat sang chan voi phong chieu 4d cris tinh toan chen ep doi thu</t>
  </si>
  <si>
    <t>2024-07-07T13:40:07.000Z</t>
  </si>
  <si>
    <t>rEV2mxOpQWI</t>
  </si>
  <si>
    <t>https://www.youtube.com/watch?v=rEV2mxOpQWI&amp;list=PLY-AuYi7sTuiekcFnXNeSR2-r_zPbuiLz&amp;index=6</t>
  </si>
  <si>
    <t>2 Ngày 1 Đêm Lễ Hội 2024-Tập 75: Ngô Kiến Huy ra sức thuyết phục HIEUTHUHAI, Tuấn-Lâm chăm Hòa Minzy</t>
  </si>
  <si>
    <t>2 ngay 1 dem le hoi 2024 tap 75 ngo kien huy ra suc thuyet phuc hieuthuhai tuan lam cham hoa minzy</t>
  </si>
  <si>
    <t>2024-12-12T13:30:35.000Z</t>
  </si>
  <si>
    <t>h5mQT4iiyQI</t>
  </si>
  <si>
    <t>https://www.youtube.com/watch?v=h5mQT4iiyQI&amp;list=PLY-AuYi7sTuiekcFnXNeSR2-r_zPbuiLz&amp;index=22</t>
  </si>
  <si>
    <t>2 Ngày 1 Đêm Mùa 3 -Tập 59: HIEUTHUHAI-Dương Lâm battle dance, Trường Giang ám ảnh "con ma công tắc"</t>
  </si>
  <si>
    <t>2 ngay 1 dem mua 3 tap 59 hieuthuhai duong lam battle dance truong giang am anh con ma cong tac</t>
  </si>
  <si>
    <t>2024-08-18T13:40:06.000Z</t>
  </si>
  <si>
    <t>SU3k_JUaEj4</t>
  </si>
  <si>
    <t>https://www.youtube.com/watch?v=SU3k_JUaEj4&amp;list=PLY-AuYi7sTuiekcFnXNeSR2-r_zPbuiLz&amp;index=5</t>
  </si>
  <si>
    <t>2 Ngày 1 Đêm Lễ Hội 2024-Tập 76: Kiều Minh Tuấn "hành thích" PD, Ngô Kiến Huy "food boy" chính hiệu</t>
  </si>
  <si>
    <t>2 ngay 1 dem le hoi 2024 tap 76 kieu minh tuan hanh thich pd ngo kien huy food boy chinh hieu</t>
  </si>
  <si>
    <t>2024-12-19T13:30:16.000Z</t>
  </si>
  <si>
    <t>OM8bLJCjzYc</t>
  </si>
  <si>
    <t>https://www.youtube.com/watch?v=OM8bLJCjzYc&amp;list=PLY-AuYi7sTuiekcFnXNeSR2-r_zPbuiLz&amp;index=3</t>
  </si>
  <si>
    <t>2 Ngày 1 Đêm Lễ Hội 2024-Tập 78:Thùy Tiên lên layout make up "xấu lạ", Ngô Kiến Huy bị đánh hội đồng</t>
  </si>
  <si>
    <t>2 ngay 1 dem le hoi 2024 tap 78 thuy tien len layout make up xau la ngo kien huy bi danh hoi dong</t>
  </si>
  <si>
    <t>2024-12-29T13:40:06.000Z</t>
  </si>
  <si>
    <t>EJDi4J_WAZ8</t>
  </si>
  <si>
    <t>https://www.youtube.com/watch?v=EJDi4J_WAZ8&amp;list=PLY-AuYi7sTuiekcFnXNeSR2-r_zPbuiLz&amp;index=4</t>
  </si>
  <si>
    <t>2 Ngày 1 Đêm Lễ Hội 2024-Tập 77: HIEUTHUHAI "con ông cháu cha", Dương Lâm hóa "người giàu cô đơn"</t>
  </si>
  <si>
    <t>2 ngay 1 dem le hoi 2024 tap 77 hieuthuhai con ong chau cha duong lam hoa nguoi giau co don</t>
  </si>
  <si>
    <t>2024-12-26T13:30:07.000Z</t>
  </si>
  <si>
    <t>Ag25boVkK64</t>
  </si>
  <si>
    <t>https://www.youtube.com/watch?v=Ag25boVkK64&amp;list=PLY-AuYi7sTuiekcFnXNeSR2-r_zPbuiLz&amp;index=28</t>
  </si>
  <si>
    <t>2 Ngày 1 Đêm Mùa 3 - Tập 53: Tiến Luật “ghim” Trường Giang, Dương Lâm hoá “thuồng luồng nước”</t>
  </si>
  <si>
    <t>2 ngay 1 dem mua 3 tap 53 tien luat ghim truong giang duong lam hoa thuong luong nuoc</t>
  </si>
  <si>
    <t>2024-07-04T13:30:06.000Z</t>
  </si>
  <si>
    <t>FBEhjMOOcHQ</t>
  </si>
  <si>
    <t>https://www.youtube.com/watch?v=FBEhjMOOcHQ&amp;list=PLY-AuYi7sTuiekcFnXNeSR2-r_zPbuiLz&amp;index=13</t>
  </si>
  <si>
    <t>2 Ngày 1 Đêm Mùa 3-Tập 68: Ngô Kiến Huy gặp "long tặc", Khánh Vân cùng HIEUTHUHAI bất khả chiến bại</t>
  </si>
  <si>
    <t>2 ngay 1 dem mua 3 tap 68 ngo kien huy gap long tac khanh van cung hieuthuhai bat kha chien bai</t>
  </si>
  <si>
    <t>2024-10-20T13:40:07.000Z</t>
  </si>
  <si>
    <t>J38nTBNy4Uo</t>
  </si>
  <si>
    <t>https://www.youtube.com/watch?v=J38nTBNy4Uo&amp;list=PLY-AuYi7sTuiekcFnXNeSR2-r_zPbuiLz&amp;index=21</t>
  </si>
  <si>
    <t>2 Ngày 1 Đêm Mùa 3 -Tập 60: Boyband "Tam Tai" debut, Rapper Kiều Minh Tuấn bắn rap như "đóng tune"</t>
  </si>
  <si>
    <t>2 ngay 1 dem mua 3 tap 60 boyband tam tai debut rapper kieu minh tuan ban rap nhu dong tune</t>
  </si>
  <si>
    <t>2024-08-25T13:40:07.000Z</t>
  </si>
  <si>
    <t>Zh_n4FYbO7I</t>
  </si>
  <si>
    <t>https://www.youtube.com/watch?v=Zh_n4FYbO7I&amp;list=PLY-AuYi7sTuiekcFnXNeSR2-r_zPbuiLz&amp;index=2</t>
  </si>
  <si>
    <t>2 Ngày 1 Đêm Lễ Hội 2024-Tập 79:Trường Giang hé lộ lý do thay đổi,HIEUTHUHAI đối mặt ý kiến tiêu cực</t>
  </si>
  <si>
    <t>2 ngay 1 dem le hoi 2024 tap 79 truong giang he lo ly do thay doi hieuthuhai doi mat y kien tieu cuc</t>
  </si>
  <si>
    <t>2025-01-05T13:40:06.000Z</t>
  </si>
  <si>
    <t>ER48TV_T_P4</t>
  </si>
  <si>
    <t>https://www.youtube.com/watch?v=ER48TV_T_P4&amp;list=PLY-AuYi7sTuiekcFnXNeSR2-r_zPbuiLz&amp;index=1</t>
  </si>
  <si>
    <t>2 Ngày 1 Đêm Lễ Hội 2024-Tập 80:Kiều Minh Tuấn tranh cúp "ngủ khổ",Dương Lâm hoảng vì "nhiệm vụ mật"</t>
  </si>
  <si>
    <t>2 ngay 1 dem le hoi 2024 tap 80 kieu minh tuan tranh cup ngu kho duong lam hoang vi nhiem vu mat</t>
  </si>
  <si>
    <t>2025-01-12T13:40:06.000Z</t>
  </si>
  <si>
    <t>ds7AvYRHkPY</t>
  </si>
  <si>
    <t>https://www.youtube.com/watch?v=ds7AvYRHkPY&amp;list=PLY-AuYi7sTuiekcFnXNeSR2-r_zPbuiLz&amp;index=10</t>
  </si>
  <si>
    <t>2 Ngày 1 Đêm Lễ Hội 2024-Tập 71: Dương Lâm bắn tiếng Khmer cực mượt, Trường Giang tìm “chằn tinh”</t>
  </si>
  <si>
    <t>2 ngay 1 dem le hoi 2024 tap 71 duong lam ban tieng khmer cuc muot truong giang tim chan tinh</t>
  </si>
  <si>
    <t>2024-11-10T13:40:06.000Z</t>
  </si>
  <si>
    <t>isTv7IngBoI</t>
  </si>
  <si>
    <t>https://www.youtube.com/watch?v=isTv7IngBoI&amp;list=PLY-AuYi7sTuiekcFnXNeSR2-r_zPbuiLz&amp;index=24</t>
  </si>
  <si>
    <t>2 Ngày 1 Đêm Mùa 3-Tập 57: Dương Lâm "trở mặt" với Kiều Oanh, Kiều Minh Tuấn sung sướng vì "lên voi"</t>
  </si>
  <si>
    <t>2 ngay 1 dem mua 3 tap 57 duong lam tro mat voi kieu oanh kieu minh tuan sung suong vi len voi</t>
  </si>
  <si>
    <t>2024-08-08T13:30:20.000Z</t>
  </si>
  <si>
    <t>UD3A5gxwzLM</t>
  </si>
  <si>
    <t>https://www.youtube.com/watch?v=UD3A5gxwzLM&amp;list=PLY-AuYi7sTuiekcFnXNeSR2-r_zPbuiLz&amp;index=23</t>
  </si>
  <si>
    <t>2 Ngày 1 Đêm Mùa 3 - Tập 58: Ngô Kiến Huy - Dương Lâm giáp lá cà, Kiều Minh Tuấn lươn lẹo cướp nhãn</t>
  </si>
  <si>
    <t>2 ngay 1 dem mua 3 tap 58 ngo kien huy duong lam giap la ca kieu minh tuan luon leo cuop nhan</t>
  </si>
  <si>
    <t>2024-08-15T13:30:23.000Z</t>
  </si>
  <si>
    <t>qqiadWBeln0</t>
  </si>
  <si>
    <t>https://www.youtube.com/watch?v=qqiadWBeln0&amp;list=PLY-AuYi7sTuiekcFnXNeSR2-r_zPbuiLz&amp;index=11</t>
  </si>
  <si>
    <t>2 Ngày 1 Đêm Lễ Hội 2024-Tập 70:Dương Lâm giúp JSOL nếm trải "khổ đau", Cris Phan chữa lành "tê tái"</t>
  </si>
  <si>
    <t>2 ngay 1 dem le hoi 2024 tap 70 duong lam giup jsol nem trai kho dau cris phan chua lanh te tai</t>
  </si>
  <si>
    <t>2024-11-07T13:30:27.000Z</t>
  </si>
  <si>
    <t>emEZFDojJBs</t>
  </si>
  <si>
    <t>https://www.youtube.com/watch?v=emEZFDojJBs&amp;list=PLY-AuYi7sTuiekcFnXNeSR2-r_zPbuiLz&amp;index=30</t>
  </si>
  <si>
    <t>2 Ngày 1 Đêm Mùa 3 - Tập 51: Kiều Minh Tuấn bật mood "công công",HIEUTHUHAI yếu thế trước "cao nhân"</t>
  </si>
  <si>
    <t>2 ngay 1 dem mua 3 tap 51 kieu minh tuan bat mood cong cong hieuthuhai yeu the truoc cao nhan</t>
  </si>
  <si>
    <t>2024-06-20T13:30:19.000Z</t>
  </si>
  <si>
    <t>WB5C2fvoKtI</t>
  </si>
  <si>
    <t>https://www.youtube.com/watch?v=WB5C2fvoKtI&amp;list=PLY-AuYi7sTuiekcFnXNeSR2-r_zPbuiLz&amp;index=25</t>
  </si>
  <si>
    <t>2 Ngày 1 Đêm Mùa 3-Tập 56: Trường Giang bị Kiều Oanh nhấn nước, Khả Như mở quán cà phê dịch vụ 5 sao</t>
  </si>
  <si>
    <t>2 ngay 1 dem mua 3 tap 56 truong giang bi kieu oanh nhan nuoc kha nhu mo quan ca phe dich vu 5 sao</t>
  </si>
  <si>
    <t>2024-08-01T13:30:12.000Z</t>
  </si>
  <si>
    <t>it8PW4GyY4I</t>
  </si>
  <si>
    <t>https://www.youtube.com/watch?v=it8PW4GyY4I&amp;list=PLY-AuYi7sTuiekcFnXNeSR2-r_zPbuiLz&amp;index=12</t>
  </si>
  <si>
    <t>2 Ngày 1 Đêm Lễ Hội 2024-Tập 69: Cris Phan gậy ông đập lưng ông, Trường Giang bất ngờ “lột xác”</t>
  </si>
  <si>
    <t>2 ngay 1 dem le hoi 2024 tap 69 cris phan gay ong dap lung ong truong giang bat ngo lot xac</t>
  </si>
  <si>
    <t>2024-10-31T13:30:23.000Z</t>
  </si>
  <si>
    <t>2N1D_S4</t>
  </si>
  <si>
    <t>eJ5bGiSt-M0</t>
  </si>
  <si>
    <t>https://www.youtube.com/watch?v=eJ5bGiSt-M0&amp;list=PLY-AuYi7sTujnjUSFEFLK6a5FX_CQ7_14&amp;index=5</t>
  </si>
  <si>
    <t>2 Ngày 1 Đêm Mùa 4 | Tập 94: Kiều Minh Tuấn lên chức "thầy", Trường Giang bị đồng đội "quay lưng"</t>
  </si>
  <si>
    <t>2 ngay 1 dem mua 4 tap 94 kieu minh tuan len chuc thay truong giang bi dong doi quay lung</t>
  </si>
  <si>
    <t>PLY-AuYi7sTujnjUSFEFLK6a5FX_CQ7_14</t>
  </si>
  <si>
    <t>2025-12-25T13:30:50.000Z</t>
  </si>
  <si>
    <t>2026-08-12T14:08:19.086034+07:00</t>
  </si>
  <si>
    <t>p2uAazFzpCf9Jq2sL</t>
  </si>
  <si>
    <t>roKPJPeXkBg</t>
  </si>
  <si>
    <t>https://www.youtube.com/watch?v=roKPJPeXkBg&amp;list=PLY-AuYi7sTujnjUSFEFLK6a5FX_CQ7_14&amp;index=10</t>
  </si>
  <si>
    <t>HURRYKNG và HIEUTHUHAI chu đáo chuẩn bị quà trung thu tặng cho các anh | BTS 2 Ngày 1 Đêm</t>
  </si>
  <si>
    <t>hurrykng va hieuthuhai chu dao chuan bi qua trung thu tang cho cac anh bts 2 ngay 1 dem</t>
  </si>
  <si>
    <t>2025-11-20T12:01:45.000Z</t>
  </si>
  <si>
    <t>2mOQdcQz-0Q</t>
  </si>
  <si>
    <t>https://www.youtube.com/watch?v=2mOQdcQz-0Q&amp;list=PLY-AuYi7sTujnjUSFEFLK6a5FX_CQ7_14&amp;index=12</t>
  </si>
  <si>
    <t>2 Ngày 1 Đêm Mùa 4 -Tập 88: HURRYKNG hóa Chí Phèo "phát điên",Dương Lâm gặp cú sốc với nồi cháo hành</t>
  </si>
  <si>
    <t>2 ngay 1 dem mua 4 tap 88 hurrykng hoa chi pheo phat dien duong lam gap cu soc voi noi chao hanh</t>
  </si>
  <si>
    <t>2025-11-13T13:30:06.000Z</t>
  </si>
  <si>
    <t>nsV3Pf3HqIk</t>
  </si>
  <si>
    <t>https://www.youtube.com/watch?v=nsV3Pf3HqIk&amp;list=PLY-AuYi7sTujnjUSFEFLK6a5FX_CQ7_14&amp;index=18</t>
  </si>
  <si>
    <t>2 Ngày 1 Đêm Mùa 4 - Tập 81: HIEUTHUHAI đòi mukbang RHYDER, Dương Lâm đọ trình tính toán với chú Sáu</t>
  </si>
  <si>
    <t>2 ngay 1 dem mua 4 tap 81 hieuthuhai doi mukbang rhyder duong lam do trinh tinh toan voi chu sau</t>
  </si>
  <si>
    <t>2025-09-25T13:30:51.000Z</t>
  </si>
  <si>
    <t>FfHHzzncIg4</t>
  </si>
  <si>
    <t>https://www.youtube.com/watch?v=FfHHzzncIg4&amp;list=PLY-AuYi7sTujnjUSFEFLK6a5FX_CQ7_14&amp;index=6</t>
  </si>
  <si>
    <t>2 Ngày 1 Đêm - Tập 93: Kiều Minh Tuấn cay cú vì bị "nhét chữ",Tăng Duy Tân sơ hở là trật vai "ăn vạ"</t>
  </si>
  <si>
    <t>2 ngay 1 dem tap 93 kieu minh tuan cay cu vi bi nhet chu tang duy tan so ho la trat vai an va</t>
  </si>
  <si>
    <t>2025-12-18T13:30:16.000Z</t>
  </si>
  <si>
    <t>L3bhtY7Yx9g</t>
  </si>
  <si>
    <t>https://www.youtube.com/watch?v=L3bhtY7Yx9g&amp;list=PLY-AuYi7sTujnjUSFEFLK6a5FX_CQ7_14&amp;index=3</t>
  </si>
  <si>
    <t>2 Ngày 1 Đêm | Tập 96: Cười thả ga với vở kịch Táo Quân,"mẹ" Lâm Vỹ Dạ bất lực vì Diễm, Võ Tấn Phát</t>
  </si>
  <si>
    <t>2 ngay 1 dem tap 96 cuoi tha ga voi vo kich tao quan me lam vy da bat luc vi diem vo tan phat</t>
  </si>
  <si>
    <t>2026-02-19T13:40:00.000Z</t>
  </si>
  <si>
    <t>cedz9-BwbSY</t>
  </si>
  <si>
    <t>https://www.youtube.com/watch?v=cedz9-BwbSY&amp;list=PLY-AuYi7sTujnjUSFEFLK6a5FX_CQ7_14&amp;index=14</t>
  </si>
  <si>
    <t>2 Ngày 1 Đêm Mùa 4 - Tập 86: Dương Lâm nhận "quả báo", Ngô Kiến Huy chiến "sống còn" với HIEUTHUHAI</t>
  </si>
  <si>
    <t>2 ngay 1 dem mua 4 tap 86 duong lam nhan qua bao ngo kien huy chien song con voi hieuthuhai</t>
  </si>
  <si>
    <t>2025-10-30T13:30:45.000Z</t>
  </si>
  <si>
    <t>qy49sl1EmzU</t>
  </si>
  <si>
    <t>https://www.youtube.com/watch?v=qy49sl1EmzU&amp;list=PLY-AuYi7sTujnjUSFEFLK6a5FX_CQ7_14&amp;index=1</t>
  </si>
  <si>
    <t>2 Ngày 1 Đêm | Tập 97: Ban cố vấn Võ Tấn Phát, Hữu Đằng "tàng hình", dàn cast vui vẻ rút lộc đầu năm</t>
  </si>
  <si>
    <t>2 ngay 1 dem tap 97 ban co van vo tan phat huu dang tang hinh dan cast vui ve rut loc dau nam</t>
  </si>
  <si>
    <t>2026-02-26T13:30:57.000Z</t>
  </si>
  <si>
    <t>B3Zc1ykGlBg</t>
  </si>
  <si>
    <t>https://www.youtube.com/watch?v=B3Zc1ykGlBg&amp;list=PLY-AuYi7sTujnjUSFEFLK6a5FX_CQ7_14&amp;index=4</t>
  </si>
  <si>
    <t>2 Ngày 1 Đêm | Tập 95: Ngân - Diễm "phát cọc" với MC Lâm Vỹ Dạ, Dương Lâm "hơn thua" với PD</t>
  </si>
  <si>
    <t>2 ngay 1 dem tap 95 ngan diem phat coc voi mc lam vy da duong lam hon thua voi pd</t>
  </si>
  <si>
    <t>2026-02-12T13:40:00.000Z</t>
  </si>
  <si>
    <t>XIuDTjlDc58</t>
  </si>
  <si>
    <t>https://www.youtube.com/watch?v=XIuDTjlDc58&amp;list=PLY-AuYi7sTujnjUSFEFLK6a5FX_CQ7_14&amp;index=15</t>
  </si>
  <si>
    <t>2 Ngày 1 Đêm Mùa 4 - Tập 85: HIEUTHUHAI "tàn canh" với Dương Lâm, Ánh Sáng AZA bị mẹ già "thao túng"</t>
  </si>
  <si>
    <t>2 ngay 1 dem mua 4 tap 85 hieuthuhai tan canh voi duong lam anh sang aza bi me gia thao tung</t>
  </si>
  <si>
    <t>2025-10-23T13:30:37.000Z</t>
  </si>
  <si>
    <t>i7sL4ic6W3U</t>
  </si>
  <si>
    <t>https://www.youtube.com/watch?v=i7sL4ic6W3U&amp;list=PLY-AuYi7sTujnjUSFEFLK6a5FX_CQ7_14&amp;index=17</t>
  </si>
  <si>
    <t>2 Ngày 1 Đêm Mùa 4-Tập 82: HIEUTHUHAI, Kiều Minh Tuấn gặp "chị Huệ", mẹ già-RHYDER hóa "gian thương"</t>
  </si>
  <si>
    <t>2 ngay 1 dem mua 4 tap 82 hieuthuhai kieu minh tuan gap chi hue me gia rhyder hoa gian thuong</t>
  </si>
  <si>
    <t>2025-10-02T13:30:47.000Z</t>
  </si>
  <si>
    <t>1hdVrgv64uA</t>
  </si>
  <si>
    <t>https://www.youtube.com/watch?v=1hdVrgv64uA&amp;list=PLY-AuYi7sTujnjUSFEFLK6a5FX_CQ7_14&amp;index=7</t>
  </si>
  <si>
    <t>2 Ngày 1 Đêm Mùa 4-Tập 92: Dương Lâm "ú ớ" với thử thách tiếng Anh, Trường Giang bất ngờ "bị phạt"</t>
  </si>
  <si>
    <t>2 ngay 1 dem mua 4 tap 92 duong lam u o voi thu thach tieng anh truong giang bat ngo bi phat</t>
  </si>
  <si>
    <t>2025-12-11T13:30:06.000Z</t>
  </si>
  <si>
    <t>bVRQYw8hM44</t>
  </si>
  <si>
    <t>https://www.youtube.com/watch?v=bVRQYw8hM44&amp;list=PLY-AuYi7sTujnjUSFEFLK6a5FX_CQ7_14&amp;index=11</t>
  </si>
  <si>
    <t>2 Ngày 1 Đêm Mùa 4-Tập 89:Dương Lâm gục ngã vì "dư luận" tấn công, Cody Nam Võ chơi chiêu lừa hunter</t>
  </si>
  <si>
    <t>2 ngay 1 dem mua 4 tap 89 duong lam guc nga vi du luan tan cong cody nam vo choi chieu lua hunter</t>
  </si>
  <si>
    <t>2025-11-20T13:30:44.000Z</t>
  </si>
  <si>
    <t>3dsU5PRvjYE</t>
  </si>
  <si>
    <t>https://www.youtube.com/watch?v=3dsU5PRvjYE&amp;list=PLY-AuYi7sTujnjUSFEFLK6a5FX_CQ7_14&amp;index=16</t>
  </si>
  <si>
    <t>2 Ngày 1 Đêm Mùa 4-Tập 84:Trường Giang tiểu phẩm đi chợ 0 đồng,Dương Lâm khuấy động đám giỗ miền Tây</t>
  </si>
  <si>
    <t>2 ngay 1 dem mua 4 tap 84 truong giang tieu pham di cho 0 dong duong lam khuay dong dam gio mien tay</t>
  </si>
  <si>
    <t>2025-10-16T13:30:05.000Z</t>
  </si>
  <si>
    <t>XVsu0hC5eBg</t>
  </si>
  <si>
    <t>https://www.youtube.com/watch?v=XVsu0hC5eBg&amp;list=PLY-AuYi7sTujnjUSFEFLK6a5FX_CQ7_14&amp;index=13</t>
  </si>
  <si>
    <t>2 Ngày 1 Đêm Mùa 4 - Tập 87: Trường Giang bị "đánh úp", đội của Muộii thay đổi số phận Gien- Nỳ</t>
  </si>
  <si>
    <t>2 ngay 1 dem mua 4 tap 87 truong giang bi danh up doi cua muoii thay doi so phan gien ny</t>
  </si>
  <si>
    <t>2025-11-06T13:30:37.000Z</t>
  </si>
  <si>
    <t>https://www.youtube.com/watch?v=2V20IKyMqnM&amp;list=PLY-AuYi7sTujnjUSFEFLK6a5FX_CQ7_14&amp;index=2</t>
  </si>
  <si>
    <t>aPiz6yKSXhU</t>
  </si>
  <si>
    <t>https://www.youtube.com/watch?v=aPiz6yKSXhU&amp;list=PLY-AuYi7sTujnjUSFEFLK6a5FX_CQ7_14&amp;index=8</t>
  </si>
  <si>
    <t>2 Ngày 1 Đêm Mùa 4 - Tập 91: "Kình ngư" Kiều Minh Tuấn trổ tài, Ngô Kiến Huy đoán từ khóa "như thần"</t>
  </si>
  <si>
    <t>2 ngay 1 dem mua 4 tap 91 kinh ngu kieu minh tuan tro tai ngo kien huy doan tu khoa nhu than</t>
  </si>
  <si>
    <t>2025-12-04T13:30:02.000Z</t>
  </si>
  <si>
    <t>TVulFNjgAAA</t>
  </si>
  <si>
    <t>https://www.youtube.com/watch?v=TVulFNjgAAA&amp;list=PLY-AuYi7sTujnjUSFEFLK6a5FX_CQ7_14&amp;index=9</t>
  </si>
  <si>
    <t>2 Ngày 1 Đêm Mùa 4 - Tập 90: Ngân - Diễm "làm loạn", Steven Nguyễn - Nhật Hoàng "var" nhau cực căng</t>
  </si>
  <si>
    <t>2 ngay 1 dem mua 4 tap 90 ngan diem lam loan steven nguyen nhat hoang var nhau cuc cang</t>
  </si>
  <si>
    <t>2025-11-27T14:01:03.000Z</t>
  </si>
  <si>
    <t>RMVN</t>
  </si>
  <si>
    <t>Running Man Vietnam</t>
  </si>
  <si>
    <t>RMVN_S2</t>
  </si>
  <si>
    <t>6TELIDLHHbA</t>
  </si>
  <si>
    <t>https://www.youtube.com/watch?v=6TELIDLHHbA&amp;list=PLG7CUxrpEOnfzfuMy-SQsENMcthLsO_v-&amp;index=9</t>
  </si>
  <si>
    <t>Running Man Vietnam Chơi Là Chạy - Tập 13 | Hòa Minzy bị "xâu xé",nổi điên với độ ăn hại của Thỏ Đen</t>
  </si>
  <si>
    <t>running man vietnam choi la chay tap 13 hoa minzy bi xau xe noi dien voi do an hai cua tho den</t>
  </si>
  <si>
    <t>UC5bxATIALkxlwWQzACzdjHw</t>
  </si>
  <si>
    <t>Đấu Trường Gia Tốc</t>
  </si>
  <si>
    <t>PLG7CUxrpEOnfzfuMy-SQsENMcthLsO_v-</t>
  </si>
  <si>
    <t>2021-12-12T14:35:20.000Z</t>
  </si>
  <si>
    <t>2026-08-12T14:10:08.652939+07:00</t>
  </si>
  <si>
    <t>0aeWGwnLycaBoktNm</t>
  </si>
  <si>
    <t>4AGeFst5FJw</t>
  </si>
  <si>
    <t>https://www.youtube.com/watch?v=4AGeFst5FJw&amp;list=PLG7CUxrpEOnfzfuMy-SQsENMcthLsO_v-&amp;index=23</t>
  </si>
  <si>
    <t>Running Man Vietnam Chơi Là Chạy - Tập 7 | Trường Giang hoá bàn tay vàng, Thỏ Đen lột xác "bất tử"</t>
  </si>
  <si>
    <t>running man vietnam choi la chay tap 7 truong giang hoa ban tay vang tho den lot xac bat tu</t>
  </si>
  <si>
    <t>2021-10-31T14:35:21.000Z</t>
  </si>
  <si>
    <t>Bbooo-jFs-U</t>
  </si>
  <si>
    <t>https://www.youtube.com/watch?v=Bbooo-jFs-U&amp;list=PLG7CUxrpEOnfzfuMy-SQsENMcthLsO_v-&amp;index=10</t>
  </si>
  <si>
    <t>Teaser tập 13: Cuộc đua cặp đôi đã trở lại, hãy đoán xem cặp đôi nào chiến thắng Running Man Vietnam</t>
  </si>
  <si>
    <t>teaser tap 13 cuoc dua cap doi da tro lai hay doan xem cap doi nao chien thang running man vietnam</t>
  </si>
  <si>
    <t>2021-12-11T04:10:30.000Z</t>
  </si>
  <si>
    <t>4bZCJeYucGM</t>
  </si>
  <si>
    <t>https://www.youtube.com/watch?v=4bZCJeYucGM&amp;list=PLG7CUxrpEOnfzfuMy-SQsENMcthLsO_v-&amp;index=18</t>
  </si>
  <si>
    <t>Running Man Vietnam Chơi Là Chạy - Tập 9| Karik sốc với tổ hợp phản bội, Jun Phạm làm siêu đạo chích</t>
  </si>
  <si>
    <t>running man vietnam choi la chay tap 9 karik soc voi to hop phan boi jun pham lam sieu dao chich</t>
  </si>
  <si>
    <t>2021-11-14T14:41:29.000Z</t>
  </si>
  <si>
    <t>ky6OjyffLL4</t>
  </si>
  <si>
    <t>https://www.youtube.com/watch?v=ky6OjyffLL4&amp;list=PLG7CUxrpEOnfzfuMy-SQsENMcthLsO_v-&amp;index=22</t>
  </si>
  <si>
    <t>Running Man Vietnam Chơi Là Chạy - Tập 4 | Lan Ngọc thành kẻ phản bội, Thúy Ngân bật chế độ săn mồi</t>
  </si>
  <si>
    <t>running man vietnam choi la chay tap 4 lan ngoc thanh ke phan boi thuy ngan bat che do san moi</t>
  </si>
  <si>
    <t>2021-11-05T07:05:30.000Z</t>
  </si>
  <si>
    <t>v4YbmIP8oC4</t>
  </si>
  <si>
    <t>https://www.youtube.com/watch?v=v4YbmIP8oC4&amp;list=PLG7CUxrpEOnfzfuMy-SQsENMcthLsO_v-&amp;index=17</t>
  </si>
  <si>
    <t>Running Man Vietnam Chơi Là Chạy - Tập 6 |Lan Ngọc bị xa lánh, Trường Giang bứt phá trận đấu bùn lầy</t>
  </si>
  <si>
    <t>running man vietnam choi la chay tap 6 lan ngoc bi xa lanh truong giang but pha tran dau bun lay</t>
  </si>
  <si>
    <t>2021-11-18T13:30:11.000Z</t>
  </si>
  <si>
    <t>https://www.youtube.com/watch?v=-BKTwSVrYX8&amp;list=PLG7CUxrpEOnfzfuMy-SQsENMcthLsO_v-&amp;index=12</t>
  </si>
  <si>
    <t>Teaser tập 12: Trận chiến khốc liệt lại bắt đầu, liệu có bất ngờ nào xảy ra? | Running Man Vietnam</t>
  </si>
  <si>
    <t>teaser tap 12 tran chien khoc liet lai bat dau lieu co bat ngo nao xay ra running man vietnam</t>
  </si>
  <si>
    <t>2021-12-04T04:00:01.000Z</t>
  </si>
  <si>
    <t>4LOvVC0Bsms</t>
  </si>
  <si>
    <t>https://www.youtube.com/watch?v=4LOvVC0Bsms&amp;list=PLG7CUxrpEOnfzfuMy-SQsENMcthLsO_v-&amp;index=13</t>
  </si>
  <si>
    <t>Running Man Vietnam Chơi Là Chạy - Tập 11 | Trường Giang bày tỏ nỗi lòng,Thỏ Đen tự hào là thánh xui</t>
  </si>
  <si>
    <t>running man vietnam choi la chay tap 11 truong giang bay to noi long tho den tu hao la thanh xui</t>
  </si>
  <si>
    <t>2021-11-28T14:35:11.000Z</t>
  </si>
  <si>
    <t>BvMN_9kRHz4</t>
  </si>
  <si>
    <t>https://www.youtube.com/watch?v=BvMN_9kRHz4&amp;list=PLG7CUxrpEOnfzfuMy-SQsENMcthLsO_v-&amp;index=25</t>
  </si>
  <si>
    <t>Running Man Vietnam Chơi Là Chạy - Tập 3 | Trương Thế Vinh làm thợ săn bảng tên, khổ sở vì Thúy Ngân</t>
  </si>
  <si>
    <t>running man vietnam choi la chay tap 3 truong the vinh lam tho san bang ten kho so vi thuy ngan</t>
  </si>
  <si>
    <t>2021-10-28T13:30:06.000Z</t>
  </si>
  <si>
    <t>CrItJPBleRg</t>
  </si>
  <si>
    <t>https://www.youtube.com/watch?v=CrItJPBleRg&amp;list=PLG7CUxrpEOnfzfuMy-SQsENMcthLsO_v-&amp;index=7</t>
  </si>
  <si>
    <t>Running Man Vietnam Chơi Là Chạy - Tập 14 | Há hốc mồm với "Cặp đôi bất bại" Jun Phạm - Thuý Ngân</t>
  </si>
  <si>
    <t>running man vietnam choi la chay tap 14 ha hoc mom voi cap doi bat bai jun pham thuy ngan</t>
  </si>
  <si>
    <t>2021-12-19T14:35:14.000Z</t>
  </si>
  <si>
    <t>wQ8a7VFYsdI</t>
  </si>
  <si>
    <t>https://www.youtube.com/watch?v=wQ8a7VFYsdI&amp;list=PLG7CUxrpEOnfzfuMy-SQsENMcthLsO_v-&amp;index=20</t>
  </si>
  <si>
    <t>Running Man Vietnam Chơi Là Chạy - Tập 8 | Thỏ Đen tìm được truyền nhân, quyết trả thù Trường Giang</t>
  </si>
  <si>
    <t>running man vietnam choi la chay tap 8 tho den tim duoc truyen nhan quyet tra thu truong giang</t>
  </si>
  <si>
    <t>2021-11-07T14:35:20.000Z</t>
  </si>
  <si>
    <t>3paQt4iEaxo</t>
  </si>
  <si>
    <t>https://www.youtube.com/watch?v=3paQt4iEaxo&amp;list=PLG7CUxrpEOnfzfuMy-SQsENMcthLsO_v-&amp;index=27</t>
  </si>
  <si>
    <t>Running Man Vietnam Chơi Là Chạy - Tập 5| Trường Giang hóa ngựa chiến, Lan Ngọc mếu máo trên đất Hàn</t>
  </si>
  <si>
    <t>running man vietnam choi la chay tap 5 truong giang hoa ngua chien lan ngoc meu mao tren dat han</t>
  </si>
  <si>
    <t>2021-10-18T10:54:05.000Z</t>
  </si>
  <si>
    <t>6qOYG_3WADU</t>
  </si>
  <si>
    <t>https://www.youtube.com/watch?v=6qOYG_3WADU&amp;list=PLG7CUxrpEOnfzfuMy-SQsENMcthLsO_v-&amp;index=8</t>
  </si>
  <si>
    <t>Teaser tập 14: Jun Phạm sợ hãi với thử thách mới, cặp đôi nào sẽ chiến thắng? | RUNNING MAN VIETNAM</t>
  </si>
  <si>
    <t>teaser tap 14 jun pham so hai voi thu thach moi cap doi nao se chien thang running man vietnam</t>
  </si>
  <si>
    <t>2021-12-18T04:00:01.000Z</t>
  </si>
  <si>
    <t>kE52i0rmYqY</t>
  </si>
  <si>
    <t>https://www.youtube.com/watch?v=kE52i0rmYqY&amp;list=PLG7CUxrpEOnfzfuMy-SQsENMcthLsO_v-&amp;index=24</t>
  </si>
  <si>
    <t>Teaser Tập 7: Ngân chạy đi Ngân! Trương Thế Vinh có phá được vòng vây? | Running Man Vietnam</t>
  </si>
  <si>
    <t>teaser tap 7 ngan chay di ngan truong the vinh co pha duoc vong vay running man vietnam</t>
  </si>
  <si>
    <t>2021-10-30T04:00:28.000Z</t>
  </si>
  <si>
    <t>YRlT83AGLAA</t>
  </si>
  <si>
    <t>https://www.youtube.com/watch?v=YRlT83AGLAA&amp;list=PLG7CUxrpEOnfzfuMy-SQsENMcthLsO_v-&amp;index=19</t>
  </si>
  <si>
    <t>Teaser tập 9: Lan Ngọc giằng co Thuý Ngân, liệu có màn lội ngược dòng? | Running Man Vietnam</t>
  </si>
  <si>
    <t>teaser tap 9 lan ngoc giang co thuy ngan lieu co man loi nguoc dong running man vietnam</t>
  </si>
  <si>
    <t>2021-11-13T04:00:12.000Z</t>
  </si>
  <si>
    <t>ffMvm5iefIQ</t>
  </si>
  <si>
    <t>https://www.youtube.com/watch?v=ffMvm5iefIQ&amp;list=PLG7CUxrpEOnfzfuMy-SQsENMcthLsO_v-&amp;index=14</t>
  </si>
  <si>
    <t>Teaser tập 11: Những bí mật sẽ được bật mí, những nỗi lòng sẽ được bộc bạch tại Running Man Vietnam</t>
  </si>
  <si>
    <t>teaser tap 11 nhung bi mat se duoc bat mi nhung noi long se duoc boc bach tai running man vietnam</t>
  </si>
  <si>
    <t>2021-11-27T04:21:13.000Z</t>
  </si>
  <si>
    <t>s532wIKJFRs</t>
  </si>
  <si>
    <t>https://www.youtube.com/watch?v=s532wIKJFRs&amp;list=PLG7CUxrpEOnfzfuMy-SQsENMcthLsO_v-&amp;index=21</t>
  </si>
  <si>
    <t>Teaser Tập 8: Cuộc chiến cặp đôi bắt đầu, đội nào sẽ là bá chủ tuần này? | Running Man Vietnam</t>
  </si>
  <si>
    <t>teaser tap 8 cuoc chien cap doi bat dau doi nao se la ba chu tuan nay running man vietnam</t>
  </si>
  <si>
    <t>2021-11-06T04:03:46.000Z</t>
  </si>
  <si>
    <t>__j2OLHuRgs</t>
  </si>
  <si>
    <t>https://www.youtube.com/watch?v=__j2OLHuRgs&amp;list=PLG7CUxrpEOnfzfuMy-SQsENMcthLsO_v-&amp;index=28</t>
  </si>
  <si>
    <t>Teaser Tập 5: Điều gì khiến Thúy Ngân mếu máo "Không ai coi em là con gái !" | Running Man Vietnam</t>
  </si>
  <si>
    <t>teaser tap 5 dieu gi khien thuy ngan meu mao khong ai coi em la con gai running man vietnam</t>
  </si>
  <si>
    <t>2021-10-16T04:00:10.000Z</t>
  </si>
  <si>
    <t>_YB8auP_YCY</t>
  </si>
  <si>
    <t>https://www.youtube.com/watch?v=_YB8auP_YCY&amp;list=PLG7CUxrpEOnfzfuMy-SQsENMcthLsO_v-&amp;index=1</t>
  </si>
  <si>
    <t>KHI CÁC NGỌC NỮ ĐÁ BANH: Lan Ngọc, Phương Anh Đào bị ăn thẻ, Thúy Ngân, Jun Vũ lăn xả hết mình</t>
  </si>
  <si>
    <t>khi cac ngoc nu da banh lan ngoc phuong anh dao bi an the thuy ngan jun vu lan xa het minh</t>
  </si>
  <si>
    <t>2022-07-05T11:45:00.000Z</t>
  </si>
  <si>
    <t>xW0DtfvHkzw</t>
  </si>
  <si>
    <t>https://www.youtube.com/watch?v=xW0DtfvHkzw&amp;list=PLG7CUxrpEOnfzfuMy-SQsENMcthLsO_v-&amp;index=5</t>
  </si>
  <si>
    <t>Running Man Vietnam Chơi Là Chạy - Tập 15 | Karik bất ngờ xuất hiện khiến Voi Biển thót tim bỏ chạy</t>
  </si>
  <si>
    <t>running man vietnam choi la chay tap 15 karik bat ngo xuat hien khien voi bien thot tim bo chay</t>
  </si>
  <si>
    <t>2021-12-26T14:35:12.000Z</t>
  </si>
  <si>
    <t>UNitimNvbXk</t>
  </si>
  <si>
    <t>https://www.youtube.com/watch?v=UNitimNvbXk&amp;list=PLG7CUxrpEOnfzfuMy-SQsENMcthLsO_v-&amp;index=30</t>
  </si>
  <si>
    <t>Teaser Running Man Vietnam Tập 4 | Đại chiến sắp bắt đầu, ai sẽ là người tỏa sáng trong tuần này</t>
  </si>
  <si>
    <t>teaser running man vietnam tap 4 dai chien sap bat dau ai se la nguoi toa sang trong tuan nay</t>
  </si>
  <si>
    <t>2021-10-09T05:05:09.000Z</t>
  </si>
  <si>
    <t>HVq6n_c64y8</t>
  </si>
  <si>
    <t>https://www.youtube.com/watch?v=HVq6n_c64y8&amp;list=PLG7CUxrpEOnfzfuMy-SQsENMcthLsO_v-&amp;index=31</t>
  </si>
  <si>
    <t>Teaser Running Man Vietnam Tập 3 | Dàn cast hóa thân thành học trò, ai là học sinh cá biệt ?</t>
  </si>
  <si>
    <t>teaser running man vietnam tap 3 dan cast hoa than thanh hoc tro ai la hoc sinh ca biet</t>
  </si>
  <si>
    <t>2021-10-02T05:22:42.000Z</t>
  </si>
  <si>
    <t>mCtunE2F2QI</t>
  </si>
  <si>
    <t>https://www.youtube.com/watch?v=mCtunE2F2QI&amp;list=PLG7CUxrpEOnfzfuMy-SQsENMcthLsO_v-&amp;index=16</t>
  </si>
  <si>
    <t>Teaser tập 10: Cuộc chiến giành ngôi vị kẻ mạnh nhất Running Man Vietnam, nghẹt thở từng giây</t>
  </si>
  <si>
    <t>teaser tap 10 cuoc chien gianh ngoi vi ke manh nhat running man vietnam nghet tho tung giay</t>
  </si>
  <si>
    <t>2021-11-20T04:21:25.000Z</t>
  </si>
  <si>
    <t>NlQ8eJqzMgE</t>
  </si>
  <si>
    <t>https://www.youtube.com/watch?v=NlQ8eJqzMgE&amp;list=PLG7CUxrpEOnfzfuMy-SQsENMcthLsO_v-&amp;index=3</t>
  </si>
  <si>
    <t>Running Man Vietnam Chơi Là Chạy - Tập 16 | Ngô Kiến Huy tạo nên lịch sử, một mình "chấp hết"</t>
  </si>
  <si>
    <t>running man vietnam choi la chay tap 16 ngo kien huy tao nen lich su mot minh chap het</t>
  </si>
  <si>
    <t>2022-01-02T14:35:12.000Z</t>
  </si>
  <si>
    <t>QyVTnBCRs1Y</t>
  </si>
  <si>
    <t>https://www.youtube.com/watch?v=QyVTnBCRs1Y&amp;list=PLG7CUxrpEOnfzfuMy-SQsENMcthLsO_v-&amp;index=29</t>
  </si>
  <si>
    <t>Running Man Vietnam Chơi Là Chạy - Tập 2 | Jun Phạm tạo kì tích, Đức Phúc bầm dập vì thảm mát xa</t>
  </si>
  <si>
    <t>running man vietnam choi la chay tap 2 jun pham tao ki tich duc phuc bam dap vi tham mat xa</t>
  </si>
  <si>
    <t>2021-10-12T03:09:53.000Z</t>
  </si>
  <si>
    <t>ID2oP7kaZLA</t>
  </si>
  <si>
    <t>https://www.youtube.com/watch?v=ID2oP7kaZLA&amp;list=PLG7CUxrpEOnfzfuMy-SQsENMcthLsO_v-&amp;index=4</t>
  </si>
  <si>
    <t>Teaser tập 16: Đại chiến tìm ngôi vị kẻ mạnh, Lan Ngọc la hét, Jun Phạm sợ hãi | RUNNING MAN VIETNAM</t>
  </si>
  <si>
    <t>teaser tap 16 dai chien tim ngoi vi ke manh lan ngoc la het jun pham so hai running man vietnam</t>
  </si>
  <si>
    <t>2022-01-01T04:08:32.000Z</t>
  </si>
  <si>
    <t>NUOe8MuHmKU</t>
  </si>
  <si>
    <t>https://www.youtube.com/watch?v=NUOe8MuHmKU&amp;list=PLG7CUxrpEOnfzfuMy-SQsENMcthLsO_v-&amp;index=15</t>
  </si>
  <si>
    <t>Running Man Vietnam Chơi Là Chạy - Tập 10|Cuộc chiến kẻ mạnh Kim Jong Kook-Voi Biển,Jun tạo cú twist</t>
  </si>
  <si>
    <t>running man vietnam choi la chay tap 10 cuoc chien ke manh kim jong kook voi bien jun tao cu twist</t>
  </si>
  <si>
    <t>2021-11-21T14:35:13.000Z</t>
  </si>
  <si>
    <t>DD-2U07t1DI</t>
  </si>
  <si>
    <t>https://www.youtube.com/watch?v=DD-2U07t1DI&amp;list=PLG7CUxrpEOnfzfuMy-SQsENMcthLsO_v-&amp;index=11</t>
  </si>
  <si>
    <t>Running Man Vietnam Chơi Là Chạy - Tập 12 | Voi Biển chật vật đấu với Lăng LD, Trường Giang chấp hết</t>
  </si>
  <si>
    <t>running man vietnam choi la chay tap 12 voi bien chat vat dau voi lang ld truong giang chap het</t>
  </si>
  <si>
    <t>2021-12-05T14:35:13.000Z</t>
  </si>
  <si>
    <t>VFSVwB0oQDU</t>
  </si>
  <si>
    <t>https://www.youtube.com/watch?v=VFSVwB0oQDU&amp;list=PLG7CUxrpEOnfzfuMy-SQsENMcthLsO_v-&amp;index=2</t>
  </si>
  <si>
    <t>Official MV Lof Is My Life - SOFIA | special guest Trường Giang x Thúy Ngân | Hạnh Phúc Là Lựa Chọn</t>
  </si>
  <si>
    <t>official mv lof is my life sofia special guest truong giang x thuy ngan hanh phuc la lua chon</t>
  </si>
  <si>
    <t>2022-05-29T13:00:27.000Z</t>
  </si>
  <si>
    <t>nNvJew9okl0</t>
  </si>
  <si>
    <t>https://www.youtube.com/watch?v=nNvJew9okl0&amp;list=PLG7CUxrpEOnfzfuMy-SQsENMcthLsO_v-&amp;index=26</t>
  </si>
  <si>
    <t>Teaser Tập 6: Thuý Ngân lại đối đầu Karik, trận chiến bùn lầy đã có mặt tại Running Man Vietnam</t>
  </si>
  <si>
    <t>teaser tap 6 thuy ngan lai doi dau karik tran chien bun lay da co mat tai running man vietnam</t>
  </si>
  <si>
    <t>2021-10-23T04:00:30.000Z</t>
  </si>
  <si>
    <t>MT2gBP3Q7lw</t>
  </si>
  <si>
    <t>https://www.youtube.com/watch?v=MT2gBP3Q7lw&amp;list=PLG7CUxrpEOnfzfuMy-SQsENMcthLsO_v-&amp;index=6</t>
  </si>
  <si>
    <t>Teaser tập 15: Bị người bí ẩn truy tìm, Thúy Ngân hoảng hốt, Lan Ngọc ẩn núp | RUNNING MAN VIETNAM</t>
  </si>
  <si>
    <t>teaser tap 15 bi nguoi bi an truy tim thuy ngan hoang hot lan ngoc an nup running man vietnam</t>
  </si>
  <si>
    <t>2021-12-25T04:14:23.000Z</t>
  </si>
  <si>
    <t>RMVN_S3</t>
  </si>
  <si>
    <t>5_ktCUWKhm0</t>
  </si>
  <si>
    <t>https://www.youtube.com/watch?v=5_ktCUWKhm0&amp;list=PLxNMBnO9F8FOdZR7YLDrrT0bk3WaYyApf&amp;index=18</t>
  </si>
  <si>
    <t>RUNNING MAN VIETNAM MÙA 3 - CHẠY NGAY ĐI | TẬP 16: Con Rối Tự Do</t>
  </si>
  <si>
    <t>running man vietnam mua 3 chay ngay di tap 16 con roi tu do</t>
  </si>
  <si>
    <t>UCTOWyiIkPEqyh_2O-ArJR5w</t>
  </si>
  <si>
    <t>FOREST STUDIO</t>
  </si>
  <si>
    <t>PLxNMBnO9F8FOdZR7YLDrrT0bk3WaYyApf</t>
  </si>
  <si>
    <t>2026-02-28T12:43:07.000Z</t>
  </si>
  <si>
    <t>2026-08-12T14:10:45.752604+07:00</t>
  </si>
  <si>
    <t>FH9kxLbGuuiAEs6P6</t>
  </si>
  <si>
    <t>bTa6ECwJyoE</t>
  </si>
  <si>
    <t>https://www.youtube.com/watch?v=bTa6ECwJyoE&amp;list=PLxNMBnO9F8FOdZR7YLDrrT0bk3WaYyApf&amp;index=5</t>
  </si>
  <si>
    <t>RUNNING MAN VIETNAM MÙA 3 - CHẠY NGAY ĐI | TẬP 05: Liên Minh Săn Ngọc [HỒI 1: TIỀN]</t>
  </si>
  <si>
    <t>running man vietnam mua 3 chay ngay di tap 05 lien minh san ngoc hoi 1 tien</t>
  </si>
  <si>
    <t>2025-11-01T12:45:25.000Z</t>
  </si>
  <si>
    <t>https://www.youtube.com/watch?v=-cITqIrVmBY&amp;list=PLxNMBnO9F8FOdZR7YLDrrT0bk3WaYyApf&amp;index=6</t>
  </si>
  <si>
    <t>RUNNING MAN VIETNAM MÙA 3 - CHẠY NGAY ĐI | TẬP 06: Huyền Thoại Già Gân [HỒI 2: SẮC]</t>
  </si>
  <si>
    <t>running man vietnam mua 3 chay ngay di tap 06 huyen thoai gia gan hoi 2 sac</t>
  </si>
  <si>
    <t>2025-11-08T12:45:22.000Z</t>
  </si>
  <si>
    <t>IIyzLmVrpKo</t>
  </si>
  <si>
    <t>https://www.youtube.com/watch?v=IIyzLmVrpKo&amp;list=PLxNMBnO9F8FOdZR7YLDrrT0bk3WaYyApf&amp;index=10</t>
  </si>
  <si>
    <t>RUNNING MAN VIETNAM MÙA 3 - CHẠY NGAY ĐI | HỒI ỨC: Nhìn Lại Hồi 1 &amp; 2</t>
  </si>
  <si>
    <t>running man vietnam mua 3 chay ngay di hoi uc nhin lai hoi 1 2</t>
  </si>
  <si>
    <t>2025-12-06T00:58:06.000Z</t>
  </si>
  <si>
    <t>hFWyNOsEiH8</t>
  </si>
  <si>
    <t>https://www.youtube.com/watch?v=hFWyNOsEiH8&amp;list=PLxNMBnO9F8FOdZR7YLDrrT0bk3WaYyApf&amp;index=17</t>
  </si>
  <si>
    <t>RUNNING MAN VIETNAM MÙA 3 - CHẠY NGAY ĐI | HỒI ỨC: Nhìn Lại Hồi 3 &amp; 4</t>
  </si>
  <si>
    <t>running man vietnam mua 3 chay ngay di hoi uc nhin lai hoi 3 4</t>
  </si>
  <si>
    <t>2026-01-31T03:00:06.000Z</t>
  </si>
  <si>
    <t>5VzWESQw-as</t>
  </si>
  <si>
    <t>https://www.youtube.com/watch?v=5VzWESQw-as&amp;list=PLxNMBnO9F8FOdZR7YLDrrT0bk3WaYyApf&amp;index=8</t>
  </si>
  <si>
    <t>RUNNING MAN VIETNAM MÙA 3 - CHẠY NGAY ĐI | TẬP 08: Tại Sao Đưa Anh Đến? [HỒI 2: SẮC]</t>
  </si>
  <si>
    <t>running man vietnam mua 3 chay ngay di tap 08 tai sao dua anh den hoi 2 sac</t>
  </si>
  <si>
    <t>2025-11-22T14:00:07.000Z</t>
  </si>
  <si>
    <t>9u5GQWJuosg</t>
  </si>
  <si>
    <t>https://www.youtube.com/watch?v=9u5GQWJuosg&amp;list=PLxNMBnO9F8FOdZR7YLDrrT0bk3WaYyApf&amp;index=7</t>
  </si>
  <si>
    <t>RUNNING MAN VIETNAM MÙA 3 - CHẠY NGAY ĐI | TẬP 07: Cặp Đôi Tri Kỷ [HỒI 2: SẮC]</t>
  </si>
  <si>
    <t>running man vietnam mua 3 chay ngay di tap 07 cap doi tri ky hoi 2 sac</t>
  </si>
  <si>
    <t>2025-11-15T12:43:06.000Z</t>
  </si>
  <si>
    <t>42c2bsDKOX0</t>
  </si>
  <si>
    <t>https://www.youtube.com/watch?v=42c2bsDKOX0&amp;list=PLxNMBnO9F8FOdZR7YLDrrT0bk3WaYyApf&amp;index=9</t>
  </si>
  <si>
    <t>RUNNING MAN VIETNAM MÙA 3 - CHẠY NGAY ĐI | TẬP 09: Trái Tim Hắc Ám [HỒI 2: SẮC]</t>
  </si>
  <si>
    <t>running man vietnam mua 3 chay ngay di tap 09 trai tim hac am hoi 2 sac</t>
  </si>
  <si>
    <t>2025-11-29T12:45:07.000Z</t>
  </si>
  <si>
    <t>i1KU8adicF0</t>
  </si>
  <si>
    <t>https://www.youtube.com/watch?v=i1KU8adicF0&amp;list=PLxNMBnO9F8FOdZR7YLDrrT0bk3WaYyApf&amp;index=3</t>
  </si>
  <si>
    <t>RUNNING MAN VIETNAM MÙA 3 - CHẠY NGAY ĐI | TẬP 03: Truy Tìm Người Con Giả [HỒI 1: TIỀN]</t>
  </si>
  <si>
    <t>running man vietnam mua 3 chay ngay di tap 03 truy tim nguoi con gia hoi 1 tien</t>
  </si>
  <si>
    <t>2025-10-18T12:45:07.000Z</t>
  </si>
  <si>
    <t>PpbqoPxDqGs</t>
  </si>
  <si>
    <t>https://www.youtube.com/watch?v=PpbqoPxDqGs&amp;list=PLxNMBnO9F8FOdZR7YLDrrT0bk3WaYyApf&amp;index=13</t>
  </si>
  <si>
    <t>RUNNING MAN VIETNAM MÙA 3 - CHẠY NGAY ĐI | TẬP 12: Ký Ức Bị Đánh Mất [HỒI 4: DANH]</t>
  </si>
  <si>
    <t>running man vietnam mua 3 chay ngay di tap 12 ky uc bi danh mat hoi 4 danh</t>
  </si>
  <si>
    <t>2025-12-27T12:43:07.000Z</t>
  </si>
  <si>
    <t>pMp6dAlTXT0</t>
  </si>
  <si>
    <t>https://www.youtube.com/watch?v=pMp6dAlTXT0&amp;list=PLxNMBnO9F8FOdZR7YLDrrT0bk3WaYyApf&amp;index=1</t>
  </si>
  <si>
    <t>RUNNING MAN VIETNAM MÙA 3 - CHẠY NGAY ĐI | TẬP 01: Cuộc Đi Săn Đầu Tiên</t>
  </si>
  <si>
    <t>running man vietnam mua 3 chay ngay di tap 01 cuoc di san dau tien</t>
  </si>
  <si>
    <t>2025-10-04T12:45:07.000Z</t>
  </si>
  <si>
    <t>xF6nXB4ydCs</t>
  </si>
  <si>
    <t>https://www.youtube.com/watch?v=xF6nXB4ydCs&amp;list=PLxNMBnO9F8FOdZR7YLDrrT0bk3WaYyApf&amp;index=4</t>
  </si>
  <si>
    <t>RUNNING MAN VIETNAM MÙA 3 - CHẠY NGAY ĐI | TẬP 04: Tín Hiệu Sóng Siêu Âm [HỒI 1: TIỀN]</t>
  </si>
  <si>
    <t>running man vietnam mua 3 chay ngay di tap 04 tin hieu song sieu am hoi 1 tien</t>
  </si>
  <si>
    <t>2025-10-26T13:30:06.000Z</t>
  </si>
  <si>
    <t>SlcSOyrtvfo</t>
  </si>
  <si>
    <t>https://www.youtube.com/watch?v=SlcSOyrtvfo&amp;list=PLxNMBnO9F8FOdZR7YLDrrT0bk3WaYyApf&amp;index=11</t>
  </si>
  <si>
    <t>RUNNING MAN VIETNAM MÙA 3 - CHẠY NGAY ĐI | TẬP 10: Giáng Sinh Không Lạnh [HỒI 3: TÀI]</t>
  </si>
  <si>
    <t>running man vietnam mua 3 chay ngay di tap 10 giang sinh khong lanh hoi 3 tai</t>
  </si>
  <si>
    <t>2025-12-13T12:45:07.000Z</t>
  </si>
  <si>
    <t>ouF7D_jZyQU</t>
  </si>
  <si>
    <t>https://www.youtube.com/watch?v=ouF7D_jZyQU&amp;list=PLxNMBnO9F8FOdZR7YLDrrT0bk3WaYyApf&amp;index=14</t>
  </si>
  <si>
    <t>RUNNING MAN VIETNAM MÙA 3 - CHẠY NGAY ĐI | TẬP 13: Phú Hộ Và Người Hầu [HỒI 4: DANH]</t>
  </si>
  <si>
    <t>running man vietnam mua 3 chay ngay di tap 13 phu ho va nguoi hau hoi 4 danh</t>
  </si>
  <si>
    <t>2026-01-03T12:43:07.000Z</t>
  </si>
  <si>
    <t>YsTL3ZF37_I</t>
  </si>
  <si>
    <t>https://www.youtube.com/watch?v=YsTL3ZF37_I&amp;list=PLxNMBnO9F8FOdZR7YLDrrT0bk3WaYyApf&amp;index=15</t>
  </si>
  <si>
    <t>RUNNING MAN VIETNAM MÙA 3 - CHẠY NGAY ĐI | TẬP 14: Thứ Hai Rồi, Đi Làm Thôi [HỒI 4: DANH]</t>
  </si>
  <si>
    <t>running man vietnam mua 3 chay ngay di tap 14 thu hai roi di lam thoi hoi 4 danh</t>
  </si>
  <si>
    <t>2026-01-10T12:43:08.000Z</t>
  </si>
  <si>
    <t>gvO4l50mKKc</t>
  </si>
  <si>
    <t>https://www.youtube.com/watch?v=gvO4l50mKKc&amp;list=PLxNMBnO9F8FOdZR7YLDrrT0bk3WaYyApf&amp;index=16</t>
  </si>
  <si>
    <t>RUNNING MAN VIETNAM MÙA 3 - CHẠY NGAY ĐI | TẬP 15: Tạm Biệt "Deadline" [HỒI 4: DANH]</t>
  </si>
  <si>
    <t>running man vietnam mua 3 chay ngay di tap 15 tam biet deadline hoi 4 danh</t>
  </si>
  <si>
    <t>2026-01-17T13:30:28.000Z</t>
  </si>
  <si>
    <t>3NMr0tF_l-0</t>
  </si>
  <si>
    <t>https://www.youtube.com/watch?v=3NMr0tF_l-0&amp;list=PLxNMBnO9F8FOdZR7YLDrrT0bk3WaYyApf&amp;index=2</t>
  </si>
  <si>
    <t>RUNNING MAN VIETNAM MÙA 3 - CHẠY NGAY ĐI | TẬP 02: Người Một Nhà [HỒI 1: TIỀN]</t>
  </si>
  <si>
    <t>running man vietnam mua 3 chay ngay di tap 02 nguoi mot nha hoi 1 tien</t>
  </si>
  <si>
    <t>2025-10-11T12:45:07.000Z</t>
  </si>
  <si>
    <t>le50VmLbAWo</t>
  </si>
  <si>
    <t>https://www.youtube.com/watch?v=le50VmLbAWo&amp;list=PLxNMBnO9F8FOdZR7YLDrrT0bk3WaYyApf&amp;index=12</t>
  </si>
  <si>
    <t>RUNNING MAN VIETNAM MÙA 3 - CHẠY NGAY ĐI | TẬP 11: Cuộc Chiến Nghi Phạm [HỒI 3: TÀI]</t>
  </si>
  <si>
    <t>running man vietnam mua 3 chay ngay di tap 11 cuoc chien nghi pham hoi 3 tai</t>
  </si>
  <si>
    <t>2025-12-20T12:43:07.000Z</t>
  </si>
  <si>
    <t>SNN</t>
  </si>
  <si>
    <t>Sao Nhập Ngũ</t>
  </si>
  <si>
    <t>SNN_S1</t>
  </si>
  <si>
    <t>DKFo-oYseQU</t>
  </si>
  <si>
    <t>https://www.youtube.com/watch?v=DKFo-oYseQU&amp;list=PLC_d5n_vB0CptpsuXpJwuxHpwWxlv1Tme&amp;index=3</t>
  </si>
  <si>
    <t>Kem Xôi TV: Tập 1 | Lũ đàn ông bội bạc | Kem Xôi TV Season 3 | Hài Ngắn Hay Nhất 2022</t>
  </si>
  <si>
    <t>kem xoi tv tap 1 lu dan ong boi bac kem xoi tv season 3 hai ngan hay nhat 2022</t>
  </si>
  <si>
    <t>UCPu7cX9LrVOlCDK905T9tVw</t>
  </si>
  <si>
    <t>Kem Xôi TV - Viettel Media</t>
  </si>
  <si>
    <t>PLC_d5n_vB0CptpsuXpJwuxHpwWxlv1Tme</t>
  </si>
  <si>
    <t>2022-07-28T14:00:13.000Z</t>
  </si>
  <si>
    <t>2026-08-12T14:13:13.153303+07:00</t>
  </si>
  <si>
    <t>LbLnX8ftJbCHFUF5q</t>
  </si>
  <si>
    <t>Lvc1N4s-ysg</t>
  </si>
  <si>
    <t>https://www.youtube.com/watch?v=Lvc1N4s-ysg&amp;list=PLC_d5n_vB0CptpsuXpJwuxHpwWxlv1Tme&amp;index=6</t>
  </si>
  <si>
    <t>3- Sao nhập ngũ (SS1): Vượt qua giới hạn | Tập 3: Nam Thành “cả gan” thách đấu Trung đội Trưởng</t>
  </si>
  <si>
    <t>3 sao nhap ngu ss1 vuot qua gioi han tap 3 nam thanh ca gan thach dau trung doi truong</t>
  </si>
  <si>
    <t>UCzZ94GZFgqqx6Pzbnj3UMjA</t>
  </si>
  <si>
    <t>Sao nhập ngũ - Viettel Media</t>
  </si>
  <si>
    <t>2017-01-22T03:30:01.000Z</t>
  </si>
  <si>
    <t>xUfuXW0HlUA</t>
  </si>
  <si>
    <t>https://www.youtube.com/watch?v=xUfuXW0HlUA&amp;list=PLC_d5n_vB0CptpsuXpJwuxHpwWxlv1Tme&amp;index=4</t>
  </si>
  <si>
    <t>TẬP 1 I MẸ VẮNG NHÀ BA LÀ SIÊU NHÂN l Khắc Việt, JustaTee, Đức Thịnh, L. Thế Thành làm "siêu nhân"</t>
  </si>
  <si>
    <t>tap 1 i me vang nha ba la sieu nhan l khac viet justatee duc thinh l the thanh lam sieu nhan</t>
  </si>
  <si>
    <t>UCT4q1IIX1rWoN95I-_89aVw</t>
  </si>
  <si>
    <t>Mẹ Vắng Nhà - Ba Là Siêu Nhân</t>
  </si>
  <si>
    <t>2022-04-28T14:30:13.000Z</t>
  </si>
  <si>
    <t>CRRYmuFMvhI</t>
  </si>
  <si>
    <t>https://www.youtube.com/watch?v=CRRYmuFMvhI&amp;list=PLC_d5n_vB0CptpsuXpJwuxHpwWxlv1Tme&amp;index=2</t>
  </si>
  <si>
    <t>1- Sao nhập ngũ (SS1): Vượt qua giới hạn|Tập 1: Thanh Duy lo lắng nhập ngũ không được mặc "nội y"</t>
  </si>
  <si>
    <t>1 sao nhap ngu ss1 vuot qua gioi han tap 1 thanh duy lo lang nhap ngu khong duoc mac noi y</t>
  </si>
  <si>
    <t>2017-01-08T03:22:00.000Z</t>
  </si>
  <si>
    <t>4HVa7G0Ckmw</t>
  </si>
  <si>
    <t>https://www.youtube.com/watch?v=4HVa7G0Ckmw&amp;list=PLC_d5n_vB0CptpsuXpJwuxHpwWxlv1Tme&amp;index=5</t>
  </si>
  <si>
    <t>2- Sao nhập ngũ (SS1): Vượt qua giới hạn |Tập 2: Thanh Duy đổ máu trên thao trường</t>
  </si>
  <si>
    <t>2 sao nhap ngu ss1 vuot qua gioi han tap 2 thanh duy do mau tren thao truong</t>
  </si>
  <si>
    <t>2017-01-15T03:30:43.000Z</t>
  </si>
  <si>
    <t>Xj0s1aG2gNo</t>
  </si>
  <si>
    <t>https://www.youtube.com/watch?v=Xj0s1aG2gNo&amp;list=PLC_d5n_vB0CptpsuXpJwuxHpwWxlv1Tme&amp;index=1</t>
  </si>
  <si>
    <t>[Full] Thanh Duy và hành trình "VƯỢT NGÀN CHÔNG GAI" tại Sao Nhập Ngũ #saonhapngu #thanhduy</t>
  </si>
  <si>
    <t>full thanh duy va hanh trinh vuot ngan chong gai tai sao nhap ngu saonhapngu thanhduy</t>
  </si>
  <si>
    <t>2025-03-07T13:00:52.000Z</t>
  </si>
  <si>
    <t>OlRD_t1G2Ig</t>
  </si>
  <si>
    <t>https://www.youtube.com/watch?v=OlRD_t1G2Ig&amp;list=PLC_d5n_vB0CptpsuXpJwuxHpwWxlv1Tme&amp;index=8</t>
  </si>
  <si>
    <t>5- Sao nhập ngũ (SS1): Vượt qua giới hạn | Tập 5: Thanh Duy, Huỳnh Anh “bất đồng” quan điểm</t>
  </si>
  <si>
    <t>5 sao nhap ngu ss1 vuot qua gioi han tap 5 thanh duy huynh anh bat dong quan diem</t>
  </si>
  <si>
    <t>2017-02-12T03:30:00.000Z</t>
  </si>
  <si>
    <t>0fqYrzaAvlA</t>
  </si>
  <si>
    <t>https://www.youtube.com/watch?v=0fqYrzaAvlA&amp;list=PLC_d5n_vB0CptpsuXpJwuxHpwWxlv1Tme&amp;index=7</t>
  </si>
  <si>
    <t>4- Sao nhập ngũ (SS1): Vượt qua giới hạn | Tập 4: Lần đầu tiên cầm súng của bộ 3 "D.A.T"</t>
  </si>
  <si>
    <t>4 sao nhap ngu ss1 vuot qua gioi han tap 4 lan dau tien cam sung cua bo 3 d a t</t>
  </si>
  <si>
    <t>2017-02-05T03:30:01.000Z</t>
  </si>
  <si>
    <t>8kKLV6Qa8jI</t>
  </si>
  <si>
    <t>https://www.youtube.com/watch?v=8kKLV6Qa8jI&amp;list=PLC_d5n_vB0CptpsuXpJwuxHpwWxlv1Tme&amp;index=10</t>
  </si>
  <si>
    <t>7- Sao nhập ngũ (SS1): Vượt qua giới hạn | Tập 7: Thanh Duy trổ tài “quay cóp” tài liệu</t>
  </si>
  <si>
    <t>7 sao nhap ngu ss1 vuot qua gioi han tap 7 thanh duy tro tai quay cop tai lieu</t>
  </si>
  <si>
    <t>2017-02-26T13:00:01.000Z</t>
  </si>
  <si>
    <t>V9GXVKy962o</t>
  </si>
  <si>
    <t>https://www.youtube.com/watch?v=V9GXVKy962o&amp;list=PLC_d5n_vB0CptpsuXpJwuxHpwWxlv1Tme&amp;index=11</t>
  </si>
  <si>
    <t>8- Sao nhập ngũ (SS1): Vượt qua giới hạn | Tập 8: Trương Nam Thành "trổ tài" múa võ</t>
  </si>
  <si>
    <t>8 sao nhap ngu ss1 vuot qua gioi han tap 8 truong nam thanh tro tai mua vo</t>
  </si>
  <si>
    <t>2017-03-05T06:25:50.000Z</t>
  </si>
  <si>
    <t>3IqT4v7-CrI</t>
  </si>
  <si>
    <t>https://www.youtube.com/watch?v=3IqT4v7-CrI&amp;list=PLC_d5n_vB0CptpsuXpJwuxHpwWxlv1Tme&amp;index=9</t>
  </si>
  <si>
    <t>6- Sao nhập ngũ (SS1): Vượt qua giới hạn|Tập 6: Thanh Duy “nằm võng” trong lúc đồng đội hành quân</t>
  </si>
  <si>
    <t>6 sao nhap ngu ss1 vuot qua gioi han tap 6 thanh duy nam vong trong luc dong doi hanh quan</t>
  </si>
  <si>
    <t>2017-02-19T13:00:00.000Z</t>
  </si>
  <si>
    <t>SNN_S2</t>
  </si>
  <si>
    <t>https://www.youtube.com/watch?v=DKFo-oYseQU&amp;list=PLC_d5n_vB0CrwHkJz3hUNhzdEMhzHiIvg&amp;index=2</t>
  </si>
  <si>
    <t>PLC_d5n_vB0CrwHkJz3hUNhzdEMhzHiIvg</t>
  </si>
  <si>
    <t>2026-08-12T14:14:03.026381+07:00</t>
  </si>
  <si>
    <t>u3NnKFTFOhAhHDDJz</t>
  </si>
  <si>
    <t>https://www.youtube.com/watch?v=xUfuXW0HlUA&amp;list=PLC_d5n_vB0CrwHkJz3hUNhzdEMhzHiIvg&amp;index=3</t>
  </si>
  <si>
    <t>Z_l7jaC3iDs</t>
  </si>
  <si>
    <t>https://www.youtube.com/watch?v=Z_l7jaC3iDs&amp;list=PLC_d5n_vB0CrwHkJz3hUNhzdEMhzHiIvg&amp;index=10</t>
  </si>
  <si>
    <t>Sao nhập ngũ (SS2): TTBL | Tập 8: Quốc Thiên hoá "vua đầu bếp" nhưng vẫn bị Xuân Phúc "đá xoáy"</t>
  </si>
  <si>
    <t>sao nhap ngu ss2 ttbl tap 8 quoc thien hoa vua dau bep nhung van bi xuan phuc da xoay</t>
  </si>
  <si>
    <t>2017-04-30T13:00:06.000Z</t>
  </si>
  <si>
    <t>QpYxylNudVw</t>
  </si>
  <si>
    <t>https://www.youtube.com/watch?v=QpYxylNudVw&amp;list=PLC_d5n_vB0CrwHkJz3hUNhzdEMhzHiIvg&amp;index=1</t>
  </si>
  <si>
    <t>Sao nhập ngũ (SS2): TTBL | Tập 1: Quốc Thiên bị "cưỡng chế" cắt tóc</t>
  </si>
  <si>
    <t>sao nhap ngu ss2 ttbl tap 1 quoc thien bi cuong che cat toc</t>
  </si>
  <si>
    <t>2017-03-12T12:38:44.000Z</t>
  </si>
  <si>
    <t>jSlmcORLztM</t>
  </si>
  <si>
    <t>https://www.youtube.com/watch?v=jSlmcORLztM&amp;list=PLC_d5n_vB0CrwHkJz3hUNhzdEMhzHiIvg&amp;index=9</t>
  </si>
  <si>
    <t>Sao nhập ngũ (SS2) | TTBL | Tập 7: Quốc Thiên gặp nạn</t>
  </si>
  <si>
    <t>sao nhap ngu ss2 ttbl tap 7 quoc thien gap nan</t>
  </si>
  <si>
    <t>2017-04-23T13:00:03.000Z</t>
  </si>
  <si>
    <t>cGexxUoGZaQ</t>
  </si>
  <si>
    <t>https://www.youtube.com/watch?v=cGexxUoGZaQ&amp;list=PLC_d5n_vB0CrwHkJz3hUNhzdEMhzHiIvg&amp;index=7</t>
  </si>
  <si>
    <t>Sao nhập ngũ (SS2): TTBL | Tập 5: Bình An nỗ lực đến đổ máu, Xuân Phúc chặt gạch suýt gãy tay</t>
  </si>
  <si>
    <t>sao nhap ngu ss2 ttbl tap 5 binh an no luc den do mau xuan phuc chat gach suyt gay tay</t>
  </si>
  <si>
    <t>2017-04-09T13:00:04.000Z</t>
  </si>
  <si>
    <t>v-zN69ZizsU</t>
  </si>
  <si>
    <t>https://www.youtube.com/watch?v=v-zN69ZizsU&amp;list=PLC_d5n_vB0CrwHkJz3hUNhzdEMhzHiIvg&amp;index=8</t>
  </si>
  <si>
    <t>Sao nhập ngũ (SS2): TTBL | Tập 6 | Đặc công: "Quá nhanh, quá nguy hiểm"!</t>
  </si>
  <si>
    <t>sao nhap ngu ss2 ttbl tap 6 dac cong qua nhanh qua nguy hiem</t>
  </si>
  <si>
    <t>2017-04-16T13:00:04.000Z</t>
  </si>
  <si>
    <t>4OMVZNCm4ZA</t>
  </si>
  <si>
    <t>https://www.youtube.com/watch?v=4OMVZNCm4ZA&amp;list=PLC_d5n_vB0CrwHkJz3hUNhzdEMhzHiIvg&amp;index=6</t>
  </si>
  <si>
    <t>Sao nhập ngũ (SS2): TTBL | Tập 4 : Thử Thách Bản Lĩnh - Hot boy "mong manh" gục ngã trước giá lạnh</t>
  </si>
  <si>
    <t>sao nhap ngu ss2 ttbl tap 4 thu thach ban linh hot boy mong manh guc nga truoc gia lanh</t>
  </si>
  <si>
    <t>2017-04-02T13:00:00.000Z</t>
  </si>
  <si>
    <t>_jM2Ca_MQLw</t>
  </si>
  <si>
    <t>https://www.youtube.com/watch?v=_jM2Ca_MQLw&amp;list=PLC_d5n_vB0CrwHkJz3hUNhzdEMhzHiIvg&amp;index=5</t>
  </si>
  <si>
    <t>Sao nhập ngũ (SS2): TTBL | Tập 3: Quốc Thiên bỏ cuộc vì bị rắn cắn</t>
  </si>
  <si>
    <t>sao nhap ngu ss2 ttbl tap 3 quoc thien bo cuoc vi bi ran can</t>
  </si>
  <si>
    <t>2017-03-26T13:00:05.000Z</t>
  </si>
  <si>
    <t>pcvvMYvJeNE</t>
  </si>
  <si>
    <t>https://www.youtube.com/watch?v=pcvvMYvJeNE&amp;list=PLC_d5n_vB0CrwHkJz3hUNhzdEMhzHiIvg&amp;index=4</t>
  </si>
  <si>
    <t>Sao nhập ngũ (SS2): TTBL | Tập 2: Xuân Phúc thành "thương binh", Quốc Thiên hóa "vua" leo dây</t>
  </si>
  <si>
    <t>sao nhap ngu ss2 ttbl tap 2 xuan phuc thanh thuong binh quoc thien hoa vua leo day</t>
  </si>
  <si>
    <t>2017-03-19T13:00:05.000Z</t>
  </si>
  <si>
    <t>SNN_S3</t>
  </si>
  <si>
    <t>JZPKzfd3mwE</t>
  </si>
  <si>
    <t>https://www.youtube.com/watch?v=JZPKzfd3mwE&amp;list=PLC_d5n_vB0Cp3lgS7G06G9w1mChbxZUf_&amp;index=6</t>
  </si>
  <si>
    <t>Sao nhập ngũ (SS3): KLT | Tập 6: Trong tiếng nổ</t>
  </si>
  <si>
    <t>sao nhap ngu ss3 klt tap 6 trong tieng no</t>
  </si>
  <si>
    <t>PLC_d5n_vB0Cp3lgS7G06G9w1mChbxZUf_</t>
  </si>
  <si>
    <t>2017-08-27T06:40:16.000Z</t>
  </si>
  <si>
    <t>2026-08-12T14:14:43.261036+07:00</t>
  </si>
  <si>
    <t>gLvCiuze5YXQxE3Ha</t>
  </si>
  <si>
    <t>trzhTJvxfNg</t>
  </si>
  <si>
    <t>https://www.youtube.com/watch?v=trzhTJvxfNg&amp;list=PLC_d5n_vB0Cp3lgS7G06G9w1mChbxZUf_&amp;index=1</t>
  </si>
  <si>
    <t>Sao nhập ngũ (SS3): KLT | Tập 1: Kỷ luật thép - Khắc Việt, Vương Anh, Huy Cung</t>
  </si>
  <si>
    <t>sao nhap ngu ss3 klt tap 1 ky luat thep khac viet vuong anh huy cung</t>
  </si>
  <si>
    <t>2017-07-23T04:49:14.000Z</t>
  </si>
  <si>
    <t>sbpnRoAZJ4g</t>
  </si>
  <si>
    <t>https://www.youtube.com/watch?v=sbpnRoAZJ4g&amp;list=PLC_d5n_vB0Cp3lgS7G06G9w1mChbxZUf_&amp;index=7</t>
  </si>
  <si>
    <t>Sao nhập ngũ (SS3): KLT | Tập 7: Không lùi bước</t>
  </si>
  <si>
    <t>sao nhap ngu ss3 klt tap 7 khong lui buoc</t>
  </si>
  <si>
    <t>2017-09-03T02:17:35.000Z</t>
  </si>
  <si>
    <t>P4sLIqzsPGk</t>
  </si>
  <si>
    <t>https://www.youtube.com/watch?v=P4sLIqzsPGk&amp;list=PLC_d5n_vB0Cp3lgS7G06G9w1mChbxZUf_&amp;index=8</t>
  </si>
  <si>
    <t>Sao nhập ngũ (SS3): KLT | Tập 8: Thử thách cuối cùng</t>
  </si>
  <si>
    <t>sao nhap ngu ss3 klt tap 8 thu thach cuoi cung</t>
  </si>
  <si>
    <t>2017-09-10T03:39:12.000Z</t>
  </si>
  <si>
    <t>pBv76V1ewZ4</t>
  </si>
  <si>
    <t>https://www.youtube.com/watch?v=pBv76V1ewZ4&amp;list=PLC_d5n_vB0Cp3lgS7G06G9w1mChbxZUf_&amp;index=2</t>
  </si>
  <si>
    <t>Sao nhập ngũ (SS3): KLT | Tập 2: Vào khuôn khổ - Khắc Việt cùng Vương Anh, Huy Cung</t>
  </si>
  <si>
    <t>sao nhap ngu ss3 klt tap 2 vao khuon kho khac viet cung vuong anh huy cung</t>
  </si>
  <si>
    <t>2017-07-29T10:47:52.000Z</t>
  </si>
  <si>
    <t>PtI0w3wOA8I</t>
  </si>
  <si>
    <t>https://www.youtube.com/watch?v=PtI0w3wOA8I&amp;list=PLC_d5n_vB0Cp3lgS7G06G9w1mChbxZUf_&amp;index=3</t>
  </si>
  <si>
    <t>Sao nhập ngũ (SS3): KLT | Tập 3: Nửa đêm bắt trộm</t>
  </si>
  <si>
    <t>sao nhap ngu ss3 klt tap 3 nua dem bat trom</t>
  </si>
  <si>
    <t>2017-08-05T14:26:35.000Z</t>
  </si>
  <si>
    <t>Zv_corAaXZM</t>
  </si>
  <si>
    <t>https://www.youtube.com/watch?v=Zv_corAaXZM&amp;list=PLC_d5n_vB0Cp3lgS7G06G9w1mChbxZUf_&amp;index=5</t>
  </si>
  <si>
    <t>Sao nhập ngũ (SS3): KLT | Tập 5: Quân ngũ không phải chuyện đùa!</t>
  </si>
  <si>
    <t>sao nhap ngu ss3 klt tap 5 quan ngu khong phai chuyen dua</t>
  </si>
  <si>
    <t>2017-08-20T09:30:29.000Z</t>
  </si>
  <si>
    <t>LTapZk45uPc</t>
  </si>
  <si>
    <t>https://www.youtube.com/watch?v=LTapZk45uPc&amp;list=PLC_d5n_vB0Cp3lgS7G06G9w1mChbxZUf_&amp;index=4</t>
  </si>
  <si>
    <t>Sao nhập ngũ (SS3): KLT | Tập 4: Bỏ cuộc</t>
  </si>
  <si>
    <t>sao nhap ngu ss3 klt tap 4 bo cuoc</t>
  </si>
  <si>
    <t>2017-08-13T05:00:00.000Z</t>
  </si>
  <si>
    <t>SNN_S4</t>
  </si>
  <si>
    <t>dd3jkHxTv8Y</t>
  </si>
  <si>
    <t>https://www.youtube.com/watch?v=dd3jkHxTv8Y&amp;list=PLC_d5n_vB0CqCdnDzNstfo0Gsjgkoou5x&amp;index=8</t>
  </si>
  <si>
    <t>Sao nhập ngũ (SS4): BHT|Tập 8: Ngày cuối cùng</t>
  </si>
  <si>
    <t>sao nhap ngu ss4 bht tap 8 ngay cuoi cung</t>
  </si>
  <si>
    <t>PLC_d5n_vB0CqCdnDzNstfo0Gsjgkoou5x</t>
  </si>
  <si>
    <t>2017-11-05T05:00:01.000Z</t>
  </si>
  <si>
    <t>2026-08-12T14:15:20.186475+07:00</t>
  </si>
  <si>
    <t>D9GO2l8zvUqaPInU7</t>
  </si>
  <si>
    <t>2ZXCKiqZe0g</t>
  </si>
  <si>
    <t>https://www.youtube.com/watch?v=2ZXCKiqZe0g&amp;list=PLC_d5n_vB0CqCdnDzNstfo0Gsjgkoou5x&amp;index=1</t>
  </si>
  <si>
    <t>Sao nhập ngũ (SS4): BHT |  Tập 1: Nhập ngũ - Hương Giang Idol, Mai Ngô | Những Bông Hồng Thép</t>
  </si>
  <si>
    <t>sao nhap ngu ss4 bht tap 1 nhap ngu huong giang idol mai ngo nhung bong hong thep</t>
  </si>
  <si>
    <t>2017-09-17T14:17:38.000Z</t>
  </si>
  <si>
    <t>https://www.youtube.com/watch?v=-g4MnAEyao4&amp;list=PLC_d5n_vB0CqCdnDzNstfo0Gsjgkoou5x&amp;index=7</t>
  </si>
  <si>
    <t>Sao nhập ngũ (SS4): BHT|Tập 7: Mở lòng</t>
  </si>
  <si>
    <t>sao nhap ngu ss4 bht tap 7 mo long</t>
  </si>
  <si>
    <t>2017-10-29T05:00:00.000Z</t>
  </si>
  <si>
    <t>4spnJBsZ0mc</t>
  </si>
  <si>
    <t>https://www.youtube.com/watch?v=4spnJBsZ0mc&amp;list=PLC_d5n_vB0CqCdnDzNstfo0Gsjgkoou5x&amp;index=6</t>
  </si>
  <si>
    <t>Sao nhập ngũ (SS4): BHT|Tập 6: Chớp lửa nơi đầu nòng</t>
  </si>
  <si>
    <t>sao nhap ngu ss4 bht tap 6 chop lua noi dau nong</t>
  </si>
  <si>
    <t>2017-10-22T05:00:00.000Z</t>
  </si>
  <si>
    <t>NxUJjkWzEsk</t>
  </si>
  <si>
    <t>https://www.youtube.com/watch?v=NxUJjkWzEsk&amp;list=PLC_d5n_vB0CqCdnDzNstfo0Gsjgkoou5x&amp;index=4</t>
  </si>
  <si>
    <t>Sao nhập ngũ (SS4): BHT|Tập 4: Không gục ngã</t>
  </si>
  <si>
    <t>sao nhap ngu ss4 bht tap 4 khong guc nga</t>
  </si>
  <si>
    <t>2017-10-08T05:57:46.000Z</t>
  </si>
  <si>
    <t>g_Vxi_spr9A</t>
  </si>
  <si>
    <t>https://www.youtube.com/watch?v=g_Vxi_spr9A&amp;list=PLC_d5n_vB0CqCdnDzNstfo0Gsjgkoou5x&amp;index=3</t>
  </si>
  <si>
    <t>Sao nhập ngũ (SS4): BHT|Tập 3: Luyện thép</t>
  </si>
  <si>
    <t>sao nhap ngu ss4 bht tap 3 luyen thep</t>
  </si>
  <si>
    <t>2017-10-01T05:00:00.000Z</t>
  </si>
  <si>
    <t>wMSDx42r1lA</t>
  </si>
  <si>
    <t>https://www.youtube.com/watch?v=wMSDx42r1lA&amp;list=PLC_d5n_vB0CqCdnDzNstfo0Gsjgkoou5x&amp;index=2</t>
  </si>
  <si>
    <t>Sao nhập ngũ (SS4): BHT | Tập 2: Đêm đầu tiên</t>
  </si>
  <si>
    <t>sao nhap ngu ss4 bht tap 2 dem dau tien</t>
  </si>
  <si>
    <t>2017-09-24T05:00:01.000Z</t>
  </si>
  <si>
    <t>AJN1Zv0nefE</t>
  </si>
  <si>
    <t>https://www.youtube.com/watch?v=AJN1Zv0nefE&amp;list=PLC_d5n_vB0CqCdnDzNstfo0Gsjgkoou5x&amp;index=5</t>
  </si>
  <si>
    <t>Sao nhập ngũ (SS4): BHT|Tập 5: Nhanh hơn, nguy hiểm hơn</t>
  </si>
  <si>
    <t>sao nhap ngu ss4 bht tap 5 nhanh hon nguy hiem hon</t>
  </si>
  <si>
    <t>2017-10-15T05:00:01.000Z</t>
  </si>
  <si>
    <t>SNN_S5</t>
  </si>
  <si>
    <t>https://www.youtube.com/watch?v=xUfuXW0HlUA&amp;list=PLC_d5n_vB0CoGXjo5DpopjFxHny_Ep9hH&amp;index=3</t>
  </si>
  <si>
    <t>PLC_d5n_vB0CoGXjo5DpopjFxHny_Ep9hH</t>
  </si>
  <si>
    <t>2026-08-12T14:15:37.416276+07:00</t>
  </si>
  <si>
    <t>ghsYKcYOGoFFvhmmg</t>
  </si>
  <si>
    <t>7ZTDUWsvyJ8</t>
  </si>
  <si>
    <t>https://www.youtube.com/watch?v=7ZTDUWsvyJ8&amp;list=PLC_d5n_vB0CoGXjo5DpopjFxHny_Ep9hH&amp;index=10</t>
  </si>
  <si>
    <t>Sống đủ 168 giờ - TẬP 8 | Sao nhập ngũ (SS5) : Không Gục Ngã</t>
  </si>
  <si>
    <t>song du 168 gio tap 8 sao nhap ngu ss5 khong guc nga</t>
  </si>
  <si>
    <t>2018-07-07T13:12:38.000Z</t>
  </si>
  <si>
    <t>ecy0B8KMWlE</t>
  </si>
  <si>
    <t>https://www.youtube.com/watch?v=ecy0B8KMWlE&amp;list=PLC_d5n_vB0CoGXjo5DpopjFxHny_Ep9hH&amp;index=7</t>
  </si>
  <si>
    <t>Vượt ngưỡng - TẬP 5 | Sao nhập ngũ (SS5) : Không Gục Ngã</t>
  </si>
  <si>
    <t>vuot nguong tap 5 sao nhap ngu ss5 khong guc nga</t>
  </si>
  <si>
    <t>2018-06-16T13:00:10.000Z</t>
  </si>
  <si>
    <t>JZM_FC5vnoI</t>
  </si>
  <si>
    <t>https://www.youtube.com/watch?v=JZM_FC5vnoI&amp;list=PLC_d5n_vB0CoGXjo5DpopjFxHny_Ep9hH&amp;index=1</t>
  </si>
  <si>
    <t>Thử thách đầu tiên - TẬP 1 | Sao nhập ngũ (SS5) : Không Gục Ngã</t>
  </si>
  <si>
    <t>thu thach dau tien tap 1 sao nhap ngu ss5 khong guc nga</t>
  </si>
  <si>
    <t>2018-05-19T13:00:06.000Z</t>
  </si>
  <si>
    <t>KwWG6N2GChw</t>
  </si>
  <si>
    <t>https://www.youtube.com/watch?v=KwWG6N2GChw&amp;list=PLC_d5n_vB0CoGXjo5DpopjFxHny_Ep9hH&amp;index=9</t>
  </si>
  <si>
    <t>Trong thân pháo - TẬP 7 | Sao nhập ngũ (SS5) : Không Gục Ngã</t>
  </si>
  <si>
    <t>trong than phao tap 7 sao nhap ngu ss5 khong guc nga</t>
  </si>
  <si>
    <t>2018-06-30T13:00:01.000Z</t>
  </si>
  <si>
    <t>ntPRle4WH3E</t>
  </si>
  <si>
    <t>https://www.youtube.com/watch?v=ntPRle4WH3E&amp;list=PLC_d5n_vB0CoGXjo5DpopjFxHny_Ep9hH&amp;index=8</t>
  </si>
  <si>
    <t>Nỗi sợ của Hoàng Tôn - TẬP 6 | Sao nhập ngũ (SS5) : Không Gục Ngã</t>
  </si>
  <si>
    <t>noi so cua hoang ton tap 6 sao nhap ngu ss5 khong guc nga</t>
  </si>
  <si>
    <t>2018-06-23T13:00:04.000Z</t>
  </si>
  <si>
    <t>lk3yxseFqVI</t>
  </si>
  <si>
    <t>https://www.youtube.com/watch?v=lk3yxseFqVI&amp;list=PLC_d5n_vB0CoGXjo5DpopjFxHny_Ep9hH&amp;index=4</t>
  </si>
  <si>
    <t>Người được chọn - TẬP 2 | Sao nhập ngũ (SS5) : Không Gục Ngã</t>
  </si>
  <si>
    <t>nguoi duoc chon tap 2 sao nhap ngu ss5 khong guc nga</t>
  </si>
  <si>
    <t>2018-05-26T13:00:08.000Z</t>
  </si>
  <si>
    <t>mUwsf3m-75U</t>
  </si>
  <si>
    <t>https://www.youtube.com/watch?v=mUwsf3m-75U&amp;list=PLC_d5n_vB0CoGXjo5DpopjFxHny_Ep9hH&amp;index=6</t>
  </si>
  <si>
    <t>Tột cùng giới hạn - TẬP 4 | Sao nhập ngũ (SS5) : Không Gục Ngã</t>
  </si>
  <si>
    <t>tot cung gioi han tap 4 sao nhap ngu ss5 khong guc nga</t>
  </si>
  <si>
    <t>2018-06-10T00:53:42.000Z</t>
  </si>
  <si>
    <t>H6bG6MdRwKU</t>
  </si>
  <si>
    <t>https://www.youtube.com/watch?v=H6bG6MdRwKU&amp;list=PLC_d5n_vB0CoGXjo5DpopjFxHny_Ep9hH&amp;index=5</t>
  </si>
  <si>
    <t>Bản lĩnh của Pháo thủ - TẬP 3 | Sao nhập ngũ (SS5) : Không Gục Ngã</t>
  </si>
  <si>
    <t>ban linh cua phao thu tap 3 sao nhap ngu ss5 khong guc nga</t>
  </si>
  <si>
    <t>2018-06-02T13:00:03.000Z</t>
  </si>
  <si>
    <t>https://www.youtube.com/watch?v=DKFo-oYseQU&amp;list=PLC_d5n_vB0CoGXjo5DpopjFxHny_Ep9hH&amp;index=2</t>
  </si>
  <si>
    <t>SNN_S6</t>
  </si>
  <si>
    <t>Zcb3JDHLJ1Y</t>
  </si>
  <si>
    <t>https://www.youtube.com/watch?v=Zcb3JDHLJ1Y&amp;list=PLC_d5n_vB0CphKjGtYpd6u7LJvJ9l3WCd&amp;index=9</t>
  </si>
  <si>
    <t>Cảm động rớt nước mắt ngày chia tay [Sao nhập ngũ - SS6] Tập 8 - Tình đồng đội</t>
  </si>
  <si>
    <t>cam dong rot nuoc mat ngay chia tay sao nhap ngu ss6 tap 8 tinh dong doi</t>
  </si>
  <si>
    <t>PLC_d5n_vB0CphKjGtYpd6u7LJvJ9l3WCd</t>
  </si>
  <si>
    <t>2018-09-01T08:00:04.000Z</t>
  </si>
  <si>
    <t>2026-08-12T14:16:57.049844+07:00</t>
  </si>
  <si>
    <t>mdhkYFZw37CBLWLMe</t>
  </si>
  <si>
    <t>AmK2G5NkOhg</t>
  </si>
  <si>
    <t>https://www.youtube.com/watch?v=AmK2G5NkOhg&amp;list=PLC_d5n_vB0CphKjGtYpd6u7LJvJ9l3WCd&amp;index=5</t>
  </si>
  <si>
    <t>Không thể đùa với lửa | Tập 5 [Sao nhập ngũ-SS6] - Trong khói lửa</t>
  </si>
  <si>
    <t>khong the dua voi lua tap 5 sao nhap ngu ss6 trong khoi lua</t>
  </si>
  <si>
    <t>2018-08-11T11:30:01.000Z</t>
  </si>
  <si>
    <t>ajmV2cHlUjI</t>
  </si>
  <si>
    <t>https://www.youtube.com/watch?v=ajmV2cHlUjI&amp;list=PLC_d5n_vB0CphKjGtYpd6u7LJvJ9l3WCd&amp;index=2</t>
  </si>
  <si>
    <t>Mr Cần Trô đại náo "Sao nhập ngũ" | Tập 1 - Ngày giông bão</t>
  </si>
  <si>
    <t>mr can tro dai nao sao nhap ngu tap 1 ngay giong bao</t>
  </si>
  <si>
    <t>2018-07-14T11:00:02.000Z</t>
  </si>
  <si>
    <t>erx0a9j_Z9c</t>
  </si>
  <si>
    <t>https://www.youtube.com/watch?v=erx0a9j_Z9c&amp;list=PLC_d5n_vB0CphKjGtYpd6u7LJvJ9l3WCd&amp;index=10</t>
  </si>
  <si>
    <t>Siêu HOT [Sao nhập ngũ - SS6] Tập 9 - Ba câu chuyện</t>
  </si>
  <si>
    <t>sieu hot sao nhap ngu ss6 tap 9 ba cau chuyen</t>
  </si>
  <si>
    <t>2018-09-08T08:25:17.000Z</t>
  </si>
  <si>
    <t>28sPWDuiFfo</t>
  </si>
  <si>
    <t>https://www.youtube.com/watch?v=28sPWDuiFfo&amp;list=PLC_d5n_vB0CphKjGtYpd6u7LJvJ9l3WCd&amp;index=7</t>
  </si>
  <si>
    <t>Thầy trò Đường Tăng vượt 8km đường rừng chật vật | Tập 6 - 8km đường rừng</t>
  </si>
  <si>
    <t>thay tro duong tang vuot 8km duong rung chat vat tap 6 8km duong rung</t>
  </si>
  <si>
    <t>2018-08-18T08:00:01.000Z</t>
  </si>
  <si>
    <t>https://www.youtube.com/watch?v=xUfuXW0HlUA&amp;list=PLC_d5n_vB0CphKjGtYpd6u7LJvJ9l3WCd&amp;index=1</t>
  </si>
  <si>
    <t>0KjAWtBhWb8</t>
  </si>
  <si>
    <t>https://www.youtube.com/watch?v=0KjAWtBhWb8&amp;list=PLC_d5n_vB0CphKjGtYpd6u7LJvJ9l3WCd&amp;index=8</t>
  </si>
  <si>
    <t>Đối mặt với tử thần Mr Cần trô rơi nước mắt [Sao nhập ngũ SS6] | Tập 7 - Giải cứu</t>
  </si>
  <si>
    <t>doi mat voi tu than mr can tro roi nuoc mat sao nhap ngu ss6 tap 7 giai cuu</t>
  </si>
  <si>
    <t>2018-08-26T05:03:51.000Z</t>
  </si>
  <si>
    <t>auHnlXFV3Pk</t>
  </si>
  <si>
    <t>https://www.youtube.com/watch?v=auHnlXFV3Pk&amp;list=PLC_d5n_vB0CphKjGtYpd6u7LJvJ9l3WCd&amp;index=3</t>
  </si>
  <si>
    <t>Đại Nhân, Xuân Nghị, Juun Đăng Dũng vật vã vượt qua thử thách| Tập 2 - Bí mật sau chiếc mặt nạ</t>
  </si>
  <si>
    <t>dai nhan xuan nghi juun dang dung vat va vuot qua thu thach tap 2 bi mat sau chiec mat na</t>
  </si>
  <si>
    <t>2018-07-21T08:09:59.000Z</t>
  </si>
  <si>
    <t>9EwdT_JGCBk</t>
  </si>
  <si>
    <t>https://www.youtube.com/watch?v=9EwdT_JGCBk&amp;list=PLC_d5n_vB0CphKjGtYpd6u7LJvJ9l3WCd&amp;index=4</t>
  </si>
  <si>
    <t>Sốc với bản lĩnh của Đại Nhân, Xuân Nghị và Juun | Tập 3 - Không khoan nhượng</t>
  </si>
  <si>
    <t>soc voi ban linh cua dai nhan xuan nghi va juun tap 3 khong khoan nhuong</t>
  </si>
  <si>
    <t>2018-07-28T08:00:00.000Z</t>
  </si>
  <si>
    <t>IBGnrO4nf40</t>
  </si>
  <si>
    <t>https://www.youtube.com/watch?v=IBGnrO4nf40&amp;list=PLC_d5n_vB0CphKjGtYpd6u7LJvJ9l3WCd&amp;index=6</t>
  </si>
  <si>
    <t>Đại Nhân bật khóc, Juun Đăng Dũng ngất trên thao trường | Tập 4 - Bước chuyển</t>
  </si>
  <si>
    <t>dai nhan bat khoc juun dang dung ngat tren thao truong tap 4 buoc chuyen</t>
  </si>
  <si>
    <t>2018-08-04T08:00:00.000Z</t>
  </si>
  <si>
    <t>SNN_S7</t>
  </si>
  <si>
    <t>2vVP4uIP790</t>
  </si>
  <si>
    <t>https://www.youtube.com/watch?v=2vVP4uIP790&amp;list=PLC_d5n_vB0Co88uDvJGUYQ9npjPoaySdB&amp;index=5</t>
  </si>
  <si>
    <t>Sao nhập ngũ Mùa 7 - Tập 5 | Hậu duệ mặt nhăn - Phiên bản Sao nhập ngũ</t>
  </si>
  <si>
    <t>sao nhap ngu mua 7 tap 5 hau due mat nhan phien ban sao nhap ngu</t>
  </si>
  <si>
    <t>PLC_d5n_vB0Co88uDvJGUYQ9npjPoaySdB</t>
  </si>
  <si>
    <t>2018-12-08T03:00:01.000Z</t>
  </si>
  <si>
    <t>2026-08-12T14:18:59.730784+07:00</t>
  </si>
  <si>
    <t>Y6oaxEftPfNUX35rc</t>
  </si>
  <si>
    <t>38SPTki2c5g</t>
  </si>
  <si>
    <t>https://www.youtube.com/watch?v=38SPTki2c5g&amp;list=PLC_d5n_vB0Co88uDvJGUYQ9npjPoaySdB&amp;index=7</t>
  </si>
  <si>
    <t>Sao nhập ngũ Mùa 7 - Tập 7 | Tôi chọn đồng chí ấy - Tim, Châu Khải Phong, Dũng Bino, Ưng Đại Vệ</t>
  </si>
  <si>
    <t>sao nhap ngu mua 7 tap 7 toi chon dong chi ay tim chau khai phong dung bino ung dai ve</t>
  </si>
  <si>
    <t>2018-12-01T08:33:04.000Z</t>
  </si>
  <si>
    <t>cXVNxW3HTLQ</t>
  </si>
  <si>
    <t>https://www.youtube.com/watch?v=cXVNxW3HTLQ&amp;list=PLC_d5n_vB0Co88uDvJGUYQ9npjPoaySdB&amp;index=6</t>
  </si>
  <si>
    <t>Sao nhập ngũ Mùa 7 - Tập 6 | Xung đột nội bộ Châu Khải Phong, Ưng Đại Vệ, TIM, Dũng Bino</t>
  </si>
  <si>
    <t>sao nhap ngu mua 7 tap 6 xung dot noi bo chau khai phong ung dai ve tim dung bino</t>
  </si>
  <si>
    <t>2018-12-15T03:00:01.000Z</t>
  </si>
  <si>
    <t>xJlImUypde8</t>
  </si>
  <si>
    <t>https://www.youtube.com/watch?v=xJlImUypde8&amp;list=PLC_d5n_vB0Co88uDvJGUYQ9npjPoaySdB&amp;index=3</t>
  </si>
  <si>
    <t>Sao nhập ngũ Mùa 7 - Tập 3 Full HD | TIM nhận cái kết đắng, Dũng Bino hoàn thành xuất sắc nhiệm vụ</t>
  </si>
  <si>
    <t>sao nhap ngu mua 7 tap 3 full hd tim nhan cai ket dang dung bino hoan thanh xuat sac nhiem vu</t>
  </si>
  <si>
    <t>2018-11-24T05:13:09.000Z</t>
  </si>
  <si>
    <t>pnGNRLcgS8o</t>
  </si>
  <si>
    <t>https://www.youtube.com/watch?v=pnGNRLcgS8o&amp;list=PLC_d5n_vB0Co88uDvJGUYQ9npjPoaySdB&amp;index=2</t>
  </si>
  <si>
    <t>Sao nhập ngũ Mùa 7 - Tập 2 Full HD | Ưng Đại Vệ chạy hụt hơi, Tim đau chân muốn khóc</t>
  </si>
  <si>
    <t>sao nhap ngu mua 7 tap 2 full hd ung dai ve chay hut hoi tim dau chan muon khoc</t>
  </si>
  <si>
    <t>2018-11-13T09:13:31.000Z</t>
  </si>
  <si>
    <t>x2wQz2zBfng</t>
  </si>
  <si>
    <t>https://www.youtube.com/watch?v=x2wQz2zBfng&amp;list=PLC_d5n_vB0Co88uDvJGUYQ9npjPoaySdB&amp;index=8</t>
  </si>
  <si>
    <t>Sao nhập ngũ Mùa 7 - Tập 8 | Đoàn quân Tiên phong - Trải nghiệm khó quên</t>
  </si>
  <si>
    <t>sao nhap ngu mua 7 tap 8 doan quan tien phong trai nghiem kho quen</t>
  </si>
  <si>
    <t>2018-12-29T03:00:07.000Z</t>
  </si>
  <si>
    <t>srIw3GnbWZM</t>
  </si>
  <si>
    <t>https://www.youtube.com/watch?v=srIw3GnbWZM&amp;list=PLC_d5n_vB0Co88uDvJGUYQ9npjPoaySdB&amp;index=1</t>
  </si>
  <si>
    <t>Sao nhập ngũ Mùa 7 - Tập 1 Full HD | Ưng Đại Vệ, Châu Khải Phong, Dũng Bino, TIM</t>
  </si>
  <si>
    <t>sao nhap ngu mua 7 tap 1 full hd ung dai ve chau khai phong dung bino tim</t>
  </si>
  <si>
    <t>2018-11-05T04:28:21.000Z</t>
  </si>
  <si>
    <t>3GA8fHsXat4</t>
  </si>
  <si>
    <t>https://www.youtube.com/watch?v=3GA8fHsXat4&amp;list=PLC_d5n_vB0Co88uDvJGUYQ9npjPoaySdB&amp;index=4</t>
  </si>
  <si>
    <t>Sao nhập ngũ Mùa 7 - Tập 4 | Thánh lầy Ưng Đại Vệ không ngừng "troll" Đồng Đội</t>
  </si>
  <si>
    <t>sao nhap ngu mua 7 tap 4 thanh lay ung dai ve khong ngung troll dong doi</t>
  </si>
  <si>
    <t>2018-12-01T03:00:01.000Z</t>
  </si>
  <si>
    <t>SNN_S8</t>
  </si>
  <si>
    <t>ODSk3vAIFqc</t>
  </si>
  <si>
    <t>https://www.youtube.com/watch?v=ODSk3vAIFqc&amp;list=PLC_d5n_vB0CqDKc1F_pBYsL8ma1oaAP4n&amp;index=14</t>
  </si>
  <si>
    <t>Trailer Tập 2 - Sao nhập ngũ Mùa 8 | Mạc Văn Khoa, Quang Đăng, Mr T - Cận Chiến Như Aquaman</t>
  </si>
  <si>
    <t>trailer tap 2 sao nhap ngu mua 8 mac van khoa quang dang mr t can chien nhu aquaman</t>
  </si>
  <si>
    <t>PLC_d5n_vB0CqDKc1F_pBYsL8ma1oaAP4n</t>
  </si>
  <si>
    <t>2019-01-10T09:00:02.000Z</t>
  </si>
  <si>
    <t>2026-08-12T14:19:29.834327+07:00</t>
  </si>
  <si>
    <t>COSBd4Rgf6dS5Wpji</t>
  </si>
  <si>
    <t>ZWKYPJqYRaY</t>
  </si>
  <si>
    <t>https://www.youtube.com/watch?v=ZWKYPJqYRaY&amp;list=PLC_d5n_vB0CqDKc1F_pBYsL8ma1oaAP4n&amp;index=13</t>
  </si>
  <si>
    <t>Trailer Tập 3 - Sao nhập ngũ Mùa 8 | Mạc Văn Khoa, Mr T, Quang Đăng</t>
  </si>
  <si>
    <t>trailer tap 3 sao nhap ngu mua 8 mac van khoa mr t quang dang</t>
  </si>
  <si>
    <t>2019-01-17T09:00:03.000Z</t>
  </si>
  <si>
    <t>wxqjWV-a0xo</t>
  </si>
  <si>
    <t>https://www.youtube.com/watch?v=wxqjWV-a0xo&amp;list=PLC_d5n_vB0CqDKc1F_pBYsL8ma1oaAP4n&amp;index=18</t>
  </si>
  <si>
    <t>Trailer Tập 7 - Sao nhập ngũ Mùa 8 | Mạc Văn Khoa, Quang Đăng, Mr T - Quên cả đớn đau</t>
  </si>
  <si>
    <t>trailer tap 7 sao nhap ngu mua 8 mac van khoa quang dang mr t quen ca don dau</t>
  </si>
  <si>
    <t>2019-02-14T08:00:06.000Z</t>
  </si>
  <si>
    <t>9Y2Gja2Ktek</t>
  </si>
  <si>
    <t>https://www.youtube.com/watch?v=9Y2Gja2Ktek&amp;list=PLC_d5n_vB0CqDKc1F_pBYsL8ma1oaAP4n&amp;index=17</t>
  </si>
  <si>
    <t>Trailer Tập 6 - Sao nhập ngũ Mùa 8 | Mạc Văn Khoa, Mr T, Quang Đăng</t>
  </si>
  <si>
    <t>trailer tap 6 sao nhap ngu mua 8 mac van khoa mr t quang dang</t>
  </si>
  <si>
    <t>2019-02-08T08:00:01.000Z</t>
  </si>
  <si>
    <t>5o5WWvJm4AE</t>
  </si>
  <si>
    <t>https://www.youtube.com/watch?v=5o5WWvJm4AE&amp;list=PLC_d5n_vB0CqDKc1F_pBYsL8ma1oaAP4n&amp;index=11</t>
  </si>
  <si>
    <t>Sao nhập ngũ Mùa 8 | Mạc Văn Khoa Xanh Mặt Khi Các Chỉ Huy Bắt Bơi 12km</t>
  </si>
  <si>
    <t>sao nhap ngu mua 8 mac van khoa xanh mat khi cac chi huy bat boi 12km</t>
  </si>
  <si>
    <t>2019-01-08T08:10:01.000Z</t>
  </si>
  <si>
    <t>8UFgThe73As</t>
  </si>
  <si>
    <t>https://www.youtube.com/watch?v=8UFgThe73As&amp;list=PLC_d5n_vB0CqDKc1F_pBYsL8ma1oaAP4n&amp;index=19</t>
  </si>
  <si>
    <t>Sao nhập ngũ Mùa 8 - Hay nhất Tập 7 &amp; 8 - Mạc Văn Khoa, Quang Đăng, Mr T</t>
  </si>
  <si>
    <t>sao nhap ngu mua 8 hay nhat tap 7 8 mac van khoa quang dang mr t</t>
  </si>
  <si>
    <t>2019-02-20T08:00:02.000Z</t>
  </si>
  <si>
    <t>BV-42DTZp3o</t>
  </si>
  <si>
    <t>https://www.youtube.com/watch?v=BV-42DTZp3o&amp;list=PLC_d5n_vB0CqDKc1F_pBYsL8ma1oaAP4n&amp;index=12</t>
  </si>
  <si>
    <t>Sao nhập ngũ Mùa 8 | Đối Mặt Với Biển - Bật mí các trích đoạn hay nhất Tập 2</t>
  </si>
  <si>
    <t>sao nhap ngu mua 8 doi mat voi bien bat mi cac trich doan hay nhat tap 2</t>
  </si>
  <si>
    <t>2019-01-09T08:00:01.000Z</t>
  </si>
  <si>
    <t>5ZSO-pQs3fI</t>
  </si>
  <si>
    <t>https://www.youtube.com/watch?v=5ZSO-pQs3fI&amp;list=PLC_d5n_vB0CqDKc1F_pBYsL8ma1oaAP4n&amp;index=6</t>
  </si>
  <si>
    <t>Sao nhập ngũ Mùa 8 - Tập 6 | Cú đấm Knock Out - Mạc Văn Khoa, Quang Đăng, Mr T</t>
  </si>
  <si>
    <t>sao nhap ngu mua 8 tap 6 cu dam knock out mac van khoa quang dang mr t</t>
  </si>
  <si>
    <t>agIY6NVhImE</t>
  </si>
  <si>
    <t>https://www.youtube.com/watch?v=agIY6NVhImE&amp;list=PLC_d5n_vB0CqDKc1F_pBYsL8ma1oaAP4n&amp;index=1</t>
  </si>
  <si>
    <t>Sao nhập ngũ Mùa 8 - Tập 1 | M���c Văn Khoa, Quang Đăng và Mr T hội ngộ tranh "lầy"</t>
  </si>
  <si>
    <t>sao nhap ngu mua 8 tap 1 m c van khoa quang dang va mr t hoi ngo tranh lay</t>
  </si>
  <si>
    <t>2019-01-04T07:57:49.000Z</t>
  </si>
  <si>
    <t>mFX4I47cr-g</t>
  </si>
  <si>
    <t>https://www.youtube.com/watch?v=mFX4I47cr-g&amp;list=PLC_d5n_vB0CqDKc1F_pBYsL8ma1oaAP4n&amp;index=2</t>
  </si>
  <si>
    <t>Sao nhập ngũ Mùa 8 - Tập 2 | "Trời Ơi! Không Tin Được" - Mạc Văn Khoa Cùng Đồng Đội Lại Làm Điều Này</t>
  </si>
  <si>
    <t>sao nhap ngu mua 8 tap 2 troi oi khong tin duoc mac van khoa cung dong doi lai lam dieu nay</t>
  </si>
  <si>
    <t>2019-01-11T07:57:41.000Z</t>
  </si>
  <si>
    <t>yL5RZumQR8g</t>
  </si>
  <si>
    <t>https://www.youtube.com/watch?v=yL5RZumQR8g&amp;list=PLC_d5n_vB0CqDKc1F_pBYsL8ma1oaAP4n&amp;index=3</t>
  </si>
  <si>
    <t>Sao nhập ngũ Mùa 8 - Tập 3 | Mr T, Mạc Văn Khoa, Quang Đăng "hút chết" trên biển</t>
  </si>
  <si>
    <t>sao nhap ngu mua 8 tap 3 mr t mac van khoa quang dang hut chet tren bien</t>
  </si>
  <si>
    <t>2019-01-18T08:00:10.000Z</t>
  </si>
  <si>
    <t>N8n_CEtXev0</t>
  </si>
  <si>
    <t>https://www.youtube.com/watch?v=N8n_CEtXev0&amp;list=PLC_d5n_vB0CqDKc1F_pBYsL8ma1oaAP4n&amp;index=10</t>
  </si>
  <si>
    <t>Sao nhập ngũ Mùa 8  - Những pha hài hước bựa nhất Mạc Văn Khoa, Quang Đăng, Mr T</t>
  </si>
  <si>
    <t>sao nhap ngu mua 8 nhung pha hai huoc bua nhat mac van khoa quang dang mr t</t>
  </si>
  <si>
    <t>2019-01-03T12:57:43.000Z</t>
  </si>
  <si>
    <t>X8x5TdthykY</t>
  </si>
  <si>
    <t>https://www.youtube.com/watch?v=X8x5TdthykY&amp;list=PLC_d5n_vB0CqDKc1F_pBYsL8ma1oaAP4n&amp;index=8</t>
  </si>
  <si>
    <t>Sao nhập ngũ Mùa 8 - Tập 8 | Nhập ngũ thật là ngầu - Mạc Văn Khoa, Quang Đăng, Mr T</t>
  </si>
  <si>
    <t>sao nhap ngu mua 8 tap 8 nhap ngu that la ngau mac van khoa quang dang mr t</t>
  </si>
  <si>
    <t>2019-02-22T08:49:20.000Z</t>
  </si>
  <si>
    <t>6jLUP46cwGM</t>
  </si>
  <si>
    <t>https://www.youtube.com/watch?v=6jLUP46cwGM&amp;list=PLC_d5n_vB0CqDKc1F_pBYsL8ma1oaAP4n&amp;index=16</t>
  </si>
  <si>
    <t>Trailer Tập 5 - Sao nhập ngũ Mùa 8 | Chạm Ngưỡng Giới Hạn - Mạc Văn Khoa, Quang Đăng, Mr T</t>
  </si>
  <si>
    <t>trailer tap 5 sao nhap ngu mua 8 cham nguong gioi han mac van khoa quang dang mr t</t>
  </si>
  <si>
    <t>2019-01-31T08:00:02.000Z</t>
  </si>
  <si>
    <t>cepe5UE7GEU</t>
  </si>
  <si>
    <t>https://www.youtube.com/watch?v=cepe5UE7GEU&amp;list=PLC_d5n_vB0CqDKc1F_pBYsL8ma1oaAP4n&amp;index=7</t>
  </si>
  <si>
    <t>Sao nhập ngũ Mùa 8 - Tập 7 | Quên cả đớn đau - Mạc Văn Khoa, Quang Đăng, Mr T</t>
  </si>
  <si>
    <t>sao nhap ngu mua 8 tap 7 quen ca don dau mac van khoa quang dang mr t</t>
  </si>
  <si>
    <t>2019-02-15T07:57:42.000Z</t>
  </si>
  <si>
    <t>sccR6o8j2tY</t>
  </si>
  <si>
    <t>https://www.youtube.com/watch?v=sccR6o8j2tY&amp;list=PLC_d5n_vB0CqDKc1F_pBYsL8ma1oaAP4n&amp;index=5</t>
  </si>
  <si>
    <t>Sao nhập ngũ Mùa 8 - Tập 5 | Chạm Ngưỡng Giới Hạn - Mạc Văn Khoa, Quang Đăng, Mr T</t>
  </si>
  <si>
    <t>sao nhap ngu mua 8 tap 5 cham nguong gioi han mac van khoa quang dang mr t</t>
  </si>
  <si>
    <t>2019-02-01T07:58:26.000Z</t>
  </si>
  <si>
    <t>BazLzOOmYvM</t>
  </si>
  <si>
    <t>https://www.youtube.com/watch?v=BazLzOOmYvM&amp;list=PLC_d5n_vB0CqDKc1F_pBYsL8ma1oaAP4n&amp;index=15</t>
  </si>
  <si>
    <t>Trailer Tập 4 - Sao nhập ngũ Mùa 8 - CHÔN VÙI DƯỚI LÒNG ĐẤT | Mạc Văn Khoa, Quang Đăng, Mr T</t>
  </si>
  <si>
    <t>trailer tap 4 sao nhap ngu mua 8 chon vui duoi long dat mac van khoa quang dang mr t</t>
  </si>
  <si>
    <t>2019-01-24T08:00:02.000Z</t>
  </si>
  <si>
    <t>4twFlEkVeuU</t>
  </si>
  <si>
    <t>https://www.youtube.com/watch?v=4twFlEkVeuU&amp;list=PLC_d5n_vB0CqDKc1F_pBYsL8ma1oaAP4n&amp;index=9</t>
  </si>
  <si>
    <t>Sao nhập ngũ Mùa 8 | NHỮNG MÀN RẮC MUỐI BÁ ĐẠO NHẤT | PHẦN I</t>
  </si>
  <si>
    <t>sao nhap ngu mua 8 nhung man rac muoi ba dao nhat phan i</t>
  </si>
  <si>
    <t>2019-01-14T08:00:00.000Z</t>
  </si>
  <si>
    <t>ycR2wGbLfco</t>
  </si>
  <si>
    <t>https://www.youtube.com/watch?v=ycR2wGbLfco&amp;list=PLC_d5n_vB0CqDKc1F_pBYsL8ma1oaAP4n&amp;index=4</t>
  </si>
  <si>
    <t>Sao nhập ngũ Mùa 8 - Tập 4 | Thử thách khốc liệt - Vùi mình dưới cát Mạc Văn Khoa, Mr T, Quang Đăng</t>
  </si>
  <si>
    <t>sao nhap ngu mua 8 tap 4 thu thach khoc liet vui minh duoi cat mac van khoa mr t quang dang</t>
  </si>
  <si>
    <t>2019-01-25T08:00:15.000Z</t>
  </si>
  <si>
    <t>SNN_2020</t>
  </si>
  <si>
    <t>HdxGkZ9cJOc</t>
  </si>
  <si>
    <t>https://www.youtube.com/watch?v=HdxGkZ9cJOc&amp;list=PLC_d5n_vB0CpiGXxipKjNENU8hkenUgOO&amp;index=17</t>
  </si>
  <si>
    <t>Tập 11 uncut l SNN 2020 l Diệu Nhi như được "sinh ra lần 2", Hậu Hoàng công khai làm nũng Mũi trưởng</t>
  </si>
  <si>
    <t>tap 11 uncut l snn 2020 l dieu nhi nhu duoc sinh ra lan 2 hau hoang cong khai lam nung mui truong</t>
  </si>
  <si>
    <t>PLC_d5n_vB0CpiGXxipKjNENU8hkenUgOO</t>
  </si>
  <si>
    <t>2021-02-14T03:00:18.000Z</t>
  </si>
  <si>
    <t>2026-08-12T14:21:02.158876+07:00</t>
  </si>
  <si>
    <t>eti2KXKGs9ZT5yGjI</t>
  </si>
  <si>
    <t>viWSaUtUBtU</t>
  </si>
  <si>
    <t>https://www.youtube.com/watch?v=viWSaUtUBtU&amp;list=PLC_d5n_vB0CpiGXxipKjNENU8hkenUgOO&amp;index=21</t>
  </si>
  <si>
    <t>Sao nhập ngũ 2020 Hóng tập 10: Hậu Hoàng: Người nói tin em đi, Mũi trưởng: Tôi tin!</t>
  </si>
  <si>
    <t>sao nhap ngu 2020 hong tap 10 hau hoang nguoi noi tin em di mui truong toi tin</t>
  </si>
  <si>
    <t>2021-02-05T14:15:36.000Z</t>
  </si>
  <si>
    <t>https://www.youtube.com/watch?v=-k9T8d5PCeM&amp;list=PLC_d5n_vB0CpiGXxipKjNENU8hkenUgOO&amp;index=18</t>
  </si>
  <si>
    <t>TRAILER TẬP 11 l SNN 2020 l Khánh Vân đam mê súng ống, Mũi trưởng Long trình diễn bắn súng đỉnh cao</t>
  </si>
  <si>
    <t>trailer tap 11 l snn 2020 l khanh van dam me sung ong mui truong long trinh dien ban sung dinh cao</t>
  </si>
  <si>
    <t>2021-02-12T13:00:17.000Z</t>
  </si>
  <si>
    <t>Dc5rk7DhD3s</t>
  </si>
  <si>
    <t>https://www.youtube.com/watch?v=Dc5rk7DhD3s&amp;list=PLC_d5n_vB0CpiGXxipKjNENU8hkenUgOO&amp;index=12</t>
  </si>
  <si>
    <t>TRAILER TẬP 14 | SNN 2020 | Diệu Nhi không chịu nổi nhiệt khi tắm heo, Kỳ Duyên quyết không bỏ cuộc</t>
  </si>
  <si>
    <t>trailer tap 14 snn 2020 dieu nhi khong chiu noi nhiet khi tam heo ky duyen quyet khong bo cuoc</t>
  </si>
  <si>
    <t>2021-03-06T11:00:17.000Z</t>
  </si>
  <si>
    <t>FJw460TMaWk</t>
  </si>
  <si>
    <t>https://www.youtube.com/watch?v=FJw460TMaWk&amp;list=PLC_d5n_vB0CpiGXxipKjNENU8hkenUgOO&amp;index=22</t>
  </si>
  <si>
    <t>Tập 9 Uncut | Hậu Hoàng nuốt nước mắt vào trong, Kỳ Duyên mạnh mẽ vượt qua mọi thử thách</t>
  </si>
  <si>
    <t>tap 9 uncut hau hoang nuot nuoc mat vao trong ky duyen manh me vuot qua moi thu thach</t>
  </si>
  <si>
    <t>2021-01-31T03:00:12.000Z</t>
  </si>
  <si>
    <t>QxsPLEUuUyw</t>
  </si>
  <si>
    <t>https://www.youtube.com/watch?v=QxsPLEUuUyw&amp;list=PLC_d5n_vB0CpiGXxipKjNENU8hkenUgOO&amp;index=20</t>
  </si>
  <si>
    <t>TRAILER TẬP 10 l SNN 2020 l Giới hạn tột cùng, Diệu Nhi tự thôi miên, Hậu Hoàng không tự tin đối mặt</t>
  </si>
  <si>
    <t>trailer tap 10 l snn 2020 l gioi han tot cung dieu nhi tu thoi mien hau hoang khong tu tin doi mat</t>
  </si>
  <si>
    <t>2021-02-06T04:45:11.000Z</t>
  </si>
  <si>
    <t>VjbF3mp0_K4</t>
  </si>
  <si>
    <t>https://www.youtube.com/watch?v=VjbF3mp0_K4&amp;list=PLC_d5n_vB0CpiGXxipKjNENU8hkenUgOO&amp;index=16</t>
  </si>
  <si>
    <t>TRAILER TẬP 12 |SNN 2020| Hậu Hoàng nói cảm xúc thật về Mũi trưởng, Kỳ Duyên "mất tích"  bất thường</t>
  </si>
  <si>
    <t>trailer tap 12 snn 2020 hau hoang noi cam xuc that ve mui truong ky duyen mat tich bat thuong</t>
  </si>
  <si>
    <t>2021-02-20T01:30:15.000Z</t>
  </si>
  <si>
    <t>Gj6hcqSSFSU</t>
  </si>
  <si>
    <t>https://www.youtube.com/watch?v=Gj6hcqSSFSU&amp;list=PLC_d5n_vB0CpiGXxipKjNENU8hkenUgOO&amp;index=32</t>
  </si>
  <si>
    <t>[Uncut - Tập 5 SNN 2020] Nàng hậu Kỳ Duyên không ngại ngần cõng đồng đội nam, nàng hậu cười hớn hở</t>
  </si>
  <si>
    <t>uncut tap 5 snn 2020 nang hau ky duyen khong ngai ngan cong dong doi nam nang hau cuoi hon ho</t>
  </si>
  <si>
    <t>2021-01-05T14:00:32.000Z</t>
  </si>
  <si>
    <t>6dApuDKCuLM</t>
  </si>
  <si>
    <t>https://www.youtube.com/watch?v=6dApuDKCuLM&amp;list=PLC_d5n_vB0CpiGXxipKjNENU8hkenUgOO&amp;index=24</t>
  </si>
  <si>
    <t>Tập 8 | SNN 2020 | Diệu Nhi &amp; Kỳ Duyên vươn lên dẫn đầu, nguy cơ bể thuyền Mũi trưởng &amp; Hậu Hoàng</t>
  </si>
  <si>
    <t>tap 8 snn 2020 dieu nhi ky duyen vuon len dan dau nguy co be thuyen mui truong hau hoang</t>
  </si>
  <si>
    <t>2021-01-24T03:01:06.000Z</t>
  </si>
  <si>
    <t>y95_z8a18sk</t>
  </si>
  <si>
    <t>https://www.youtube.com/watch?v=y95_z8a18sk&amp;list=PLC_d5n_vB0CpiGXxipKjNENU8hkenUgOO&amp;index=1</t>
  </si>
  <si>
    <t>SNN NGOẠI TRUYỆN | Hành trình nhập ngũ đủ cung bậc cảm xúc của cô nàng hot Youtuber Hậu Hoàng</t>
  </si>
  <si>
    <t>snn ngoai truyen hanh trinh nhap ngu du cung bac cam xuc cua co nang hot youtuber hau hoang</t>
  </si>
  <si>
    <t>2021-05-19T13:00:13.000Z</t>
  </si>
  <si>
    <t>official_channel;plausible_duration;show_alias_missing</t>
  </si>
  <si>
    <t>6XqFot382T4</t>
  </si>
  <si>
    <t>https://www.youtube.com/watch?v=6XqFot382T4&amp;list=PLC_d5n_vB0CpiGXxipKjNENU8hkenUgOO&amp;index=2</t>
  </si>
  <si>
    <t>SNN NGOẠI TRUYỆN | Xúc động với “món quà” tâm huyết của 6 nữ chiến binh Sao nhập ngũ 2020</t>
  </si>
  <si>
    <t>snn ngoai truyen xuc dong voi mon qua tam huyet cua 6 nu chien binh sao nhap ngu 2020</t>
  </si>
  <si>
    <t>2021-04-25T03:00:16.000Z</t>
  </si>
  <si>
    <t>bnZjNnQU5R0</t>
  </si>
  <si>
    <t>https://www.youtube.com/watch?v=bnZjNnQU5R0&amp;list=PLC_d5n_vB0CpiGXxipKjNENU8hkenUgOO&amp;index=35</t>
  </si>
  <si>
    <t>Sao nhập ngũ Trailer tập 5: Diệu Nhi khuyên bạn đào hố chôn thành phẩm nếu đi nặng khi làm nhiệm vụ</t>
  </si>
  <si>
    <t>sao nhap ngu trailer tap 5 dieu nhi khuyen ban dao ho chon thanh pham neu di nang khi lam nhiem vu</t>
  </si>
  <si>
    <t>2021-01-01T03:00:10.000Z</t>
  </si>
  <si>
    <t>jLf81Hpae7k</t>
  </si>
  <si>
    <t>https://www.youtube.com/watch?v=jLf81Hpae7k&amp;list=PLC_d5n_vB0CpiGXxipKjNENU8hkenUgOO&amp;index=36</t>
  </si>
  <si>
    <t>Sao nhập ngũ 2020 I Replay Tập 4: Vân - Toàn: Couple Chưa Xây Nhà Đã Lợp Mái</t>
  </si>
  <si>
    <t>sao nhap ngu 2020 i replay tap 4 van toan couple chua xay nha da lop mai</t>
  </si>
  <si>
    <t>2020-12-31T01:22:09.000Z</t>
  </si>
  <si>
    <t>FjBBoqceG-o</t>
  </si>
  <si>
    <t>https://www.youtube.com/watch?v=FjBBoqceG-o&amp;list=PLC_d5n_vB0CpiGXxipKjNENU8hkenUgOO&amp;index=34</t>
  </si>
  <si>
    <t>Sao nhập ngũ 2020 Trailer 2 Tập 5: Thêm 1 chút "Diệu Nhi" anh Editor quên bỏ vô trailer</t>
  </si>
  <si>
    <t>sao nhap ngu 2020 trailer 2 tap 5 them 1 chut dieu nhi anh editor quen bo vo trailer</t>
  </si>
  <si>
    <t>2021-01-01T03:15:10.000Z</t>
  </si>
  <si>
    <t>ep-vO2bo7MQ</t>
  </si>
  <si>
    <t>https://www.youtube.com/watch?v=ep-vO2bo7MQ&amp;list=PLC_d5n_vB0CpiGXxipKjNENU8hkenUgOO&amp;index=31</t>
  </si>
  <si>
    <t>Trailer Tập 6 - Sao nhập ngũ 2020 | Diệu Nhi tiết lộ từng "phi dao" rọc giấy vào người cũ</t>
  </si>
  <si>
    <t>trailer tap 6 sao nhap ngu 2020 dieu nhi tiet lo tung phi dao roc giay vao nguoi cu</t>
  </si>
  <si>
    <t>2021-01-07T13:00:11.000Z</t>
  </si>
  <si>
    <t>CceXMiP1JpE</t>
  </si>
  <si>
    <t>https://www.youtube.com/watch?v=CceXMiP1JpE&amp;list=PLC_d5n_vB0CpiGXxipKjNENU8hkenUgOO&amp;index=23</t>
  </si>
  <si>
    <t>TRAILER TẬP 9 l Sao nhập ngũ 2020 l Ranh giới bỏ cuộc và đi tiếp Diệu Nhi, Hoàng Yến bật khóc</t>
  </si>
  <si>
    <t>trailer tap 9 l sao nhap ngu 2020 l ranh gioi bo cuoc va di tiep dieu nhi hoang yen bat khoc</t>
  </si>
  <si>
    <t>2021-01-29T13:00:13.000Z</t>
  </si>
  <si>
    <t>IRdvmln8mB8</t>
  </si>
  <si>
    <t>https://www.youtube.com/watch?v=IRdvmln8mB8&amp;list=PLC_d5n_vB0CpiGXxipKjNENU8hkenUgOO&amp;index=6</t>
  </si>
  <si>
    <t>Giải mã chiến hạm Long &amp; Hậu | SNN 2020 Chuyện bên lề | Hậu Hoàng ngơ ngác bị đẩy lên thuyền</t>
  </si>
  <si>
    <t>giai ma chien ham long hau snn 2020 chuyen ben le hau hoang ngo ngac bi day len thuyen</t>
  </si>
  <si>
    <t>2021-03-28T03:00:16.000Z</t>
  </si>
  <si>
    <t>qbJtMTbtY7M</t>
  </si>
  <si>
    <t>https://www.youtube.com/watch?v=qbJtMTbtY7M&amp;list=PLC_d5n_vB0CpiGXxipKjNENU8hkenUgOO&amp;index=29</t>
  </si>
  <si>
    <t>Tập 6 Full |Sao nhập ngũ 2020 |Hậu Hoàng băng băng leo tường, trai đẹp xuất hiện làm nao lòng chị em</t>
  </si>
  <si>
    <t>tap 6 full sao nhap ngu 2020 hau hoang bang bang leo tuong trai dep xuat hien lam nao long chi em</t>
  </si>
  <si>
    <t>2021-01-10T03:00:26.000Z</t>
  </si>
  <si>
    <t>P0RqU3qr9UA</t>
  </si>
  <si>
    <t>https://www.youtube.com/watch?v=P0RqU3qr9UA&amp;list=PLC_d5n_vB0CpiGXxipKjNENU8hkenUgOO&amp;index=3</t>
  </si>
  <si>
    <t>SNN NGOẠI TRUYỆN | Kỳ Duyên trải lòng hành trình “nhập ngũ” và thực hiện thiện nguyện ý nghĩa!!!</t>
  </si>
  <si>
    <t>snn ngoai truyen ky duyen trai long hanh trinh nhap ngu va thuc hien thien nguyen y nghia</t>
  </si>
  <si>
    <t>2021-04-18T08:00:29.000Z</t>
  </si>
  <si>
    <t>vg3SfpPjH2Q</t>
  </si>
  <si>
    <t>https://www.youtube.com/watch?v=vg3SfpPjH2Q&amp;list=PLC_d5n_vB0CpiGXxipKjNENU8hkenUgOO&amp;index=28</t>
  </si>
  <si>
    <t>Trailer Tập 7 l SNN 2020 l Diệu Nhi trổ tài ca hát, tiếng hét thất thanh của Hậu Hoàng &amp; Kỳ Duyên</t>
  </si>
  <si>
    <t>trailer tap 7 l snn 2020 l dieu nhi tro tai ca hat tieng het that thanh cua hau hoang ky duyen</t>
  </si>
  <si>
    <t>2021-01-14T13:00:11.000Z</t>
  </si>
  <si>
    <t>NIK4fqsa0x4</t>
  </si>
  <si>
    <t>https://www.youtube.com/watch?v=NIK4fqsa0x4&amp;list=PLC_d5n_vB0CpiGXxipKjNENU8hkenUgOO&amp;index=8</t>
  </si>
  <si>
    <t>TRAILER TẬP 16 | SNN 2020 | Phút chia tay cận kề, đồng đội tâm tình, 6 nữ chiến binh bịn rịn!!!</t>
  </si>
  <si>
    <t>trailer tap 16 snn 2020 phut chia tay can ke dong doi tam tinh 6 nu chien binh bin rin</t>
  </si>
  <si>
    <t>2021-03-20T11:00:14.000Z</t>
  </si>
  <si>
    <t>cm4PBgbPL_g</t>
  </si>
  <si>
    <t>https://www.youtube.com/watch?v=cm4PBgbPL_g&amp;list=PLC_d5n_vB0CpiGXxipKjNENU8hkenUgOO&amp;index=10</t>
  </si>
  <si>
    <t>TRAILER TẬP 15 l SNN 2020 l Diệu Nhi nghĩ hành quân chỉ là đi bộ, Hậu Hoàng vừa đi vừa Rap cực ngầu</t>
  </si>
  <si>
    <t>trailer tap 15 l snn 2020 l dieu nhi nghi hanh quan chi la di bo hau hoang vua di vua rap cuc ngau</t>
  </si>
  <si>
    <t>2021-03-13T03:45:13.000Z</t>
  </si>
  <si>
    <t>KN08r90TYwg</t>
  </si>
  <si>
    <t>https://www.youtube.com/watch?v=KN08r90TYwg&amp;list=PLC_d5n_vB0CpiGXxipKjNENU8hkenUgOO&amp;index=13</t>
  </si>
  <si>
    <t>TẬP 13 Uncut | SNN 2020 | Diệu Nhi gọi đồng chí Sơn trong lúc bị thương, Kỳ Duyên nỗ lực “cân team”</t>
  </si>
  <si>
    <t>tap 13 uncut snn 2020 dieu nhi goi dong chi son trong luc bi thuong ky duyen no luc can team</t>
  </si>
  <si>
    <t>2021-02-28T03:00:17.000Z</t>
  </si>
  <si>
    <t>lUbc97BUWIY</t>
  </si>
  <si>
    <t>https://www.youtube.com/watch?v=lUbc97BUWIY&amp;list=PLC_d5n_vB0CpiGXxipKjNENU8hkenUgOO&amp;index=33</t>
  </si>
  <si>
    <t>Sao nhập ngũ 2020 | Tập 5 |Nam Thư chấn thương nặng, Diệu Nhi, Hậu Hoàng cảm phục chiến sĩ đặc công!</t>
  </si>
  <si>
    <t>sao nhap ngu 2020 tap 5 nam thu chan thuong nang dieu nhi hau hoang cam phuc chien si dac cong</t>
  </si>
  <si>
    <t>2021-01-03T03:00:50.000Z</t>
  </si>
  <si>
    <t>S-mzNdxBhvA</t>
  </si>
  <si>
    <t>https://www.youtube.com/watch?v=S-mzNdxBhvA&amp;list=PLC_d5n_vB0CpiGXxipKjNENU8hkenUgOO&amp;index=27</t>
  </si>
  <si>
    <t>HÓNG TẬP 7 | Hậu Hoàng, Kỳ Duyên đi gác, người lo lắng, người đanh như thép, hạ địch trong tích tắc</t>
  </si>
  <si>
    <t>hong tap 7 hau hoang ky duyen di gac nguoi lo lang nguoi danh nhu thep ha dich trong tich tac</t>
  </si>
  <si>
    <t>2021-01-16T08:30:10.000Z</t>
  </si>
  <si>
    <t>TXC8CG2NcRY</t>
  </si>
  <si>
    <t>https://www.youtube.com/watch?v=TXC8CG2NcRY&amp;list=PLC_d5n_vB0CpiGXxipKjNENU8hkenUgOO&amp;index=26</t>
  </si>
  <si>
    <t>Tập 7 Full | Sao nhập ngũ 2020 | Diệu Nhi leo dây bứt phá không ngờ, Kỳ Duyên vượt khó xuất sắc</t>
  </si>
  <si>
    <t>tap 7 full sao nhap ngu 2020 dieu nhi leo day but pha khong ngo ky duyen vuot kho xuat sac</t>
  </si>
  <si>
    <t>2021-01-17T03:10:15.000Z</t>
  </si>
  <si>
    <t>O3vJALe-xnM</t>
  </si>
  <si>
    <t>https://www.youtube.com/watch?v=O3vJALe-xnM&amp;list=PLC_d5n_vB0CpiGXxipKjNENU8hkenUgOO&amp;index=7</t>
  </si>
  <si>
    <t>TẬP CUỐI l SNN 2020 l Màn boxing "tấu hài" và những phân đoạn chưa từng lên sóng!!!</t>
  </si>
  <si>
    <t>tap cuoi l snn 2020 l man boxing tau hai va nhung phan doan chua tung len song</t>
  </si>
  <si>
    <t>2021-03-21T03:00:14.000Z</t>
  </si>
  <si>
    <t>AoUHptyZU7k</t>
  </si>
  <si>
    <t>https://www.youtube.com/watch?v=AoUHptyZU7k&amp;list=PLC_d5n_vB0CpiGXxipKjNENU8hkenUgOO&amp;index=15</t>
  </si>
  <si>
    <t>Tập 12 Uncut | SNN 2020 | Khánh Vân công khai "ghen" với Nam Thư, Diệu Nhi hoang mang tìm đồng đội</t>
  </si>
  <si>
    <t>tap 12 uncut snn 2020 khanh van cong khai ghen voi nam thu dieu nhi hoang mang tim dong doi</t>
  </si>
  <si>
    <t>2021-02-21T03:00:15.000Z</t>
  </si>
  <si>
    <t>x8I6tAb36q0</t>
  </si>
  <si>
    <t>https://www.youtube.com/watch?v=x8I6tAb36q0&amp;list=PLC_d5n_vB0CpiGXxipKjNENU8hkenUgOO&amp;index=14</t>
  </si>
  <si>
    <t>TRAILER TẬP 13 |SNN 2020| Hậu Hoàng hét thất thanh giữa rừng, Mũi trưởng Long gặp thử thách khó nhằn</t>
  </si>
  <si>
    <t>trailer tap 13 snn 2020 hau hoang het that thanh giua rung mui truong long gap thu thach kho nhan</t>
  </si>
  <si>
    <t>2021-02-27T03:00:12.000Z</t>
  </si>
  <si>
    <t>hBzbCm8RyN0</t>
  </si>
  <si>
    <t>https://www.youtube.com/watch?v=hBzbCm8RyN0&amp;list=PLC_d5n_vB0CpiGXxipKjNENU8hkenUgOO&amp;index=25</t>
  </si>
  <si>
    <t>TRAILER TẬP 8 l SNN 2020 l Nam Thư muốn về vì "bất lực" với chính mình, Mũi trưởng gắt với Hậu Hoàng</t>
  </si>
  <si>
    <t>trailer tap 8 l snn 2020 l nam thu muon ve vi bat luc voi chinh minh mui truong gat voi hau hoang</t>
  </si>
  <si>
    <t>2021-01-21T11:30:10.000Z</t>
  </si>
  <si>
    <t>hdw760UVAFw</t>
  </si>
  <si>
    <t>https://www.youtube.com/watch?v=hdw760UVAFw&amp;list=PLC_d5n_vB0CpiGXxipKjNENU8hkenUgOO&amp;index=19</t>
  </si>
  <si>
    <t>Tập 10 | SNN 2020 | Nam Thư gắng sức bị Diệu Nhi "mắng" không thương tiếc,Khánh Vân thích đi tắm heo</t>
  </si>
  <si>
    <t>tap 10 snn 2020 nam thu gang suc bi dieu nhi mang khong thuong tiec khanh van thich di tam heo</t>
  </si>
  <si>
    <t>2021-02-07T03:00:13.000Z</t>
  </si>
  <si>
    <t>VrWxuCYch5Q</t>
  </si>
  <si>
    <t>https://www.youtube.com/watch?v=VrWxuCYch5Q&amp;list=PLC_d5n_vB0CpiGXxipKjNENU8hkenUgOO&amp;index=9</t>
  </si>
  <si>
    <t>TẬP 15 Uncut | SNN 2020 | Diệu Nhi “khóc thét” khi đi bắt cá, Khánh Vân vượt qua chính mình.</t>
  </si>
  <si>
    <t>tap 15 uncut snn 2020 dieu nhi khoc thet khi di bat ca khanh van vuot qua chinh minh</t>
  </si>
  <si>
    <t>2021-03-14T03:03:48.000Z</t>
  </si>
  <si>
    <t>sVhOHXB4MpE</t>
  </si>
  <si>
    <t>https://www.youtube.com/watch?v=sVhOHXB4MpE&amp;list=PLC_d5n_vB0CpiGXxipKjNENU8hkenUgOO&amp;index=5</t>
  </si>
  <si>
    <t>SNN NGOẠI TRUYỆN | Hành trình Diệu Nhi từ “Kịch sĩ” thành “Chiến sĩ” Bật mí bí mật chưa từng công bố</t>
  </si>
  <si>
    <t>snn ngoai truyen hanh trinh dieu nhi tu kich si thanh chien si bat mi bi mat chua tung cong bo</t>
  </si>
  <si>
    <t>2021-04-04T03:00:14.000Z</t>
  </si>
  <si>
    <t>pfwL-y8br4o</t>
  </si>
  <si>
    <t>https://www.youtube.com/watch?v=pfwL-y8br4o&amp;list=PLC_d5n_vB0CpiGXxipKjNENU8hkenUgOO&amp;index=4</t>
  </si>
  <si>
    <t>SNN NGOẠI TRUYỆN | Hành trình nhập ngũ của Nam Thư, nghị lực phi thường của Kiều nữ Làng Hài</t>
  </si>
  <si>
    <t>snn ngoai truyen hanh trinh nhap ngu cua nam thu nghi luc phi thuong cua kieu nu lang hai</t>
  </si>
  <si>
    <t>2021-04-11T08:00:11.000Z</t>
  </si>
  <si>
    <t>bLx8ywpLwEE</t>
  </si>
  <si>
    <t>https://www.youtube.com/watch?v=bLx8ywpLwEE&amp;list=PLC_d5n_vB0CpiGXxipKjNENU8hkenUgOO&amp;index=11</t>
  </si>
  <si>
    <t>Tập 14 Uncut | SNN 2020 | Khánh Vân lên vượt lên đứng đầu, Hoàng Yến bật khóc</t>
  </si>
  <si>
    <t>tap 14 uncut snn 2020 khanh van len vuot len dung dau hoang yen bat khoc</t>
  </si>
  <si>
    <t>2021-03-07T03:14:14.000Z</t>
  </si>
  <si>
    <t>T0fBVX9kCUY</t>
  </si>
  <si>
    <t>https://www.youtube.com/watch?v=T0fBVX9kCUY&amp;list=PLC_d5n_vB0CpiGXxipKjNENU8hkenUgOO&amp;index=30</t>
  </si>
  <si>
    <t>Hóng Tập 6 | Sao nhập ngũ 2020|Xuất hiện nhân vật khiến  Nam Thư hò hét bung lụa, Diệu Nhi thất thần</t>
  </si>
  <si>
    <t>hong tap 6 sao nhap ngu 2020 xuat hien nhan vat khien nam thu ho het bung lua dieu nhi that than</t>
  </si>
  <si>
    <t>2021-01-09T13:15:10.000Z</t>
  </si>
  <si>
    <t>SNN_2022</t>
  </si>
  <si>
    <t>we1t4jt5_aw</t>
  </si>
  <si>
    <t>https://www.youtube.com/watch?v=we1t4jt5_aw&amp;list=PLC_d5n_vB0CqKPJB_nKNGC5usu-epusl-&amp;index=2</t>
  </si>
  <si>
    <t>Sao nhập ngũ 2022 l TẬP 16 l GIỮA LẰN RANH SINH TỬ</t>
  </si>
  <si>
    <t>sao nhap ngu 2022 l tap 16 l giua lan ranh sinh tu</t>
  </si>
  <si>
    <t>PLC_d5n_vB0CqKPJB_nKNGC5usu-epusl-</t>
  </si>
  <si>
    <t>2022-06-18T13:30:13.000Z</t>
  </si>
  <si>
    <t>2026-08-12T14:21:48.710139+07:00</t>
  </si>
  <si>
    <t>oBkPT0VHlEv86hlCC</t>
  </si>
  <si>
    <t>6BVLN76986A</t>
  </si>
  <si>
    <t>https://www.youtube.com/watch?v=6BVLN76986A&amp;list=PLC_d5n_vB0CqKPJB_nKNGC5usu-epusl-&amp;index=5</t>
  </si>
  <si>
    <t>SAO NHẬP NGŨ 2022 l TẬP 13 l TIN Ở CHÍNH MÌNH</t>
  </si>
  <si>
    <t>sao nhap ngu 2022 l tap 13 l tin o chinh minh</t>
  </si>
  <si>
    <t>2022-05-28T13:30:11.000Z</t>
  </si>
  <si>
    <t>LnUizp3lr08</t>
  </si>
  <si>
    <t>https://www.youtube.com/watch?v=LnUizp3lr08&amp;list=PLC_d5n_vB0CqKPJB_nKNGC5usu-epusl-&amp;index=8</t>
  </si>
  <si>
    <t>Sao nhập ngũ 2022 l TẬP 10 l Độ Mixi xứng vai anh cả cực ngầu, Hòa Minzy khóc nấc trên thao trường</t>
  </si>
  <si>
    <t>sao nhap ngu 2022 l tap 10 l do mixi xung vai anh ca cuc ngau hoa minzy khoc nac tren thao truong</t>
  </si>
  <si>
    <t>2022-05-07T13:30:08.000Z</t>
  </si>
  <si>
    <t>A0onJpg8hig</t>
  </si>
  <si>
    <t>https://www.youtube.com/watch?v=A0onJpg8hig&amp;list=PLC_d5n_vB0CqKPJB_nKNGC5usu-epusl-&amp;index=6</t>
  </si>
  <si>
    <t>Sao nhập ng�� 2022 lTẬP 12| Minh Tú dùng "bí thuật" vượt khó, Độ Mixi Duy Khánh rút bài học sâu sắc</t>
  </si>
  <si>
    <t>sao nhap ng 2022 ltap 12 minh tu dung bi thuat vuot kho do mixi duy khanh rut bai hoc sau sac</t>
  </si>
  <si>
    <t>2022-05-21T13:30:13.000Z</t>
  </si>
  <si>
    <t>eM2ALnnTctc</t>
  </si>
  <si>
    <t>https://www.youtube.com/watch?v=eM2ALnnTctc&amp;list=PLC_d5n_vB0CqKPJB_nKNGC5usu-epusl-&amp;index=1</t>
  </si>
  <si>
    <t>Sao nhập ngũ 2022 l TẬP CUỐI l HƯỚNG VỀ PHÍA MẶT TRỜI</t>
  </si>
  <si>
    <t>sao nhap ngu 2022 l tap cuoi l huong ve phia mat troi</t>
  </si>
  <si>
    <t>2022-06-25T13:30:13.000Z</t>
  </si>
  <si>
    <t>oXXI9wfTgBY</t>
  </si>
  <si>
    <t>https://www.youtube.com/watch?v=oXXI9wfTgBY&amp;list=PLC_d5n_vB0CqKPJB_nKNGC5usu-epusl-&amp;index=15</t>
  </si>
  <si>
    <t>Sao nhập ngũ 2022 l TẬP 3 l Minh Tú &amp; Anh Tú đi đều lệch pha, Độ Mixi lộ gen hài “chí mạng”</t>
  </si>
  <si>
    <t>sao nhap ngu 2022 l tap 3 l minh tu anh tu di deu lech pha do mixi lo gen hai chi mang</t>
  </si>
  <si>
    <t>2022-03-19T13:30:23.000Z</t>
  </si>
  <si>
    <t>3yI7rLOJQ3o</t>
  </si>
  <si>
    <t>https://www.youtube.com/watch?v=3yI7rLOJQ3o&amp;list=PLC_d5n_vB0CqKPJB_nKNGC5usu-epusl-&amp;index=11</t>
  </si>
  <si>
    <t>SNN 2022 TẬP 7 l Hòa Minzy, Độ Mixi nghẹn ngào nhớ con, S.T bị thương, Puka, Minh Tú trổ tài ca hát</t>
  </si>
  <si>
    <t>snn 2022 tap 7 l hoa minzy do mixi nghen ngao nho con s t bi thuong puka minh tu tro tai ca hat</t>
  </si>
  <si>
    <t>2022-04-16T13:30:15.000Z</t>
  </si>
  <si>
    <t>vygw0ud_wzk</t>
  </si>
  <si>
    <t>https://www.youtube.com/watch?v=vygw0ud_wzk&amp;list=PLC_d5n_vB0CqKPJB_nKNGC5usu-epusl-&amp;index=13</t>
  </si>
  <si>
    <t>Sao nhập ngũ 2022 l TẬP 5 l Độ Mixi kiên quyết giữ "nóc nhà", Duy Khánh &amp; Cara Phương bật khóc</t>
  </si>
  <si>
    <t>sao nhap ngu 2022 l tap 5 l do mixi kien quyet giu noc nha duy khanh cara phuong bat khoc</t>
  </si>
  <si>
    <t>2022-04-02T13:30:17.000Z</t>
  </si>
  <si>
    <t>OjIBl1rnc9s</t>
  </si>
  <si>
    <t>https://www.youtube.com/watch?v=OjIBl1rnc9s&amp;list=PLC_d5n_vB0CqKPJB_nKNGC5usu-epusl-&amp;index=10</t>
  </si>
  <si>
    <t>Sao nhập ngũ 2022 l TẬP 8 Puka bứt phá thần tốc, Độ Mixi &amp; Duy Khánh đánh địch cực ngầu</t>
  </si>
  <si>
    <t>sao nhap ngu 2022 l tap 8 puka but pha than toc do mixi duy khanh danh dich cuc ngau</t>
  </si>
  <si>
    <t>2022-04-23T13:30:13.000Z</t>
  </si>
  <si>
    <t>Yu4vCqc2Vwg</t>
  </si>
  <si>
    <t>https://www.youtube.com/watch?v=Yu4vCqc2Vwg&amp;list=PLC_d5n_vB0CqKPJB_nKNGC5usu-epusl-&amp;index=12</t>
  </si>
  <si>
    <t>Sao nhập ngũ 2022 l TẬP 6 lĐộ Mixi &amp; Hòa Minzy tỉnh táo "vượt ải khó", S.T &amp; Cara liên tục ghi điểm</t>
  </si>
  <si>
    <t>sao nhap ngu 2022 l tap 6 ldo mixi hoa minzy tinh tao vuot ai kho s t cara lien tuc ghi diem</t>
  </si>
  <si>
    <t>2022-04-09T13:30:13.000Z</t>
  </si>
  <si>
    <t>Fxd_aZnn_LY</t>
  </si>
  <si>
    <t>https://www.youtube.com/watch?v=Fxd_aZnn_LY&amp;list=PLC_d5n_vB0CqKPJB_nKNGC5usu-epusl-&amp;index=7</t>
  </si>
  <si>
    <t>Sao nhập ngũ 2022 l TẬP 11 l Puka nỗ lực tới bật khóc, Hòa Minzy tự nhận không giỏi môn toán</t>
  </si>
  <si>
    <t>sao nhap ngu 2022 l tap 11 l puka no luc toi bat khoc hoa minzy tu nhan khong gioi mon toan</t>
  </si>
  <si>
    <t>2022-05-14T13:30:12.000Z</t>
  </si>
  <si>
    <t>VK3LBJ1LVdw</t>
  </si>
  <si>
    <t>https://www.youtube.com/watch?v=VK3LBJ1LVdw&amp;list=PLC_d5n_vB0CqKPJB_nKNGC5usu-epusl-&amp;index=9</t>
  </si>
  <si>
    <t>SAO NHẬP NGŨ 2022 l TẬP 9 | Cara chấn thương nặng, Hoà Minzy, Minh Tú, Puka nước mắt lưng tròng</t>
  </si>
  <si>
    <t>sao nhap ngu 2022 l tap 9 cara chan thuong nang hoa minzy minh tu puka nuoc mat lung trong</t>
  </si>
  <si>
    <t>2022-04-30T13:30:11.000Z</t>
  </si>
  <si>
    <t>UYYRZSinVLI</t>
  </si>
  <si>
    <t>https://www.youtube.com/watch?v=UYYRZSinVLI&amp;list=PLC_d5n_vB0CqKPJB_nKNGC5usu-epusl-&amp;index=14</t>
  </si>
  <si>
    <t>Sao nhập ngũ 2022 l TẬP 4 l Anh Tú giữ lời hứa ôm Duy Khánh vào lòng. S.T&amp;Cara dẫn đầu đi điều lệnh</t>
  </si>
  <si>
    <t>sao nhap ngu 2022 l tap 4 l anh tu giu loi hua om duy khanh vao long s t cara dan dau di dieu lenh</t>
  </si>
  <si>
    <t>2022-03-26T12:00:08.000Z</t>
  </si>
  <si>
    <t>Vran9iR20_E</t>
  </si>
  <si>
    <t>https://www.youtube.com/watch?v=Vran9iR20_E&amp;list=PLC_d5n_vB0CqKPJB_nKNGC5usu-epusl-&amp;index=17</t>
  </si>
  <si>
    <t>SAO NHẬP NGŨ 2022 l TẬP 1 l  Dàn Cast "Khủng" Hứa Sẽ Nghiêm Túc Nhập Ngũ Và Cái Kết Ngày Đầu Tiên</t>
  </si>
  <si>
    <t>sao nhap ngu 2022 l tap 1 l dan cast khung hua se nghiem tuc nhap ngu va cai ket ngay dau tien</t>
  </si>
  <si>
    <t>2022-03-05T13:30:13.000Z</t>
  </si>
  <si>
    <t>UFx1m6DCr3U</t>
  </si>
  <si>
    <t>https://www.youtube.com/watch?v=UFx1m6DCr3U&amp;list=PLC_d5n_vB0CqKPJB_nKNGC5usu-epusl-&amp;index=4</t>
  </si>
  <si>
    <t>SAO NHẬP NGŨ 2022 l TẬP 14 l TRONG TRÁI TIM ĐỒNG ĐỘI</t>
  </si>
  <si>
    <t>sao nhap ngu 2022 l tap 14 l trong trai tim dong doi</t>
  </si>
  <si>
    <t>2022-06-04T15:37:00.000Z</t>
  </si>
  <si>
    <t>wygSLC3bbMY</t>
  </si>
  <si>
    <t>https://www.youtube.com/watch?v=wygSLC3bbMY&amp;list=PLC_d5n_vB0CqKPJB_nKNGC5usu-epusl-&amp;index=3</t>
  </si>
  <si>
    <t>Sao nhập ngũ 2022 l TẬP 15 l CHẠM NGƯỠNG GIỚI HẠN</t>
  </si>
  <si>
    <t>sao nhap ngu 2022 l tap 15 l cham nguong gioi han</t>
  </si>
  <si>
    <t>2022-06-11T13:30:14.000Z</t>
  </si>
  <si>
    <t>j7mLVBeelac</t>
  </si>
  <si>
    <t>https://www.youtube.com/watch?v=j7mLVBeelac&amp;list=PLC_d5n_vB0CqKPJB_nKNGC5usu-epusl-&amp;index=16</t>
  </si>
  <si>
    <t>Sao Nhập Ngũ 2022 | Tập 2 | Hòa Minzy Tuyên Chiến Cara. Độ Mixi, S.T, Duy Khánh Rũ Bỏ Tóc Soái Ca</t>
  </si>
  <si>
    <t>sao nhap ngu 2022 tap 2 hoa minzy tuyen chien cara do mixi s t duy khanh ru bo toc soai ca</t>
  </si>
  <si>
    <t>2022-03-12T13:30:16.000Z</t>
  </si>
  <si>
    <t>SNN_2023</t>
  </si>
  <si>
    <t>DyCsnyxeAbw</t>
  </si>
  <si>
    <t>https://www.youtube.com/watch?v=DyCsnyxeAbw&amp;list=PLC_d5n_vB0CriKOGYS3OtwqdTUYU8Ex1-&amp;index=4</t>
  </si>
  <si>
    <t>Sao nhập ngũ 2023 l TẬP 15 I Trui rèn bản lĩnh</t>
  </si>
  <si>
    <t>sao nhap ngu 2023 l tap 15 i trui ren ban linh</t>
  </si>
  <si>
    <t>PLC_d5n_vB0CriKOGYS3OtwqdTUYU8Ex1-</t>
  </si>
  <si>
    <t>2023-04-14T14:30:09.000Z</t>
  </si>
  <si>
    <t>2026-08-12T14:23:57.588498+07:00</t>
  </si>
  <si>
    <t>ZwgVv99Igpd9k8khr</t>
  </si>
  <si>
    <t>n1XJqsKOdCM</t>
  </si>
  <si>
    <t>https://www.youtube.com/watch?v=n1XJqsKOdCM&amp;list=PLC_d5n_vB0CriKOGYS3OtwqdTUYU8Ex1-&amp;index=1</t>
  </si>
  <si>
    <t>TẬP 18 I Trận đánh cuối cùng I Sao nhập ngũ 2023</t>
  </si>
  <si>
    <t>tap 18 i tran danh cuoi cung i sao nhap ngu 2023</t>
  </si>
  <si>
    <t>2023-05-05T14:30:07.000Z</t>
  </si>
  <si>
    <t>DdBu-THOCB0</t>
  </si>
  <si>
    <t>https://www.youtube.com/watch?v=DdBu-THOCB0&amp;list=PLC_d5n_vB0CriKOGYS3OtwqdTUYU8Ex1-&amp;index=11</t>
  </si>
  <si>
    <t>Sao nhập ngũ 2023 l TẬP 8 I Một đội hình, hai ngã rẽ</t>
  </si>
  <si>
    <t>sao nhap ngu 2023 l tap 8 i mot doi hinh hai nga re</t>
  </si>
  <si>
    <t>2023-02-24T14:30:09.000Z</t>
  </si>
  <si>
    <t>3utg7AgMJB4</t>
  </si>
  <si>
    <t>https://www.youtube.com/watch?v=3utg7AgMJB4&amp;list=PLC_d5n_vB0CriKOGYS3OtwqdTUYU8Ex1-&amp;index=14</t>
  </si>
  <si>
    <t>Sao nhập ngũ 2023 l Tiền truyện I Trước ngày nhập ngũ</t>
  </si>
  <si>
    <t>sao nhap ngu 2023 l tien truyen i truoc ngay nhap ngu</t>
  </si>
  <si>
    <t>2023-02-03T14:30:02.000Z</t>
  </si>
  <si>
    <t>AR5wQWC2clI</t>
  </si>
  <si>
    <t>https://www.youtube.com/watch?v=AR5wQWC2clI&amp;list=PLC_d5n_vB0CriKOGYS3OtwqdTUYU8Ex1-&amp;index=12</t>
  </si>
  <si>
    <t>Sao nhập ngũ 2023l TẬP 7I Chậm mà chắc I Linh Ngọc Đàm lội ngược dòng, Nhã Phương "sai lại hoàn sai"</t>
  </si>
  <si>
    <t>sao nhap ngu 2023l tap 7i cham ma chac i linh ngoc dam loi nguoc dong nha phuong sai lai hoan sai</t>
  </si>
  <si>
    <t>2023-02-17T14:30:09.000Z</t>
  </si>
  <si>
    <t>oXspeTkXSRg</t>
  </si>
  <si>
    <t>https://www.youtube.com/watch?v=oXspeTkXSRg&amp;list=PLC_d5n_vB0CriKOGYS3OtwqdTUYU8Ex1-&amp;index=15</t>
  </si>
  <si>
    <t>Sao nhập ngũ 2023 l TẬP 4 I Sao Nhập Ngũ chào xuân</t>
  </si>
  <si>
    <t>sao nhap ngu 2023 l tap 4 i sao nhap ngu chao xuan</t>
  </si>
  <si>
    <t>2023-01-27T14:30:07.000Z</t>
  </si>
  <si>
    <t>fQ_V8QukrAE</t>
  </si>
  <si>
    <t>https://www.youtube.com/watch?v=fQ_V8QukrAE&amp;list=PLC_d5n_vB0CriKOGYS3OtwqdTUYU8Ex1-&amp;index=10</t>
  </si>
  <si>
    <t>Sao nhập ngũ 2023 l TẬP 9 I Mệnh lệnh cấp trên là tuyệt đối!</t>
  </si>
  <si>
    <t>sao nhap ngu 2023 l tap 9 i menh lenh cap tren la tuyet doi</t>
  </si>
  <si>
    <t>2023-03-03T14:30:08.000Z</t>
  </si>
  <si>
    <t>dpUO2FpSNT4</t>
  </si>
  <si>
    <t>https://www.youtube.com/watch?v=dpUO2FpSNT4&amp;list=PLC_d5n_vB0CriKOGYS3OtwqdTUYU8Ex1-&amp;index=7</t>
  </si>
  <si>
    <t>Sao nhập ngũ 2023 l TẬP 12 I Sinh tồn để chiến đấu</t>
  </si>
  <si>
    <t>sao nhap ngu 2023 l tap 12 i sinh ton de chien dau</t>
  </si>
  <si>
    <t>2023-03-24T14:30:08.000Z</t>
  </si>
  <si>
    <t>FaQxZD3jRRA</t>
  </si>
  <si>
    <t>https://www.youtube.com/watch?v=FaQxZD3jRRA&amp;list=PLC_d5n_vB0CriKOGYS3OtwqdTUYU8Ex1-&amp;index=16</t>
  </si>
  <si>
    <t>Sao nhập ngũ 2023 l TẬP 3 I Mai Âm Nhạc phạm lỗi, Nhã Phương gợi ý Linh Ngọc Đàm lấy món đồ đặc biệt</t>
  </si>
  <si>
    <t>sao nhap ngu 2023 l tap 3 i mai am nhac pham loi nha phuong goi y linh ngoc dam lay mon do dac biet</t>
  </si>
  <si>
    <t>2023-01-20T14:30:09.000Z</t>
  </si>
  <si>
    <t>6mgbb0WTjHc</t>
  </si>
  <si>
    <t>https://www.youtube.com/watch?v=6mgbb0WTjHc&amp;list=PLC_d5n_vB0CriKOGYS3OtwqdTUYU8Ex1-&amp;index=13</t>
  </si>
  <si>
    <t>Sao nhập ngũ 2023 l TẬP 6 I Trang Hý choáng váng vì Nhã Phương, Diễm My 2 lần bị "chỉ điểm"</t>
  </si>
  <si>
    <t>sao nhap ngu 2023 l tap 6 i trang hy choang vang vi nha phuong diem my 2 lan bi chi diem</t>
  </si>
  <si>
    <t>2023-02-10T14:30:08.000Z</t>
  </si>
  <si>
    <t>cwX7fVhX5iA</t>
  </si>
  <si>
    <t>https://www.youtube.com/watch?v=cwX7fVhX5iA&amp;list=PLC_d5n_vB0CriKOGYS3OtwqdTUYU8Ex1-&amp;index=18</t>
  </si>
  <si>
    <t>Sao nhập ngũ 2023 l TẬP 1 I Thiên Ân, Linh Ngọc Đàm 'khóc thét' trước áp lực đầu tiên</t>
  </si>
  <si>
    <t>sao nhap ngu 2023 l tap 1 i thien an linh ngoc dam khoc thet truoc ap luc dau tien</t>
  </si>
  <si>
    <t>2023-01-06T14:30:08.000Z</t>
  </si>
  <si>
    <t>FvkE_7fXh6s</t>
  </si>
  <si>
    <t>https://www.youtube.com/watch?v=FvkE_7fXh6s&amp;list=PLC_d5n_vB0CriKOGYS3OtwqdTUYU8Ex1-&amp;index=17</t>
  </si>
  <si>
    <t>Sao nhập ngũ 2023 l TẬP 2 I Không biết rồi sẽ biết</t>
  </si>
  <si>
    <t>sao nhap ngu 2023 l tap 2 i khong biet roi se biet</t>
  </si>
  <si>
    <t>2023-01-13T14:30:08.000Z</t>
  </si>
  <si>
    <t>zyf2kwnOELg</t>
  </si>
  <si>
    <t>https://www.youtube.com/watch?v=zyf2kwnOELg&amp;list=PLC_d5n_vB0CriKOGYS3OtwqdTUYU8Ex1-&amp;index=8</t>
  </si>
  <si>
    <t>Sao nhập ngũ 2023 l TẬP 11 I Mọi vị trí đều quan trọng</t>
  </si>
  <si>
    <t>sao nhap ngu 2023 l tap 11 i moi vi tri deu quan trong</t>
  </si>
  <si>
    <t>2023-03-17T14:30:11.000Z</t>
  </si>
  <si>
    <t>Vwpi4cJ2xvI</t>
  </si>
  <si>
    <t>https://www.youtube.com/watch?v=Vwpi4cJ2xvI&amp;list=PLC_d5n_vB0CriKOGYS3OtwqdTUYU8Ex1-&amp;index=3</t>
  </si>
  <si>
    <t>Sao nhập ngũ 2023 l TẬP 16 I Khi Tổ quốc cần</t>
  </si>
  <si>
    <t>sao nhap ngu 2023 l tap 16 i khi to quoc can</t>
  </si>
  <si>
    <t>2023-04-21T14:30:09.000Z</t>
  </si>
  <si>
    <t>uP8l8r01PmA</t>
  </si>
  <si>
    <t>https://www.youtube.com/watch?v=uP8l8r01PmA&amp;list=PLC_d5n_vB0CriKOGYS3OtwqdTUYU8Ex1-&amp;index=6</t>
  </si>
  <si>
    <t>Sao nhập ngũ 2023 l TẬP 13 I Dưới làn nước lạnh</t>
  </si>
  <si>
    <t>sao nhap ngu 2023 l tap 13 i duoi lan nuoc lanh</t>
  </si>
  <si>
    <t>2023-03-31T14:30:09.000Z</t>
  </si>
  <si>
    <t>6ZOdz3qI4-k</t>
  </si>
  <si>
    <t>https://www.youtube.com/watch?v=6ZOdz3qI4-k&amp;list=PLC_d5n_vB0CriKOGYS3OtwqdTUYU8Ex1-&amp;index=5</t>
  </si>
  <si>
    <t>Sao nhập ngũ 2023 l TẬP 14 I Tình đồng chí</t>
  </si>
  <si>
    <t>sao nhap ngu 2023 l tap 14 i tinh dong chi</t>
  </si>
  <si>
    <t>2023-04-07T14:30:07.000Z</t>
  </si>
  <si>
    <t>A-Me6NWHnXY</t>
  </si>
  <si>
    <t>https://www.youtube.com/watch?v=A-Me6NWHnXY&amp;list=PLC_d5n_vB0CriKOGYS3OtwqdTUYU8Ex1-&amp;index=2</t>
  </si>
  <si>
    <t>TẬP 17 I Đạp luồng sóng dữ I Sao nhập ngũ 2023</t>
  </si>
  <si>
    <t>tap 17 i dap luong song du i sao nhap ngu 2023</t>
  </si>
  <si>
    <t>2023-04-28T14:30:09.000Z</t>
  </si>
  <si>
    <t>ObMPMdv1XKk</t>
  </si>
  <si>
    <t>https://www.youtube.com/watch?v=ObMPMdv1XKk&amp;list=PLC_d5n_vB0CriKOGYS3OtwqdTUYU8Ex1-&amp;index=9</t>
  </si>
  <si>
    <t>Sao Nhập Ngũ 2023 I TẬP 10 I Dàn MỸ NỮ liên tục CHẤN THƯƠNG, Nhã Phương tiếc hụi vì bị LƠ ĐẸP</t>
  </si>
  <si>
    <t>sao nhap ngu 2023 i tap 10 i dan my nu lien tuc chan thuong nha phuong tiec hui vi bi lo dep</t>
  </si>
  <si>
    <t>2023-03-10T14:30:10.000Z</t>
  </si>
  <si>
    <t>SNN_2024_M</t>
  </si>
  <si>
    <t>8EgRWxUn9zc</t>
  </si>
  <si>
    <t>https://www.youtube.com/watch?v=8EgRWxUn9zc&amp;list=PLC_d5n_vB0Cr41NjQr7k08taDRxmj_jUG&amp;index=12</t>
  </si>
  <si>
    <t>Sao Nhập Ngũ 2024 Tập 12: Các chiến sĩ đồng loạt KIỆT SỨC; Mai Tài Phến muốn sớm 'KẾT THÚC'?</t>
  </si>
  <si>
    <t>sao nhap ngu 2024 tap 12 cac chien si dong loat kiet suc mai tai phen muon som ket thuc</t>
  </si>
  <si>
    <t>PLC_d5n_vB0Cr41NjQr7k08taDRxmj_jUG</t>
  </si>
  <si>
    <t>2024-03-14T13:30:07.000Z</t>
  </si>
  <si>
    <t>2026-08-12T14:25:13.530496+07:00</t>
  </si>
  <si>
    <t>xWcjlIoH3pwFdF17e</t>
  </si>
  <si>
    <t>ivVvelmmwMs</t>
  </si>
  <si>
    <t>https://www.youtube.com/watch?v=ivVvelmmwMs&amp;list=PLC_d5n_vB0Cr41NjQr7k08taDRxmj_jUG&amp;index=14</t>
  </si>
  <si>
    <t>Sao Nhập Ngũ 2024 Tập 14: Xoài Non s.ố.c khi gặp lại Xemesis; Tuấn Trần bất bình với Mono, Phát La</t>
  </si>
  <si>
    <t>sao nhap ngu 2024 tap 14 xoai non s o c khi gap lai xemesis tuan tran bat binh voi mono phat la</t>
  </si>
  <si>
    <t>2024-03-28T13:30:07.000Z</t>
  </si>
  <si>
    <t>kGejtgZN_2Y</t>
  </si>
  <si>
    <t>https://www.youtube.com/watch?v=kGejtgZN_2Y&amp;list=PLC_d5n_vB0Cr41NjQr7k08taDRxmj_jUG&amp;index=2</t>
  </si>
  <si>
    <t>Sao Nhập Ngũ 2024 Tập 2 | Hãy hành động, đừng xin lỗi!| Bài học đắt giá về tinh thần đồng đội</t>
  </si>
  <si>
    <t>sao nhap ngu 2024 tap 2 hay hanh dong dung xin loi bai hoc dat gia ve tinh than dong doi</t>
  </si>
  <si>
    <t>2023-12-21T13:30:11.000Z</t>
  </si>
  <si>
    <t>Fyh2pUWNx78</t>
  </si>
  <si>
    <t>https://www.youtube.com/watch?v=Fyh2pUWNx78&amp;list=PLC_d5n_vB0Cr41NjQr7k08taDRxmj_jUG&amp;index=10</t>
  </si>
  <si>
    <t>Sao Nhập Ngũ 2024 Tập 10: Độ Mixi gửi lời chào tạm biệt; Việt Hoàng 'xanh mặt' vì bị khiển trách</t>
  </si>
  <si>
    <t>sao nhap ngu 2024 tap 10 do mixi gui loi chao tam biet viet hoang xanh mat vi bi khien trach</t>
  </si>
  <si>
    <t>2024-02-29T13:30:11.000Z</t>
  </si>
  <si>
    <t>IRCpkYg8BiI</t>
  </si>
  <si>
    <t>https://www.youtube.com/watch?v=IRCpkYg8BiI&amp;list=PLC_d5n_vB0Cr41NjQr7k08taDRxmj_jUG&amp;index=5</t>
  </si>
  <si>
    <t>Sao Nhập Ngũ 2024 Tập 5: Vàng thật không sợ lửa | Nước mắt không có nghĩa là yếu đuối!</t>
  </si>
  <si>
    <t>sao nhap ngu 2024 tap 5 vang that khong so lua nuoc mat khong co nghia la yeu duoi</t>
  </si>
  <si>
    <t>2024-01-11T13:30:11.000Z</t>
  </si>
  <si>
    <t>7rNu9hVbyQM</t>
  </si>
  <si>
    <t>https://www.youtube.com/watch?v=7rNu9hVbyQM&amp;list=PLC_d5n_vB0Cr41NjQr7k08taDRxmj_jUG&amp;index=4</t>
  </si>
  <si>
    <t>Sao Nhập Ngũ 2024  Tập 4: Phá vỡ lực cản! | CUỘC CHIẾN THỂ LỰC 'không khoan nhượng' với bất kỳ ai</t>
  </si>
  <si>
    <t>sao nhap ngu 2024 tap 4 pha vo luc can cuoc chien the luc khong khoan nhuong voi bat ky ai</t>
  </si>
  <si>
    <t>2024-01-04T13:30:09.000Z</t>
  </si>
  <si>
    <t>fW0G1pLraV0</t>
  </si>
  <si>
    <t>https://www.youtube.com/watch?v=fW0G1pLraV0&amp;list=PLC_d5n_vB0Cr41NjQr7k08taDRxmj_jUG&amp;index=9</t>
  </si>
  <si>
    <t>Sao Nhập Ngũ 2024 Tập 9: 'Xinh ngoan yêu' hạ đo ván Phát La; Tuấn Trần Huỳnh Lập 'kẻ cắp gặp bà già'</t>
  </si>
  <si>
    <t>sao nhap ngu 2024 tap 9 xinh ngoan yeu ha do van phat la tuan tran huynh lap ke cap gap ba gia</t>
  </si>
  <si>
    <t>2024-02-22T13:30:08.000Z</t>
  </si>
  <si>
    <t>Jb2TneI1XJc</t>
  </si>
  <si>
    <t>https://www.youtube.com/watch?v=Jb2TneI1XJc&amp;list=PLC_d5n_vB0Cr41NjQr7k08taDRxmj_jUG&amp;index=3</t>
  </si>
  <si>
    <t>Sao Nhập Ngũ 2024 Tập 3: Ở đây, đơn vị là nhà! | Tắm chung bể, ăn chung nồi, đêm rét chung chăn</t>
  </si>
  <si>
    <t>sao nhap ngu 2024 tap 3 o day don vi la nha tam chung be an chung noi dem ret chung chan</t>
  </si>
  <si>
    <t>2023-12-28T13:30:10.000Z</t>
  </si>
  <si>
    <t>gpnnL_z8Csk</t>
  </si>
  <si>
    <t>https://www.youtube.com/watch?v=gpnnL_z8Csk&amp;list=PLC_d5n_vB0Cr41NjQr7k08taDRxmj_jUG&amp;index=13</t>
  </si>
  <si>
    <t>Sao Nhập Ngũ 2024 Tập 13: Mẹ SOOBIN nức nở không nhận ra con; Tuấn Trần Mai Tài Phến cũng phải khóc</t>
  </si>
  <si>
    <t>sao nhap ngu 2024 tap 13 me soobin nuc no khong nhan ra con tuan tran mai tai phen cung phai khoc</t>
  </si>
  <si>
    <t>2024-03-21T13:30:07.000Z</t>
  </si>
  <si>
    <t>oo1fBkliyFw</t>
  </si>
  <si>
    <t>https://www.youtube.com/watch?v=oo1fBkliyFw&amp;list=PLC_d5n_vB0Cr41NjQr7k08taDRxmj_jUG&amp;index=8</t>
  </si>
  <si>
    <t>Sao Nhập Ngũ 2024 Tập 8: Đối đầu | 8 chiến sĩ căng thẳng trước màn thách đấu của xạ thủ tài ba</t>
  </si>
  <si>
    <t>sao nhap ngu 2024 tap 8 doi dau 8 chien si cang thang truoc man thach dau cua xa thu tai ba</t>
  </si>
  <si>
    <t>2024-02-01T13:30:11.000Z</t>
  </si>
  <si>
    <t>JOGxUdI72l8</t>
  </si>
  <si>
    <t>https://www.youtube.com/watch?v=JOGxUdI72l8&amp;list=PLC_d5n_vB0Cr41NjQr7k08taDRxmj_jUG&amp;index=11</t>
  </si>
  <si>
    <t>Sao Nhập Ngũ 2024 Tập 11: Việt Hoàng bị phạt làm gương vì 'quen miệng'; Xemesis bất ngờ hát bài 'tủ'</t>
  </si>
  <si>
    <t>sao nhap ngu 2024 tap 11 viet hoang bi phat lam guong vi quen mieng xemesis bat ngo hat bai tu</t>
  </si>
  <si>
    <t>2024-03-07T13:30:07.000Z</t>
  </si>
  <si>
    <t>XumCPx9_jwM</t>
  </si>
  <si>
    <t>https://www.youtube.com/watch?v=XumCPx9_jwM&amp;list=PLC_d5n_vB0Cr41NjQr7k08taDRxmj_jUG&amp;index=16</t>
  </si>
  <si>
    <t>Sao Nhập Ngũ 2024 Tập Cuối: Những chiến binh Thành Đồng | Vì sao phải đổ máu, mồ hôi và nước mắt?</t>
  </si>
  <si>
    <t>sao nhap ngu 2024 tap cuoi nhung chien binh thanh dong vi sao phai do mau mo hoi va nuoc mat</t>
  </si>
  <si>
    <t>2024-04-11T13:30:07.000Z</t>
  </si>
  <si>
    <t>7ZL_H2emZGM</t>
  </si>
  <si>
    <t>https://www.youtube.com/watch?v=7ZL_H2emZGM&amp;list=PLC_d5n_vB0Cr41NjQr7k08taDRxmj_jUG&amp;index=7</t>
  </si>
  <si>
    <t>Sao Nhập Ngũ 2024 Tập 7: Nỗi sợ | Xemesis đối đầu 16TYPH, Huỳnh Lập mạnh mẽ bức tốc về đích</t>
  </si>
  <si>
    <t>sao nhap ngu 2024 tap 7 noi so xemesis doi dau 16typh huynh lap manh me buc toc ve dich</t>
  </si>
  <si>
    <t>2024-01-25T13:30:07.000Z</t>
  </si>
  <si>
    <t>15bZv083Ww0</t>
  </si>
  <si>
    <t>https://www.youtube.com/watch?v=15bZv083Ww0&amp;list=PLC_d5n_vB0Cr41NjQr7k08taDRxmj_jUG&amp;index=1</t>
  </si>
  <si>
    <t>SAO NHẬP NGŨ 2024 TẬP 1 | Cú "S.Ố.C" đầu tiên | 8 chiến sĩ ĐỐI ĐẦU trên VÕ ĐÀI khốc liệt</t>
  </si>
  <si>
    <t>sao nhap ngu 2024 tap 1 cu s o c dau tien 8 chien si doi dau tren vo dai khoc liet</t>
  </si>
  <si>
    <t>2023-12-14T13:30:10.000Z</t>
  </si>
  <si>
    <t>OXGroRMVTdg</t>
  </si>
  <si>
    <t>https://www.youtube.com/watch?v=OXGroRMVTdg&amp;list=PLC_d5n_vB0Cr41NjQr7k08taDRxmj_jUG&amp;index=15</t>
  </si>
  <si>
    <t>Sao Nhập Ngũ 2024 Tập 15: Đoàn kết là sức mạnh | Bùn trên người nhưng nắng ở trong tim</t>
  </si>
  <si>
    <t>sao nhap ngu 2024 tap 15 doan ket la suc manh bun tren nguoi nhung nang o trong tim</t>
  </si>
  <si>
    <t>2024-04-04T13:30:07.000Z</t>
  </si>
  <si>
    <t>hEZys7KGiH8</t>
  </si>
  <si>
    <t>https://www.youtube.com/watch?v=hEZys7KGiH8&amp;list=PLC_d5n_vB0Cr41NjQr7k08taDRxmj_jUG&amp;index=6</t>
  </si>
  <si>
    <t>Sao Nhập Ngũ 2024 Tập 6: Đạn lửa và thách thức; SOOBIN, Xemesis, Phát La đối mặt với biến cố bất ngờ</t>
  </si>
  <si>
    <t>sao nhap ngu 2024 tap 6 dan lua va thach thuc soobin xemesis phat la doi mat voi bien co bat ngo</t>
  </si>
  <si>
    <t>2024-01-18T13:30:09.000Z</t>
  </si>
  <si>
    <t>SNN_2024_F</t>
  </si>
  <si>
    <t>U0ammPb3KrE</t>
  </si>
  <si>
    <t>https://www.youtube.com/watch?v=U0ammPb3KrE&amp;list=PLC_d5n_vB0CoI8qgSX7mPMpAC_nlcbf57&amp;index=15</t>
  </si>
  <si>
    <t>SAO NHẬP NGŨ 2024 TẬP 2 l Thùy Tiên LĂN XẢ cứu nạn l Uyển Ân HOẢNG HỒN l MisThy 'LÒ DÒ' ném thủ pháo</t>
  </si>
  <si>
    <t>sao nhap ngu 2024 tap 2 l thuy tien lan xa cuu nan l uyen an hoang hon l misthy lo do nem thu phao</t>
  </si>
  <si>
    <t>PLC_d5n_vB0CoI8qgSX7mPMpAC_nlcbf57</t>
  </si>
  <si>
    <t>2024-08-13T14:30:08.000Z</t>
  </si>
  <si>
    <t>2026-08-12T14:25:47.403885+07:00</t>
  </si>
  <si>
    <t>oeaayBTCJ202XGFBv</t>
  </si>
  <si>
    <t>BHznJmmRci0</t>
  </si>
  <si>
    <t>https://www.youtube.com/watch?v=BHznJmmRci0&amp;list=PLC_d5n_vB0CoI8qgSX7mPMpAC_nlcbf57&amp;index=6</t>
  </si>
  <si>
    <t>SAO NHẬP NGŨ 2024 TẬP 11 l MisThy &amp; đồng chí Hiếu 'RẮC THÍNH' NGỌT LỊM l Liz Kim Cương TỎA SÁNG</t>
  </si>
  <si>
    <t>sao nhap ngu 2024 tap 11 l misthy dong chi hieu rac thinh ngot lim l liz kim cuong toa sang</t>
  </si>
  <si>
    <t>2024-10-15T14:30:06.000Z</t>
  </si>
  <si>
    <t>IEp4JfYLejg</t>
  </si>
  <si>
    <t>https://www.youtube.com/watch?v=IEp4JfYLejg&amp;list=PLC_d5n_vB0CoI8qgSX7mPMpAC_nlcbf57&amp;index=10</t>
  </si>
  <si>
    <t>SAO NHẬP NGŨ 2024 TẬP 7 l Misthy ĐẦU HÀNG l Thùy Tiên NGẤT XỈU</t>
  </si>
  <si>
    <t>sao nhap ngu 2024 tap 7 l misthy dau hang l thuy tien ngat xiu</t>
  </si>
  <si>
    <t>2024-09-17T14:30:27.000Z</t>
  </si>
  <si>
    <t>sgOMjTut2N8</t>
  </si>
  <si>
    <t>https://www.youtube.com/watch?v=sgOMjTut2N8&amp;list=PLC_d5n_vB0CoI8qgSX7mPMpAC_nlcbf57&amp;index=9</t>
  </si>
  <si>
    <t>SAO NHẬP NGŨ 2024 TẬP 8 l Pháo, Liz Kim Cương KHÓC HẾT NƯỚC MẮT l Uyển Ân liệu có VƯỢT QUA NỖI SỢ?</t>
  </si>
  <si>
    <t>sao nhap ngu 2024 tap 8 l phao liz kim cuong khoc het nuoc mat l uyen an lieu co vuot qua noi so</t>
  </si>
  <si>
    <t>2024-09-24T14:30:07.000Z</t>
  </si>
  <si>
    <t>wzcBB3aAEKw</t>
  </si>
  <si>
    <t>https://www.youtube.com/watch?v=wzcBB3aAEKw&amp;list=PLC_d5n_vB0CoI8qgSX7mPMpAC_nlcbf57&amp;index=13</t>
  </si>
  <si>
    <t>SAO NHẬP NGŨ 2024 TẬP 4 l Phương Anh Đào cứu MisThy khỏi 'BÀN THUA'</t>
  </si>
  <si>
    <t>sao nhap ngu 2024 tap 4 l phuong anh dao cuu misthy khoi ban thua</t>
  </si>
  <si>
    <t>2024-08-27T14:30:07.000Z</t>
  </si>
  <si>
    <t>UcT0jwqXJxs</t>
  </si>
  <si>
    <t>https://www.youtube.com/watch?v=UcT0jwqXJxs&amp;list=PLC_d5n_vB0CoI8qgSX7mPMpAC_nlcbf57&amp;index=16</t>
  </si>
  <si>
    <t>SAO NHẬP NGŨ 2024 TẬP 1 | Thùy Tiên, DJ Mie HOẢNG SỢ PHÁT KHÓC; Pháo, Uyển Ân gây BẤT NGỜ LỚN</t>
  </si>
  <si>
    <t>sao nhap ngu 2024 tap 1 thuy tien dj mie hoang so phat khoc phao uyen an gay bat ngo lon</t>
  </si>
  <si>
    <t>2024-08-06T14:30:08.000Z</t>
  </si>
  <si>
    <t>3GQe2KflBQw</t>
  </si>
  <si>
    <t>https://www.youtube.com/watch?v=3GQe2KflBQw&amp;list=PLC_d5n_vB0CoI8qgSX7mPMpAC_nlcbf57&amp;index=3</t>
  </si>
  <si>
    <t>SAO NHẬP NGŨ 2024 TẬP 14 l Uyển Ân KHÓC NẤC l Thùy Tiên tạo nét CƯNG XỈU l P.A Đào PHÁ VỠ giới hạn</t>
  </si>
  <si>
    <t>sao nhap ngu 2024 tap 14 l uyen an khoc nac l thuy tien tao net cung xiu l p a dao pha vo gioi han</t>
  </si>
  <si>
    <t>2024-11-05T14:30:06.000Z</t>
  </si>
  <si>
    <t>PRMJIWrHpsE</t>
  </si>
  <si>
    <t>https://www.youtube.com/watch?v=PRMJIWrHpsE&amp;list=PLC_d5n_vB0CoI8qgSX7mPMpAC_nlcbf57&amp;index=14</t>
  </si>
  <si>
    <t>SAO NHẬP NGŨ 2024 TẬP 3 l Thùy Tiên nỗ lực ‘THẢ THÍNH’ l Uyển Ân bị khiển trách, xin 'TỪ CHỨC'</t>
  </si>
  <si>
    <t>sao nhap ngu 2024 tap 3 l thuy tien no luc tha thinh l uyen an bi khien trach xin tu chuc</t>
  </si>
  <si>
    <t>2024-08-20T14:30:22.000Z</t>
  </si>
  <si>
    <t>eOLfde-LOy8</t>
  </si>
  <si>
    <t>https://www.youtube.com/watch?v=eOLfde-LOy8&amp;list=PLC_d5n_vB0CoI8qgSX7mPMpAC_nlcbf57&amp;index=4</t>
  </si>
  <si>
    <t>SAO NHẬP NGŨ 2024 TẬP 13 l Thùy Tiên &amp; Jun Vũ ĐỐI ĐẦU; MisThy mở đại hội 'BÓC PHỐT' dàn nam chiến sĩ</t>
  </si>
  <si>
    <t>sao nhap ngu 2024 tap 13 l thuy tien jun vu doi dau misthy mo dai hoi boc phot dan nam chien si</t>
  </si>
  <si>
    <t>2024-10-29T14:30:06.000Z</t>
  </si>
  <si>
    <t>Y9JkaK-vv8U</t>
  </si>
  <si>
    <t>https://www.youtube.com/watch?v=Y9JkaK-vv8U&amp;list=PLC_d5n_vB0CoI8qgSX7mPMpAC_nlcbf57&amp;index=8</t>
  </si>
  <si>
    <t>SAO NHẬP NGŨ 2024 TẬP 9 l MisThy bị kéo lê trong VÔ VỌNG l Uyển Ân 'HY SINH' l Jun Vũ QUYẾT CHIẾN</t>
  </si>
  <si>
    <t>sao nhap ngu 2024 tap 9 l misthy bi keo le trong vo vong l uyen an hy sinh l jun vu quyet chien</t>
  </si>
  <si>
    <t>2024-10-01T14:30:26.000Z</t>
  </si>
  <si>
    <t>AHhBQ4BdEeM</t>
  </si>
  <si>
    <t>https://www.youtube.com/watch?v=AHhBQ4BdEeM&amp;list=PLC_d5n_vB0CoI8qgSX7mPMpAC_nlcbf57&amp;index=7</t>
  </si>
  <si>
    <t>SAO NHẬP NGŨ 2024 TẬP 10 l MisThy gặp TAI NẠN ĐAU ĐỚN l Thùy Tiên không bảo vệ được Jun Vũ</t>
  </si>
  <si>
    <t>sao nhap ngu 2024 tap 10 l misthy gap tai nan dau don l thuy tien khong bao ve duoc jun vu</t>
  </si>
  <si>
    <t>2024-10-08T14:30:06.000Z</t>
  </si>
  <si>
    <t>hcfHfLSND2o</t>
  </si>
  <si>
    <t>https://www.youtube.com/watch?v=hcfHfLSND2o&amp;list=PLC_d5n_vB0CoI8qgSX7mPMpAC_nlcbf57&amp;index=11</t>
  </si>
  <si>
    <t>SAO NHẬP NGŨ 2024 TẬP 6 l Pháo, Uyển Ân, Thùy Tiên, Mie quyết tâm VƯỢT NGƯỠNG GIỚI HẠN</t>
  </si>
  <si>
    <t>sao nhap ngu 2024 tap 6 l phao uyen an thuy tien mie quyet tam vuot nguong gioi han</t>
  </si>
  <si>
    <t>2024-09-10T14:30:07.000Z</t>
  </si>
  <si>
    <t>hy3cNIBa9Ho</t>
  </si>
  <si>
    <t>https://www.youtube.com/watch?v=hy3cNIBa9Ho&amp;list=PLC_d5n_vB0CoI8qgSX7mPMpAC_nlcbf57&amp;index=2</t>
  </si>
  <si>
    <t>SAO NHẬP NGŨ 2024 TẬP 15 l Phương Anh Đào và Jun Vũ ĐỐI ĐẦU CỰC CĂNG | Thuỳ Tiên SỐC vì kết quả</t>
  </si>
  <si>
    <t>sao nhap ngu 2024 tap 15 l phuong anh dao va jun vu doi dau cuc cang thuy tien soc vi ket qua</t>
  </si>
  <si>
    <t>2024-11-12T14:30:06.000Z</t>
  </si>
  <si>
    <t>GeJ-sAqTs28</t>
  </si>
  <si>
    <t>https://www.youtube.com/watch?v=GeJ-sAqTs28&amp;list=PLC_d5n_vB0CoI8qgSX7mPMpAC_nlcbf57&amp;index=1</t>
  </si>
  <si>
    <t>SAO NHẬP NGŨ 2024 TẬP CUỐI l Thùy Tiên XÉM XỈU trên đường chạy l Jun Vũ BẤT CHẤP giải cứu con tin</t>
  </si>
  <si>
    <t>sao nhap ngu 2024 tap cuoi l thuy tien xem xiu tren duong chay l jun vu bat chap giai cuu con tin</t>
  </si>
  <si>
    <t>2024-11-19T14:30:06.000Z</t>
  </si>
  <si>
    <t>lv643Hq5Wa8</t>
  </si>
  <si>
    <t>https://www.youtube.com/watch?v=lv643Hq5Wa8&amp;list=PLC_d5n_vB0CoI8qgSX7mPMpAC_nlcbf57&amp;index=12</t>
  </si>
  <si>
    <t>SAO NHẬP NGŨ 2024 TẬP 5 l Phương Anh Đào &amp; Pháo TỎA SÁNG l 'Mợ Hai' MisThy &amp; 'Cậu Hai' Hiếu ĐỐI ĐẦU</t>
  </si>
  <si>
    <t>sao nhap ngu 2024 tap 5 l phuong anh dao phao toa sang l mo hai misthy cau hai hieu doi dau</t>
  </si>
  <si>
    <t>2024-09-03T14:30:07.000Z</t>
  </si>
  <si>
    <t>nyCOypwckKI</t>
  </si>
  <si>
    <t>https://www.youtube.com/watch?v=nyCOypwckKI&amp;list=PLC_d5n_vB0CoI8qgSX7mPMpAC_nlcbf57&amp;index=5</t>
  </si>
  <si>
    <t>SAO NHẬP NGŨ 2024 TẬP 12 l Thùy Tiên &amp; Uyển Ân BIẾN HÌNH lầy lội l Phương Anh Đào &amp; Pháo ĐẠI CHIẾN</t>
  </si>
  <si>
    <t>sao nhap ngu 2024 tap 12 l thuy tien uyen an bien hinh lay loi l phuong anh dao phao dai chien</t>
  </si>
  <si>
    <t>2024-10-22T14:30:06.000Z</t>
  </si>
  <si>
    <t>SNN_2025</t>
  </si>
  <si>
    <t>g6zdvqqblWU</t>
  </si>
  <si>
    <t>https://www.youtube.com/watch?v=g6zdvqqblWU&amp;list=PLC_d5n_vB0Cq3f_8Fj98GNIcl7l7tnjAp&amp;index=2</t>
  </si>
  <si>
    <t>SAO NHẬP NGŨ 2025 TẬP 15 l QUYẾT ĐỊNH SINH TỬ l Nỗ lực giải cứu đồng đội của Độ Mixi, Tim, Bình An</t>
  </si>
  <si>
    <t>sao nhap ngu 2025 tap 15 l quyet dinh sinh tu l no luc giai cuu dong doi cua do mixi tim binh an</t>
  </si>
  <si>
    <t>PLC_d5n_vB0Cq3f_8Fj98GNIcl7l7tnjAp</t>
  </si>
  <si>
    <t>2025-11-12T14:10:07.000Z</t>
  </si>
  <si>
    <t>2026-08-12T14:26:46.940202+07:00</t>
  </si>
  <si>
    <t>4Bb72WxYt2e7eCfH3</t>
  </si>
  <si>
    <t>2PoYrSogfO4</t>
  </si>
  <si>
    <t>https://www.youtube.com/watch?v=2PoYrSogfO4&amp;list=PLC_d5n_vB0Cq3f_8Fj98GNIcl7l7tnjAp&amp;index=8</t>
  </si>
  <si>
    <t>SAO NHẬP NGŨ 2025 TẬP 9 l Lộ diện 2 CHIẾN SĨ BẮN GIỎI; Diệu Nhi BẬT KHÓC trong sinh nhật Hậu Hoàng</t>
  </si>
  <si>
    <t>sao nhap ngu 2025 tap 9 l lo dien 2 chien si ban gioi dieu nhi bat khoc trong sinh nhat hau hoang</t>
  </si>
  <si>
    <t>2025-10-01T14:10:07.000Z</t>
  </si>
  <si>
    <t>BDX5z3MaSQQ</t>
  </si>
  <si>
    <t>https://www.youtube.com/watch?v=BDX5z3MaSQQ&amp;list=PLC_d5n_vB0Cq3f_8Fj98GNIcl7l7tnjAp&amp;index=3</t>
  </si>
  <si>
    <t>SAO NHẬP NGŨ 2025 TẬP 14 l Diệu Nhi, Hậu Hoàng HOẢNG LOẠN CỨU THƯƠNG</t>
  </si>
  <si>
    <t>sao nhap ngu 2025 tap 14 l dieu nhi hau hoang hoang loan cuu thuong</t>
  </si>
  <si>
    <t>2025-11-05T14:10:07.000Z</t>
  </si>
  <si>
    <t>VQkBSqXIsBQ</t>
  </si>
  <si>
    <t>https://www.youtube.com/watch?v=VQkBSqXIsBQ&amp;list=PLC_d5n_vB0Cq3f_8Fj98GNIcl7l7tnjAp&amp;index=7</t>
  </si>
  <si>
    <t>SAO NHẬP NGŨ 2025 TẬP 10 l KIẾP NẠN của Độ Mixi và Duy Khánh, Hương Giang comeback MẶN MÒI</t>
  </si>
  <si>
    <t>sao nhap ngu 2025 tap 10 l kiep nan cua do mixi va duy khanh huong giang comeback man moi</t>
  </si>
  <si>
    <t>2025-10-08T14:54:16.000Z</t>
  </si>
  <si>
    <t>3393nF46oVM</t>
  </si>
  <si>
    <t>https://www.youtube.com/watch?v=3393nF46oVM&amp;list=PLC_d5n_vB0Cq3f_8Fj98GNIcl7l7tnjAp&amp;index=11</t>
  </si>
  <si>
    <t>SAO NHẬP NGŨ 2025 TẬP 6 l Hòa Minzy TOÁT MỒ HÔI LÀM TOÁN, Trang Pháp TẠO BẤT NGỜ LỚN</t>
  </si>
  <si>
    <t>sao nhap ngu 2025 tap 6 l hoa minzy toat mo hoi lam toan trang phap tao bat ngo lon</t>
  </si>
  <si>
    <t>2025-09-10T14:10:07.000Z</t>
  </si>
  <si>
    <t>jRsz9h4y2mU</t>
  </si>
  <si>
    <t>https://www.youtube.com/watch?v=jRsz9h4y2mU&amp;list=PLC_d5n_vB0Cq3f_8Fj98GNIcl7l7tnjAp&amp;index=5</t>
  </si>
  <si>
    <t>SAO NHẬP NGŨ 2025  TẬP 12 l Độ Mixi, PewPew LẬP TEAM, ĐỐI ĐẦU NẢY LỬA Diệu Nhi, Trương Nam Thành</t>
  </si>
  <si>
    <t>sao nhap ngu 2025 tap 12 l do mixi pewpew lap team doi dau nay lua dieu nhi truong nam thanh</t>
  </si>
  <si>
    <t>2025-10-22T14:10:07.000Z</t>
  </si>
  <si>
    <t>Vra05-QZPpY</t>
  </si>
  <si>
    <t>https://www.youtube.com/watch?v=Vra05-QZPpY&amp;list=PLC_d5n_vB0Cq3f_8Fj98GNIcl7l7tnjAp&amp;index=6</t>
  </si>
  <si>
    <t>SAO NHẬP NGŨ 2025 TẬP 11 l VÌ NHÂN DÂN QUÊN MÌNH l PewPew, Duy Khánh, Bình An nỗ lực CỨU HỘ, CỨU NẠN</t>
  </si>
  <si>
    <t>sao nhap ngu 2025 tap 11 l vi nhan dan quen minh l pewpew duy khanh binh an no luc cuu ho cuu nan</t>
  </si>
  <si>
    <t>2025-10-15T14:10:08.000Z</t>
  </si>
  <si>
    <t>jQKFC5uIir0</t>
  </si>
  <si>
    <t>https://www.youtube.com/watch?v=jQKFC5uIir0&amp;list=PLC_d5n_vB0Cq3f_8Fj98GNIcl7l7tnjAp&amp;index=4</t>
  </si>
  <si>
    <t>SAO NHẬP NGŨ 2025 TẬP 13 l Những BÍ MẬT CHẤN ĐỘNG, PewPew MUỐI MẶT vì bị Độ Mixi BÓC PHỐT</t>
  </si>
  <si>
    <t>sao nhap ngu 2025 tap 13 l nhung bi mat chan dong pewpew muoi mat vi bi do mixi boc phot</t>
  </si>
  <si>
    <t>2025-10-29T14:10:07.000Z</t>
  </si>
  <si>
    <t>rBDinocbnbc</t>
  </si>
  <si>
    <t>https://www.youtube.com/watch?v=rBDinocbnbc&amp;list=PLC_d5n_vB0Cq3f_8Fj98GNIcl7l7tnjAp&amp;index=16</t>
  </si>
  <si>
    <t>SAO NHẬP NGŨ 2025 TẬP 1 l Độ Mixi, Diệu Nhi, Anh Tú TẤU HÀI CỰC MẠNH l Hòa Minzy chuẩn cựu Quán quân</t>
  </si>
  <si>
    <t>sao nhap ngu 2025 tap 1 l do mixi dieu nhi anh tu tau hai cuc manh l hoa minzy chuan cuu quan quan</t>
  </si>
  <si>
    <t>2025-08-06T14:10:07.000Z</t>
  </si>
  <si>
    <t>cTO7Km5ALAQ</t>
  </si>
  <si>
    <t>https://www.youtube.com/watch?v=cTO7Km5ALAQ&amp;list=PLC_d5n_vB0Cq3f_8Fj98GNIcl7l7tnjAp&amp;index=13</t>
  </si>
  <si>
    <t>SAO NHẬP NGŨ 2025 TẬP 4 l Chi Pu NỖ LỰC HẾT MÌNH, Bình An LỘT XÁC</t>
  </si>
  <si>
    <t>sao nhap ngu 2025 tap 4 l chi pu no luc het minh binh an lot xac</t>
  </si>
  <si>
    <t>2025-08-27T14:10:07.000Z</t>
  </si>
  <si>
    <t>LZK3ranFX5E</t>
  </si>
  <si>
    <t>https://www.youtube.com/watch?v=LZK3ranFX5E&amp;list=PLC_d5n_vB0Cq3f_8Fj98GNIcl7l7tnjAp&amp;index=10</t>
  </si>
  <si>
    <t>SAO NHẬP NGŨ 2025 TẬP 7 ĐỐI ĐẦU NGHẸT THỞ Ai sẽ là người chiến thắng?</t>
  </si>
  <si>
    <t>sao nhap ngu 2025 tap 7 doi dau nghet tho ai se la nguoi chien thang</t>
  </si>
  <si>
    <t>2025-09-17T14:10:07.000Z</t>
  </si>
  <si>
    <t>6yXOV8u_p9I</t>
  </si>
  <si>
    <t>https://www.youtube.com/watch?v=6yXOV8u_p9I&amp;list=PLC_d5n_vB0Cq3f_8Fj98GNIcl7l7tnjAp&amp;index=12</t>
  </si>
  <si>
    <t>SAO NHẬP NGŨ 2025 TẬP 5 l Độ Mixi NÉN CƠN ĐAU vượt sông, Bình An và Anh Tú ĐẠI NÁO trên sàn đấu võ</t>
  </si>
  <si>
    <t>sao nhap ngu 2025 tap 5 l do mixi nen con dau vuot song binh an va anh tu dai nao tren san dau vo</t>
  </si>
  <si>
    <t>2025-09-03T14:10:07.000Z</t>
  </si>
  <si>
    <t>uTGqZJb8FYg</t>
  </si>
  <si>
    <t>https://www.youtube.com/watch?v=uTGqZJb8FYg&amp;list=PLC_d5n_vB0Cq3f_8Fj98GNIcl7l7tnjAp&amp;index=15</t>
  </si>
  <si>
    <t>SAO NHẬP NGŨ 2025 TẬP 2 l Độ Mixi, Anh Tú QUYẾT ĐẤU Tim, Hải Đăng Doo l Lan Ngọc, Minh Tú CẦU CỨU</t>
  </si>
  <si>
    <t>sao nhap ngu 2025 tap 2 l do mixi anh tu quyet dau tim hai dang doo l lan ngoc minh tu cau cuu</t>
  </si>
  <si>
    <t>2025-08-13T14:10:07.000Z</t>
  </si>
  <si>
    <t>AR1gKXmQ0_E</t>
  </si>
  <si>
    <t>https://www.youtube.com/watch?v=AR1gKXmQ0_E&amp;list=PLC_d5n_vB0Cq3f_8Fj98GNIcl7l7tnjAp&amp;index=9</t>
  </si>
  <si>
    <t>SAO NHẬP NGŨ 2025 TẬP 8 l Duy Khánh, Kỳ Duyên trở lại LỢI HẠI HƠN XƯA?</t>
  </si>
  <si>
    <t>sao nhap ngu 2025 tap 8 l duy khanh ky duyen tro lai loi hai hon xua</t>
  </si>
  <si>
    <t>2025-09-24T14:10:07.000Z</t>
  </si>
  <si>
    <t>EXVGgPOR2IA</t>
  </si>
  <si>
    <t>https://www.youtube.com/watch?v=EXVGgPOR2IA&amp;list=PLC_d5n_vB0Cq3f_8Fj98GNIcl7l7tnjAp&amp;index=1</t>
  </si>
  <si>
    <t>SAO NHẬP NGŨ 2025 TẬP CUỐI l Kết thúc HÀNH TRÌNH RỰC RỠ l Khi Tổ quốc gọi tên, chúng tôi SẴN SÀNG</t>
  </si>
  <si>
    <t>sao nhap ngu 2025 tap cuoi l ket thuc hanh trinh ruc ro l khi to quoc goi ten chung toi san sang</t>
  </si>
  <si>
    <t>2025-11-19T14:10:07.000Z</t>
  </si>
  <si>
    <t>aSE39tXs1Pk</t>
  </si>
  <si>
    <t>https://www.youtube.com/watch?v=aSE39tXs1Pk&amp;list=PLC_d5n_vB0Cq3f_8Fj98GNIcl7l7tnjAp&amp;index=14</t>
  </si>
  <si>
    <t>SAO NHẬP NGŨ 2025 TẬP 3 l Độ Mixi 'GIẢI CỨU' Chi Pu; Diệu Nhi và Hậu Hoàng lặp lại 'QUÁ KHỨ ĐEN TỐI'</t>
  </si>
  <si>
    <t>sao nhap ngu 2025 tap 3 l do mixi giai cuu chi pu dieu nhi va hau hoang lap lai qua khu den toi</t>
  </si>
  <si>
    <t>2025-08-20T14:10:07.000Z</t>
  </si>
  <si>
    <t>SNN_2026</t>
  </si>
  <si>
    <t>mq_PMKgDmeA</t>
  </si>
  <si>
    <t>https://www.youtube.com/watch?v=mq_PMKgDmeA&amp;list=PLZuraW9kAXuE&amp;index=18</t>
  </si>
  <si>
    <t>ĐỒNG HÀNH | Văn Mai Hương và Tuấn Dương TẤU HỀ, DỰ ĐOÁN "CHẤN ĐỘNG" trước ngày đi SAO NHẬP NGŨ</t>
  </si>
  <si>
    <t>dong hanh van mai huong va tuan duong tau he du doan chan dong truoc ngay di sao nhap ngu</t>
  </si>
  <si>
    <t>PLZuraW9kAXuE</t>
  </si>
  <si>
    <t>2026-08-02T13:00:09.000Z</t>
  </si>
  <si>
    <t>2026-08-12T14:28:50.049091+07:00</t>
  </si>
  <si>
    <t>i3J1i2O99cTyHPbyz</t>
  </si>
  <si>
    <t>9QvMZ5DqB9s</t>
  </si>
  <si>
    <t>https://www.youtube.com/watch?v=9QvMZ5DqB9s&amp;list=PLZuraW9kAXuE&amp;index=21</t>
  </si>
  <si>
    <t>ĐỒNG HÀNH | Phan Mạnh Quỳnh và Thúy Ngân DỰ ĐOÁN "CHẤN ĐỘNG" trước ngày nhập ngũ | SAO NHẬP NGŨ 2026</t>
  </si>
  <si>
    <t>dong hanh phan manh quynh va thuy ngan du doan chan dong truoc ngay nhap ngu sao nhap ngu 2026</t>
  </si>
  <si>
    <t>2026-07-30T13:00:32.000Z</t>
  </si>
  <si>
    <t>4-BvL8WTFVk</t>
  </si>
  <si>
    <t>https://www.youtube.com/watch?v=4-BvL8WTFVk&amp;list=PLZuraW9kAXuE&amp;index=24</t>
  </si>
  <si>
    <t>Các đồng chí cùng làm quen chiến sĩ mới Nguyễn Quốc Trường nha 😙| SAO NHẬP NGŨ 2025 #shorts</t>
  </si>
  <si>
    <t>cac dong chi cung lam quen chien si moi nguyen quoc truong nha sao nhap ngu 2025 shorts</t>
  </si>
  <si>
    <t>2026-07-28T12:00:08.000Z</t>
  </si>
  <si>
    <t>3qqSHhf0QD8</t>
  </si>
  <si>
    <t>https://www.youtube.com/watch?v=3qqSHhf0QD8&amp;list=PLZuraW9kAXuE&amp;index=14</t>
  </si>
  <si>
    <t>Dương mất kết nối thật rồi !!!😅 | SAO NHẬP NGŨ 2026</t>
  </si>
  <si>
    <t>duong mat ket noi that roi sao nhap ngu 2026</t>
  </si>
  <si>
    <t>2026-08-03T13:00:37.000Z</t>
  </si>
  <si>
    <t>wwNitOWWQVY</t>
  </si>
  <si>
    <t>https://www.youtube.com/watch?v=wwNitOWWQVY&amp;list=PLZuraW9kAXuE&amp;index=23</t>
  </si>
  <si>
    <t>4 chiến sĩ Thúy Ngân - Minh Trang - Mạnh Quỳnh - Trung Thành đã sẵn sàng 🙌🏻 | SAO NHẬP NGŨ 2026</t>
  </si>
  <si>
    <t>4 chien si thuy ngan minh trang manh quynh trung thanh da san sang sao nhap ngu 2026</t>
  </si>
  <si>
    <t>2026-07-29T12:10:07.000Z</t>
  </si>
  <si>
    <t>acQnMMTlORw</t>
  </si>
  <si>
    <t>https://www.youtube.com/watch?v=acQnMMTlORw&amp;list=PLZuraW9kAXuE&amp;index=26</t>
  </si>
  <si>
    <t>Các đồng chí cùng làm quen chiến sĩ mới Trần Tuấn Dương nha 🫡 | SAO NHẬP NGŨ 2026 #TuanDuong</t>
  </si>
  <si>
    <t>cac dong chi cung lam quen chien si moi tran tuan duong nha sao nhap ngu 2026 tuanduong</t>
  </si>
  <si>
    <t>2026-07-26T14:00:00.000Z</t>
  </si>
  <si>
    <t>LbVYtaEQK2E</t>
  </si>
  <si>
    <t>https://www.youtube.com/watch?v=LbVYtaEQK2E&amp;list=PLZuraW9kAXuE&amp;index=20</t>
  </si>
  <si>
    <t>ĐỒNG HÀNH | Quốc Trường và Minh Trang DỰ ĐOÁN "CHẤN ĐỘNG" trước ngày nhập ngũ | SAO NHẬP NGŨ 2026</t>
  </si>
  <si>
    <t>dong hanh quoc truong va minh trang du doan chan dong truoc ngay nhap ngu sao nhap ngu 2026</t>
  </si>
  <si>
    <t>2026-07-31T12:00:35.000Z</t>
  </si>
  <si>
    <t>QyLEHBODCeI</t>
  </si>
  <si>
    <t>https://www.youtube.com/watch?v=QyLEHBODCeI&amp;list=PLZuraW9kAXuE&amp;index=27</t>
  </si>
  <si>
    <t>Các đồng chí cùng làm quen chiến sĩ mới Lê Trung Thành nha 🫡 | SAO NHẬP NGŨ #saonhapngu</t>
  </si>
  <si>
    <t>cac dong chi cung lam quen chien si moi le trung thanh nha sao nhap ngu saonhapngu</t>
  </si>
  <si>
    <t>2026-07-26T02:00:00.000Z</t>
  </si>
  <si>
    <t>xo0i0-Re-OM</t>
  </si>
  <si>
    <t>https://www.youtube.com/watch?v=xo0i0-Re-OM&amp;list=PLZuraW9kAXuE&amp;index=30</t>
  </si>
  <si>
    <t>Chào Sao Nhập Ngũ 2026! Đồng chí Phan Mạnh Quỳnh đã có mặt 🫡 #saonhapngu #phanmanhquynh</t>
  </si>
  <si>
    <t>chao sao nhap ngu 2026 dong chi phan manh quynh da co mat saonhapngu phanmanhquynh</t>
  </si>
  <si>
    <t>2026-07-24T13:30:38.000Z</t>
  </si>
  <si>
    <t>CDRafzIuW2Q</t>
  </si>
  <si>
    <t>https://www.youtube.com/watch?v=CDRafzIuW2Q&amp;list=PLZuraW9kAXuE&amp;index=32</t>
  </si>
  <si>
    <t>Các đồng chí cùng làm quen chiến sĩ mới Bùi Thái Bảo Châu nha 🥰 | SAO NHẬP NGŨ #ChauBui #SaoNhapNgu</t>
  </si>
  <si>
    <t>cac dong chi cung lam quen chien si moi bui thai bao chau nha sao nhap ngu chaubui saonhapngu</t>
  </si>
  <si>
    <t>2026-07-23T14:03:05.000Z</t>
  </si>
  <si>
    <t>tMOK8R6qf8g</t>
  </si>
  <si>
    <t>https://www.youtube.com/watch?v=tMOK8R6qf8g&amp;list=PLZuraW9kAXuE&amp;index=1</t>
  </si>
  <si>
    <t>OFFICIAL INTRO | SAO NHẬP NGŨ 2026 - TỔ QUỐC NƠI ĐẦU SÓNG</t>
  </si>
  <si>
    <t>official intro sao nhap ngu 2026 to quoc noi dau song</t>
  </si>
  <si>
    <t>2026-08-12T03:30:07.000Z</t>
  </si>
  <si>
    <t>O5EdMtIRzcw</t>
  </si>
  <si>
    <t>https://www.youtube.com/watch?v=O5EdMtIRzcw&amp;list=PLZuraW9kAXuE&amp;index=7</t>
  </si>
  <si>
    <t>Thúy Ngân, Phan Mạnh Quỳnh, Văn Mai Hương, Tuấn Dương đoán tên vật dụng chuẩn thuật ngữ quân đội 🤔</t>
  </si>
  <si>
    <t>thuy ngan phan manh quynh van mai huong tuan duong doan ten vat dung chuan thuat ngu quan doi</t>
  </si>
  <si>
    <t>2026-08-07T03:32:17.000Z</t>
  </si>
  <si>
    <t>0sdLGedT_98</t>
  </si>
  <si>
    <t>https://www.youtube.com/watch?v=0sdLGedT_98&amp;list=PLZuraW9kAXuE&amp;index=33</t>
  </si>
  <si>
    <t>Các đồng chí cùng làm quen chiến sĩ mới Lê Huỳnh Thúy Ngân nha 💌#ThuyNgan #SaoNhapNgu2026</t>
  </si>
  <si>
    <t>cac dong chi cung lam quen chien si moi le huynh thuy ngan nha thuyngan saonhapngu2026</t>
  </si>
  <si>
    <t>2026-07-22T13:00:06.000Z</t>
  </si>
  <si>
    <t>P0Vidn830uQ</t>
  </si>
  <si>
    <t>https://www.youtube.com/watch?v=P0Vidn830uQ&amp;list=PLZuraW9kAXuE&amp;index=11</t>
  </si>
  <si>
    <t>10 điểm cho Erik (Lê Trung Thành) | SAO NHẬP NGŨ 2026</t>
  </si>
  <si>
    <t>10 diem cho erik le trung thanh sao nhap ngu 2026</t>
  </si>
  <si>
    <t>2026-08-04T03:00:23.000Z</t>
  </si>
  <si>
    <t>9VFqJlur3rk</t>
  </si>
  <si>
    <t>https://www.youtube.com/watch?v=9VFqJlur3rk&amp;list=PLZuraW9kAXuE&amp;index=6</t>
  </si>
  <si>
    <t>🤣 Ôi đồng chí Tuấn Dương ơi | SAO NHẬP NGŨ 2026</t>
  </si>
  <si>
    <t>oi dong chi tuan duong oi sao nhap ngu 2026</t>
  </si>
  <si>
    <t>2026-08-07T05:30:38.000Z</t>
  </si>
  <si>
    <t>a6YFKixBswo</t>
  </si>
  <si>
    <t>https://www.youtube.com/watch?v=a6YFKixBswo&amp;list=PLZuraW9kAXuE&amp;index=4</t>
  </si>
  <si>
    <t>🤣 Ôi đồng chí Minh Trang ơi | SAO NHẬP NGŨ 2026</t>
  </si>
  <si>
    <t>oi dong chi minh trang oi sao nhap ngu 2026</t>
  </si>
  <si>
    <t>2026-08-07T11:00:16.000Z</t>
  </si>
  <si>
    <t>pVoApXwXxgw</t>
  </si>
  <si>
    <t>https://www.youtube.com/watch?v=pVoApXwXxgw&amp;list=PLZuraW9kAXuE&amp;index=9</t>
  </si>
  <si>
    <t>Tuấn Dương nhắc Erik nha 🤣 | SAO NHẬP NGŨ 2026</t>
  </si>
  <si>
    <t>tuan duong nhac erik nha sao nhap ngu 2026</t>
  </si>
  <si>
    <t>2026-08-06T05:22:42.000Z</t>
  </si>
  <si>
    <t>oDWEO6z6W44</t>
  </si>
  <si>
    <t>https://www.youtube.com/watch?v=oDWEO6z6W44&amp;list=PLZuraW9kAXuE&amp;index=10</t>
  </si>
  <si>
    <t>Quốc Trường và Tuấn Dương ai sẽ nói nhiều hơn ai đây? | SAO NHẬP NGŨ 2026</t>
  </si>
  <si>
    <t>quoc truong va tuan duong ai se noi nhieu hon ai day sao nhap ngu 2026</t>
  </si>
  <si>
    <t>2026-08-04T03:00:28.000Z</t>
  </si>
  <si>
    <t>Ug9sDCPoSek</t>
  </si>
  <si>
    <t>https://www.youtube.com/watch?v=Ug9sDCPoSek&amp;list=PLZuraW9kAXuE&amp;index=3</t>
  </si>
  <si>
    <t>CƯỜI KHỜ: Phan Mạnh Quỳnh GỌI TÊN ĐỒNG ĐỘI chỉ qua 1 ÁNH MẮT, 1 BỜ MÔI... | ĐỒNG HÀNH SAO NHẬP NGŨ</t>
  </si>
  <si>
    <t>cuoi kho phan manh quynh goi ten dong doi chi qua 1 anh mat 1 bo moi dong hanh sao nhap ngu</t>
  </si>
  <si>
    <t>2026-08-08T02:00:10.000Z</t>
  </si>
  <si>
    <t>eBhSf340m1w</t>
  </si>
  <si>
    <t>https://www.youtube.com/watch?v=eBhSf340m1w&amp;list=PLZuraW9kAXuE&amp;index=12</t>
  </si>
  <si>
    <t>Chém gió như Châu Bùi 🤣 | SAO NHẬP NGŨ 2026</t>
  </si>
  <si>
    <t>chem gio nhu chau bui sao nhap ngu 2026</t>
  </si>
  <si>
    <t>2026-08-04T02:00:39.000Z</t>
  </si>
  <si>
    <t>qGXU_AHDfGc</t>
  </si>
  <si>
    <t>https://www.youtube.com/watch?v=qGXU_AHDfGc&amp;list=PLZuraW9kAXuE&amp;index=35</t>
  </si>
  <si>
    <t>Chào Sao Nhập Ngũ 2026! Đồng chí Lê Trung Thành đã có mặt 🫡</t>
  </si>
  <si>
    <t>chao sao nhap ngu 2026 dong chi le trung thanh da co mat</t>
  </si>
  <si>
    <t>2026-07-18T13:30:27.000Z</t>
  </si>
  <si>
    <t>_ushprfeLd0</t>
  </si>
  <si>
    <t>https://www.youtube.com/watch?v=_ushprfeLd0&amp;list=PLZuraW9kAXuE&amp;index=15</t>
  </si>
  <si>
    <t>Mình à sao đôi ta?!!! 🤣 | SAO NHẬP NGŨ 2026</t>
  </si>
  <si>
    <t>minh a sao doi ta sao nhap ngu 2026</t>
  </si>
  <si>
    <t>2026-08-03T12:00:29.000Z</t>
  </si>
  <si>
    <t>uwjO2yYQL3U</t>
  </si>
  <si>
    <t>https://www.youtube.com/watch?v=uwjO2yYQL3U&amp;list=PLZuraW9kAXuE&amp;index=29</t>
  </si>
  <si>
    <t>Chào Sao Nhập Ngũ 2026! Đồng chí Nguyễn Quốc Trường đã có mặt 🫡 #saonhapngu #quốctrường</t>
  </si>
  <si>
    <t>chao sao nhap ngu 2026 dong chi nguyen quoc truong da co mat saonhapngu quoctruong</t>
  </si>
  <si>
    <t>2026-07-25T03:30:16.000Z</t>
  </si>
  <si>
    <t>E0ZHuD_muCE</t>
  </si>
  <si>
    <t>https://www.youtube.com/watch?v=E0ZHuD_muCE&amp;list=PLZuraW9kAXuE&amp;index=36</t>
  </si>
  <si>
    <t>Chào Sao Nhập Ngũ 2026! Đồng chí Bùi Thái Bảo Châu đã có mặt! 🫡</t>
  </si>
  <si>
    <t>chao sao nhap ngu 2026 dong chi bui thai bao chau da co mat</t>
  </si>
  <si>
    <t>2026-07-18T03:30:24.000Z</t>
  </si>
  <si>
    <t>j_xcEhbM9jk</t>
  </si>
  <si>
    <t>https://www.youtube.com/watch?v=j_xcEhbM9jk&amp;list=PLZuraW9kAXuE&amp;index=28</t>
  </si>
  <si>
    <t>Chào Sao Nhập Ngũ 2026! Đồng chí Trần Tuấn Dương đã có mặt 🫡 #saonhapngu #tuanduong</t>
  </si>
  <si>
    <t>chao sao nhap ngu 2026 dong chi tran tuan duong da co mat saonhapngu tuanduong</t>
  </si>
  <si>
    <t>2026-07-25T13:30:16.000Z</t>
  </si>
  <si>
    <t>EXVSu3D91EE</t>
  </si>
  <si>
    <t>https://www.youtube.com/watch?v=EXVSu3D91EE&amp;list=PLZuraW9kAXuE&amp;index=31</t>
  </si>
  <si>
    <t>Chào Sao Nhập Ngũ 2026! Đồng chí Văn Mai Hương đã có mặt 🫡 #vanmaihuong #saonhapngu #saonhapngu2026</t>
  </si>
  <si>
    <t>chao sao nhap ngu 2026 dong chi van mai huong da co mat vanmaihuong saonhapngu saonhapngu2026</t>
  </si>
  <si>
    <t>2026-07-24T03:41:55.000Z</t>
  </si>
  <si>
    <t>HYAtJab1skw</t>
  </si>
  <si>
    <t>https://www.youtube.com/watch?v=HYAtJab1skw&amp;list=PLZuraW9kAXuE&amp;index=2</t>
  </si>
  <si>
    <t>Tuấn Dương TOÁT MỒ HÔI nhận diện các đồng đội tại SAO NHẬP NGŨ 2026 | ĐỒNG HÀNH SAO NHẬP NGŨ 2026</t>
  </si>
  <si>
    <t>tuan duong toat mo hoi nhan dien cac dong doi tai sao nhap ngu 2026 dong hanh sao nhap ngu 2026</t>
  </si>
  <si>
    <t>2026-08-09T02:00:11.000Z</t>
  </si>
  <si>
    <t>PfPrfHJFiCg</t>
  </si>
  <si>
    <t>https://www.youtube.com/watch?v=PfPrfHJFiCg&amp;list=PLZuraW9kAXuE&amp;index=22</t>
  </si>
  <si>
    <t>4 chiến sĩ Tuấn Dương - Quốc Trường - Châu Bùi - Văn Mai Hương cũng đã sẵn sàng | SAO NHẬP NGŨ 2026</t>
  </si>
  <si>
    <t>4 chien si tuan duong quoc truong chau bui van mai huong cung da san sang sao nhap ngu 2026</t>
  </si>
  <si>
    <t>2026-07-29T14:00:10.000Z</t>
  </si>
  <si>
    <t>BDXEh7Jwxc4</t>
  </si>
  <si>
    <t>https://www.youtube.com/watch?v=BDXEh7Jwxc4&amp;list=PLZuraW9kAXuE&amp;index=5</t>
  </si>
  <si>
    <t>🤣 Ôi đồng chí Quốc Trường ơi | SAO NHẬP NGŨ 2026</t>
  </si>
  <si>
    <t>oi dong chi quoc truong oi sao nhap ngu 2026</t>
  </si>
  <si>
    <t>2026-08-07T07:00:33.000Z</t>
  </si>
  <si>
    <t>mZAMayOEQmY</t>
  </si>
  <si>
    <t>https://www.youtube.com/watch?v=mZAMayOEQmY&amp;list=PLZuraW9kAXuE&amp;index=34</t>
  </si>
  <si>
    <t>Các đồng chí làm quen với chiến sĩ mới Minh Trang nha 🤞 | #SaoNhapNgu #SaoNhapNgu2026 #ViettelMedia</t>
  </si>
  <si>
    <t>cac dong chi lam quen voi chien si moi minh trang nha saonhapngu saonhapngu2026 viettelmedia</t>
  </si>
  <si>
    <t>2026-07-21T13:00:15.000Z</t>
  </si>
  <si>
    <t>uvrleJU8izA</t>
  </si>
  <si>
    <t>https://www.youtube.com/watch?v=uvrleJU8izA&amp;list=PLZuraW9kAXuE&amp;index=13</t>
  </si>
  <si>
    <t>Bà nói thiệt hả bà Hương? 🤣 | SAO NHẬP NGŨ 2026</t>
  </si>
  <si>
    <t>ba noi thiet ha ba huong sao nhap ngu 2026</t>
  </si>
  <si>
    <t>2026-08-03T14:00:12.000Z</t>
  </si>
  <si>
    <t>cZ4tL7TQaSc</t>
  </si>
  <si>
    <t>https://www.youtube.com/watch?v=cZ4tL7TQaSc&amp;list=PLZuraW9kAXuE&amp;index=16</t>
  </si>
  <si>
    <t>Ôi thôi chếch 🤣 | SAO NHẬP NGŨ 2026</t>
  </si>
  <si>
    <t>oi thoi chech sao nhap ngu 2026</t>
  </si>
  <si>
    <t>2026-08-03T04:00:35.000Z</t>
  </si>
  <si>
    <t>8kbOoWPBins</t>
  </si>
  <si>
    <t>https://www.youtube.com/watch?v=8kbOoWPBins&amp;list=PLZuraW9kAXuE&amp;index=19</t>
  </si>
  <si>
    <t>ĐỒNG HÀNH | Erik và Châu Bùi DỰ ĐOÁN "CHẤN ĐỘNG" trước ngày nhập ngũ | SAO NHẬP NGŨ 2026</t>
  </si>
  <si>
    <t>dong hanh erik va chau bui du doan chan dong truoc ngay nhap ngu sao nhap ngu 2026</t>
  </si>
  <si>
    <t>2026-08-01T13:00:10.000Z</t>
  </si>
  <si>
    <t>9ZHSeBLYU0I</t>
  </si>
  <si>
    <t>https://www.youtube.com/watch?v=9ZHSeBLYU0I&amp;list=PLZuraW9kAXuE&amp;index=8</t>
  </si>
  <si>
    <t>🤔 Quốc Trường, Erik, Châu Bùi, Minh Trang đoán tên vật dụng chuẩn thuật ngữ quân đội</t>
  </si>
  <si>
    <t>quoc truong erik chau bui minh trang doan ten vat dung chuan thuat ngu quan doi</t>
  </si>
  <si>
    <t>2026-08-06T09:43:42.000Z</t>
  </si>
  <si>
    <t>iXLk5Z3vmUE</t>
  </si>
  <si>
    <t>https://www.youtube.com/watch?v=iXLk5Z3vmUE&amp;list=PLZuraW9kAXuE&amp;index=17</t>
  </si>
  <si>
    <t>Tình chị em chắc có bền lâu? 🤣 | SAO NHẬP NGŨ 2026</t>
  </si>
  <si>
    <t>tinh chi em chac co ben lau sao nhap ngu 2026</t>
  </si>
  <si>
    <t>2026-08-03T02:40:13.000Z</t>
  </si>
  <si>
    <t>GVohSu2xaQs</t>
  </si>
  <si>
    <t>https://www.youtube.com/watch?v=GVohSu2xaQs&amp;list=PLZuraW9kAXuE&amp;index=25</t>
  </si>
  <si>
    <t>Các đồng chí cùng làm quen chiến sĩ mới Văn Mai Hương nha 🥰 | SAO NHẬP NGŨ #saonhapngu #shorts</t>
  </si>
  <si>
    <t>cac dong chi cung lam quen chien si moi van mai huong nha sao nhap ngu saonhapngu shorts</t>
  </si>
  <si>
    <t>2026-07-27T03:00:34.000Z</t>
  </si>
  <si>
    <t>DTGT</t>
  </si>
  <si>
    <t>DTGT_2025</t>
  </si>
  <si>
    <t>Yfyy7BEj9P0</t>
  </si>
  <si>
    <t>https://www.youtube.com/watch?v=Yfyy7BEj9P0&amp;list=PLy_TpcUT2LZtKjiN00baVxhHVN1HthDiQ&amp;index=8</t>
  </si>
  <si>
    <t>Đấu Trường Gia Tốc Tập 6: Phương Anh Đào thể hiện bản lĩnh, Quân Lee giải mã thần sầu</t>
  </si>
  <si>
    <t>dau truong gia toc tap 6 phuong anh dao the hien ban linh quan lee giai ma than sau</t>
  </si>
  <si>
    <t>PLy_TpcUT2LZtKjiN00baVxhHVN1HthDiQ</t>
  </si>
  <si>
    <t>2025-07-10T13:30:27.000Z</t>
  </si>
  <si>
    <t>2026-08-12T14:30:13.671856+07:00</t>
  </si>
  <si>
    <t>1YFtRDU1wNjkafveH</t>
  </si>
  <si>
    <t>Tf9DVcSakH4</t>
  </si>
  <si>
    <t>https://www.youtube.com/watch?v=Tf9DVcSakH4&amp;list=PLy_TpcUT2LZtKjiN00baVxhHVN1HthDiQ&amp;index=5</t>
  </si>
  <si>
    <t>Đấu Trường Gia Tốc Tập 9: Cris Phan xứng danh ông trùm chiến thuật, NEGAV đối đầu với HURRYKNG</t>
  </si>
  <si>
    <t>dau truong gia toc tap 9 cris phan xung danh ong trum chien thuat negav doi dau voi hurrykng</t>
  </si>
  <si>
    <t>2025-07-27T13:40:06.000Z</t>
  </si>
  <si>
    <t>pDXUKkHJfEU</t>
  </si>
  <si>
    <t>https://www.youtube.com/watch?v=pDXUKkHJfEU&amp;list=PLy_TpcUT2LZtKjiN00baVxhHVN1HthDiQ&amp;index=7</t>
  </si>
  <si>
    <t>Đấu Trường Gia Tốc Tập 7: Emily–BigDaddy chạm trán cực căng, WEAN-Dương Domic quay cuồng dưới nước</t>
  </si>
  <si>
    <t>dau truong gia toc tap 7 emily bigdaddy cham tran cuc cang wean duong domic quay cuong duoi nuoc</t>
  </si>
  <si>
    <t>2025-07-17T13:30:53.000Z</t>
  </si>
  <si>
    <t>erWINGggTh0</t>
  </si>
  <si>
    <t>https://www.youtube.com/watch?v=erWINGggTh0&amp;list=PLy_TpcUT2LZtKjiN00baVxhHVN1HthDiQ&amp;index=1</t>
  </si>
  <si>
    <t>Đấu Trường Gia Tốc Tập 12: Kịch tính màn đối đầu giữa Cris và RHYDER, quán quân mùa đầu tiên lộ diện</t>
  </si>
  <si>
    <t>dau truong gia toc tap 12 kich tinh man doi dau giua cris va rhyder quan quan mua dau tien lo dien</t>
  </si>
  <si>
    <t>2025-08-17T13:40:06.000Z</t>
  </si>
  <si>
    <t>https://www.youtube.com/watch?v=-WAD83tAFLM&amp;list=PLy_TpcUT2LZtKjiN00baVxhHVN1HthDiQ&amp;index=3</t>
  </si>
  <si>
    <t>Đấu Trường Gia Tốc Tập 11: Cris-Kaity bắt tay giải mã mê cung, Dương Domic-HURRYKNG đọ trình go kart</t>
  </si>
  <si>
    <t>dau truong gia toc tap 11 cris kaity bat tay giai ma me cung duong domic hurrykng do trinh go kart</t>
  </si>
  <si>
    <t>2025-08-10T13:40:06.000Z</t>
  </si>
  <si>
    <t>mamNbhyBw78</t>
  </si>
  <si>
    <t>https://www.youtube.com/watch?v=mamNbhyBw78&amp;list=PLy_TpcUT2LZtKjiN00baVxhHVN1HthDiQ&amp;index=13</t>
  </si>
  <si>
    <t>Đấu Trường Gia Tốc Tập 0:Hai VUATROCHOI "chiến đấu" giành HURRYKNG, RHYDER - HƯNG NGUYỄN tạo bất ngờ</t>
  </si>
  <si>
    <t>dau truong gia toc tap 0 hai vuatrochoi chien dau gianh hurrykng rhyder hung nguyen tao bat ngo</t>
  </si>
  <si>
    <t>2025-05-18T13:40:06.000Z</t>
  </si>
  <si>
    <t>iz76RZfj2v8</t>
  </si>
  <si>
    <t>https://www.youtube.com/watch?v=iz76RZfj2v8&amp;list=PLy_TpcUT2LZtKjiN00baVxhHVN1HthDiQ&amp;index=12</t>
  </si>
  <si>
    <t>Đấu Trường Gia Tốc Tập 1:Cris - RHYDER cặp đôi giải mã cừ khôi, Dương Domic - WEAN đôi bạn cùng tiến</t>
  </si>
  <si>
    <t>dau truong gia toc tap 1 cris rhyder cap doi giai ma cu khoi duong domic wean doi ban cung tien</t>
  </si>
  <si>
    <t>2025-06-01T13:40:06.000Z</t>
  </si>
  <si>
    <t>HFb9tjcMWi4</t>
  </si>
  <si>
    <t>https://www.youtube.com/watch?v=HFb9tjcMWi4&amp;list=PLy_TpcUT2LZtKjiN00baVxhHVN1HthDiQ&amp;index=6</t>
  </si>
  <si>
    <t>Đấu Trường Gia Tốc Tập 8: Ngô Kiến Huy lột xác bứt tốc, Cris Phan thể hiện bản lĩnh đội trưởng</t>
  </si>
  <si>
    <t>dau truong gia toc tap 8 ngo kien huy lot xac but toc cris phan the hien ban linh doi truong</t>
  </si>
  <si>
    <t>2025-07-20T13:40:06.000Z</t>
  </si>
  <si>
    <t>8vShlfJv_lI</t>
  </si>
  <si>
    <t>https://www.youtube.com/watch?v=8vShlfJv_lI&amp;list=PLy_TpcUT2LZtKjiN00baVxhHVN1HthDiQ&amp;index=11</t>
  </si>
  <si>
    <t>Đấu Trường Gia Tốc Tập 2: WEAN - Dương Domic "mất kết nối", Cris - Ngô Kiến Huy song kiếm hợp bích</t>
  </si>
  <si>
    <t>dau truong gia toc tap 2 wean duong domic mat ket noi cris ngo kien huy song kiem hop bich</t>
  </si>
  <si>
    <t>2025-06-08T13:40:06.000Z</t>
  </si>
  <si>
    <t>https://www.youtube.com/watch?v=2V20IKyMqnM&amp;list=PLy_TpcUT2LZtKjiN00baVxhHVN1HthDiQ&amp;index=2</t>
  </si>
  <si>
    <t>5a1oq9x5Ea4</t>
  </si>
  <si>
    <t>https://www.youtube.com/watch?v=5a1oq9x5Ea4&amp;list=PLy_TpcUT2LZtKjiN00baVxhHVN1HthDiQ&amp;index=4</t>
  </si>
  <si>
    <t>Đấu Trường Gia Tốc Tập 10: Cris - Ngô Kiến Huy đấu trí cực căng, hai đội rượt đuổi nhau nghẹt thở</t>
  </si>
  <si>
    <t>dau truong gia toc tap 10 cris ngo kien huy dau tri cuc cang hai doi ruot duoi nhau nghet tho</t>
  </si>
  <si>
    <t>2025-08-03T13:40:06.000Z</t>
  </si>
  <si>
    <t>ycH-DrBanJE</t>
  </si>
  <si>
    <t>https://www.youtube.com/watch?v=ycH-DrBanJE&amp;list=PLy_TpcUT2LZtKjiN00baVxhHVN1HthDiQ&amp;index=9</t>
  </si>
  <si>
    <t>Đấu Trường Gia Tốc Tập 4: Dương Domic chơi tất tay đối đầu với 8 thợ săn, HURRYKNG giải mã thần sầu</t>
  </si>
  <si>
    <t>dau truong gia toc tap 4 duong domic choi tat tay doi dau voi 8 tho san hurrykng giai ma than sau</t>
  </si>
  <si>
    <t>2025-06-22T13:40:06.000Z</t>
  </si>
  <si>
    <t>HbTqOA5gXWk</t>
  </si>
  <si>
    <t>https://www.youtube.com/watch?v=HbTqOA5gXWk&amp;list=PLy_TpcUT2LZtKjiN00baVxhHVN1HthDiQ&amp;index=10</t>
  </si>
  <si>
    <t>Đấu Trường Gia Tốc Tập 3: Kaity - Phương Anh Đào hóa "nữ cường", Cris Phan-RHYDER tổ đội IQ đỉnh cao</t>
  </si>
  <si>
    <t>dau truong gia toc tap 3 kaity phuong anh dao hoa nu cuong cris phan rhyder to doi iq dinh cao</t>
  </si>
  <si>
    <t>2025-06-15T13:40:05.000Z</t>
  </si>
  <si>
    <t>TD1K2</t>
  </si>
  <si>
    <t>Tổ Đội 1 Không 2</t>
  </si>
  <si>
    <t>TD1K2_2025</t>
  </si>
  <si>
    <t>b6dsG7oVl2I</t>
  </si>
  <si>
    <t>https://www.youtube.com/watch?v=b6dsG7oVl2I&amp;list=PLy_TpcUT2LZuLuV_ZdXi-Q84PGwjQ2GR3&amp;index=3</t>
  </si>
  <si>
    <t>Tổ Đội "1 Không 2" - Tập 12: Dương Lâm "gây thù chuốc oán" với Khả Như, Uyển Ân bị Anh Tú thao túng</t>
  </si>
  <si>
    <t>to doi 1 khong 2 tap 12 duong lam gay thu chuoc oan voi kha nhu uyen an bi anh tu thao tung</t>
  </si>
  <si>
    <t>PLy_TpcUT2LZuLuV_ZdXi-Q84PGwjQ2GR3</t>
  </si>
  <si>
    <t>2025-05-04T13:40:06.000Z</t>
  </si>
  <si>
    <t>2026-08-12T14:30:40.743835+07:00</t>
  </si>
  <si>
    <t>b3w6qu4GW44XrWW2G</t>
  </si>
  <si>
    <t>EqvdS6QJ2tA</t>
  </si>
  <si>
    <t>https://www.youtube.com/watch?v=EqvdS6QJ2tA&amp;list=PLy_TpcUT2LZuLuV_ZdXi-Q84PGwjQ2GR3&amp;index=4</t>
  </si>
  <si>
    <t>Tổ Đội "1 Không 2" - Tập 11: Quang Hùng MasterD lộ nét "gia trưởng", Dương Lâm luyện yoga trên không</t>
  </si>
  <si>
    <t>to doi 1 khong 2 tap 11 quang hung masterd lo net gia truong duong lam luyen yoga tren khong</t>
  </si>
  <si>
    <t>2025-04-27T13:40:06.000Z</t>
  </si>
  <si>
    <t>WBE7iNSkA10</t>
  </si>
  <si>
    <t>https://www.youtube.com/watch?v=WBE7iNSkA10&amp;list=PLy_TpcUT2LZuLuV_ZdXi-Q84PGwjQ2GR3&amp;index=9</t>
  </si>
  <si>
    <t>Tổ Đội "1 Không 2"-Tập 6: Quang Hùng MasterD flex sổ hồng "bắt dâu", Song Luân "tác động" Huỳnh Lập</t>
  </si>
  <si>
    <t>to doi 1 khong 2 tap 6 quang hung masterd flex so hong bat dau song luan tac dong huynh lap</t>
  </si>
  <si>
    <t>2025-03-23T13:40:06.000Z</t>
  </si>
  <si>
    <t>_7DygDmrWbU</t>
  </si>
  <si>
    <t>https://www.youtube.com/watch?v=_7DygDmrWbU&amp;list=PLy_TpcUT2LZuLuV_ZdXi-Q84PGwjQ2GR3&amp;index=14</t>
  </si>
  <si>
    <t>Tổ Đội "1 Không 2"-Tập 1: Dương Lâm-Kiều Minh Tuấn "tẩy trắng" thành công, RHYDER tranh cúp "mỏ hỗn"</t>
  </si>
  <si>
    <t>to doi 1 khong 2 tap 1 duong lam kieu minh tuan tay trang thanh cong rhyder tranh cup mo hon</t>
  </si>
  <si>
    <t>2025-02-16T13:40:06.000Z</t>
  </si>
  <si>
    <t>OoE9XCoaPxs</t>
  </si>
  <si>
    <t>https://www.youtube.com/watch?v=OoE9XCoaPxs&amp;list=PLy_TpcUT2LZuLuV_ZdXi-Q84PGwjQ2GR3&amp;index=8</t>
  </si>
  <si>
    <t>Tổ Đội "1 Không 2" -Tập 7: Song Luân dùng "tiểu xảo" hại đối thủ, Uyển Ân "đè đầu cưỡi cổ" Dương Lâm</t>
  </si>
  <si>
    <t>to doi 1 khong 2 tap 7 song luan dung tieu xao hai doi thu uyen an de dau cuoi co duong lam</t>
  </si>
  <si>
    <t>2025-03-30T13:40:06.000Z</t>
  </si>
  <si>
    <t>S5aVMO5klbE</t>
  </si>
  <si>
    <t>https://www.youtube.com/watch?v=S5aVMO5klbE&amp;list=PLy_TpcUT2LZuLuV_ZdXi-Q84PGwjQ2GR3&amp;index=5</t>
  </si>
  <si>
    <t>Tổ Đội "1 Không 2"-Tập 10: Dương Lâm chơi xấu bị "treo giò",Quang Hùng MasterD tháo chạy vì yêu quái</t>
  </si>
  <si>
    <t>to doi 1 khong 2 tap 10 duong lam choi xau bi treo gio quang hung masterd thao chay vi yeu quai</t>
  </si>
  <si>
    <t>2025-04-20T13:40:06.000Z</t>
  </si>
  <si>
    <t>bBzRlolOezQ</t>
  </si>
  <si>
    <t>https://www.youtube.com/watch?v=bBzRlolOezQ&amp;list=PLy_TpcUT2LZuLuV_ZdXi-Q84PGwjQ2GR3&amp;index=11</t>
  </si>
  <si>
    <t>Tổ Đội "1 Không 2"-Tập 4: Quang Hùng MasterD ăn combo đuối miếng - đuối nước, Thúy Ngân gặp báo thủ</t>
  </si>
  <si>
    <t>to doi 1 khong 2 tap 4 quang hung masterd an combo duoi mieng duoi nuoc thuy ngan gap bao thu</t>
  </si>
  <si>
    <t>2025-03-09T13:40:06.000Z</t>
  </si>
  <si>
    <t>7wdrAbiwreY</t>
  </si>
  <si>
    <t>https://www.youtube.com/watch?v=7wdrAbiwreY&amp;list=PLy_TpcUT2LZuLuV_ZdXi-Q84PGwjQ2GR3&amp;index=10</t>
  </si>
  <si>
    <t>Tổ Đội "1 Không 2"-Tập 5:Võ Tấn Phát bị "thảo khấu" Huỳnh Lập tấn công, Uyển Ân bị loại khỏi gia phả</t>
  </si>
  <si>
    <t>to doi 1 khong 2 tap 5 vo tan phat bi thao khau huynh lap tan cong uyen an bi loai khoi gia pha</t>
  </si>
  <si>
    <t>2025-03-16T13:40:06.000Z</t>
  </si>
  <si>
    <t>D1mLh72bcOw</t>
  </si>
  <si>
    <t>https://www.youtube.com/watch?v=D1mLh72bcOw&amp;list=PLy_TpcUT2LZuLuV_ZdXi-Q84PGwjQ2GR3&amp;index=12</t>
  </si>
  <si>
    <t>Tổ Đội "1 Không 2" - Tập 3: Quang Hùng MasterD cãi tay đôi Võ Tấn Phát, Dương Lâm "xử" tổng tài fake</t>
  </si>
  <si>
    <t>to doi 1 khong 2 tap 3 quang hung masterd cai tay doi vo tan phat duong lam xu tong tai fake</t>
  </si>
  <si>
    <t>2025-03-02T13:40:06.000Z</t>
  </si>
  <si>
    <t>kJh4ggVl4p0</t>
  </si>
  <si>
    <t>https://www.youtube.com/watch?v=kJh4ggVl4p0&amp;list=PLy_TpcUT2LZuLuV_ZdXi-Q84PGwjQ2GR3&amp;index=6</t>
  </si>
  <si>
    <t>Tổ Đội "1 Không 2"-Tập 9: Quang Hùng MasterD-Song Luân chọn lối đi riêng, Dương Lâm bị hại nằm ăn vạ</t>
  </si>
  <si>
    <t>to doi 1 khong 2 tap 9 quang hung masterd song luan chon loi di rieng duong lam bi hai nam an va</t>
  </si>
  <si>
    <t>2025-04-13T13:40:06.000Z</t>
  </si>
  <si>
    <t>wni4ExDuJIs</t>
  </si>
  <si>
    <t>https://www.youtube.com/watch?v=wni4ExDuJIs&amp;list=PLy_TpcUT2LZuLuV_ZdXi-Q84PGwjQ2GR3&amp;index=7</t>
  </si>
  <si>
    <t>Tổ Đội "1 Không 2" - Tập 8: Quang Hùng MasterD "bỏ bùa" khách mời, Dương Lâm hoá cô bảo mẫu</t>
  </si>
  <si>
    <t>to doi 1 khong 2 tap 8 quang hung masterd bo bua khach moi duong lam hoa co bao mau</t>
  </si>
  <si>
    <t>2025-04-06T13:40:06.000Z</t>
  </si>
  <si>
    <t>8Adf5rJJJvw</t>
  </si>
  <si>
    <t>https://www.youtube.com/watch?v=8Adf5rJJJvw&amp;list=PLy_TpcUT2LZuLuV_ZdXi-Q84PGwjQ2GR3&amp;index=13</t>
  </si>
  <si>
    <t>Tổ Đội "1 Không 2" - Tập 2: RHYDER "bầm dập" với Long Vương Dương Lâm, Võ Tấn Phát gặp cú sốc tâm lý</t>
  </si>
  <si>
    <t>to doi 1 khong 2 tap 2 rhyder bam dap voi long vuong duong lam vo tan phat gap cu soc tam ly</t>
  </si>
  <si>
    <t>2025-02-23T13:40:06.000Z</t>
  </si>
  <si>
    <t>d721NlVjqqM</t>
  </si>
  <si>
    <t>https://www.youtube.com/watch?v=d721NlVjqqM&amp;list=PLy_TpcUT2LZuLuV_ZdXi-Q84PGwjQ2GR3&amp;index=1</t>
  </si>
  <si>
    <t>Tổ Đội "1 Không 2" - Recap: Quang Hùng MasterD nhảy số cực nhanh, Song Luân - Uyển Ân "lên thuyền"</t>
  </si>
  <si>
    <t>to doi 1 khong 2 recap quang hung masterd nhay so cuc nhanh song luan uyen an len thuyen</t>
  </si>
  <si>
    <t>2025-05-11T13:40:06.000Z</t>
  </si>
  <si>
    <t>https://www.youtube.com/watch?v=2V20IKyMqnM&amp;list=PLy_TpcUT2LZuLuV_ZdXi-Q84PGwjQ2GR3&amp;index=2</t>
  </si>
  <si>
    <t>BTST</t>
  </si>
  <si>
    <t>Bậc Thầy Săn Thưởng</t>
  </si>
  <si>
    <t>BTST_2024</t>
  </si>
  <si>
    <t>PP742UMK7_Y</t>
  </si>
  <si>
    <t>https://www.youtube.com/watch?v=PP742UMK7_Y&amp;list=PLC_d5n_vB0CrecgNHLjt6kxEMlZDeBqp5&amp;index=1</t>
  </si>
  <si>
    <t>Nghi vấn BB Trần là người yêu cũ Diệp Lâm Anh, đằng gái hận cay đắng đằng trai l Bậc thầy săn thưởng</t>
  </si>
  <si>
    <t>nghi van bb tran la nguoi yeu cu diep lam anh dang gai han cay dang dang trai l bac thay san thuong</t>
  </si>
  <si>
    <t>PLC_d5n_vB0CrecgNHLjt6kxEMlZDeBqp5</t>
  </si>
  <si>
    <t>2025-01-07T05:00:16.000Z</t>
  </si>
  <si>
    <t>2026-08-12T14:31:50.876661+07:00</t>
  </si>
  <si>
    <t>RuyvrBx2cGunHUpgB</t>
  </si>
  <si>
    <t>80bJrL_YESU</t>
  </si>
  <si>
    <t>https://www.youtube.com/watch?v=80bJrL_YESU&amp;list=PLC_d5n_vB0CrecgNHLjt6kxEMlZDeBqp5&amp;index=16</t>
  </si>
  <si>
    <t>Trường Giang “gừng càng già càng cay” đấu trận cầu lông kịch tính với Huỳnh Lậpl Bậc thầy săn thưởng</t>
  </si>
  <si>
    <t>truong giang gung cang gia cang cay dau tran cau long kich tinh voi huynh lapl bac thay san thuong</t>
  </si>
  <si>
    <t>2024-12-16T04:45:00.000Z</t>
  </si>
  <si>
    <t>f0SR_qXV9DE</t>
  </si>
  <si>
    <t>https://www.youtube.com/watch?v=f0SR_qXV9DE&amp;list=PLC_d5n_vB0CrecgNHLjt6kxEMlZDeBqp5&amp;index=2</t>
  </si>
  <si>
    <t>"Chị đại" Lâm Vỹ Dạ cũng phải TẮT ĐIỆN trước "chị đại" Diệp Lâm Anh l Bậc thầy săn thưởng</t>
  </si>
  <si>
    <t>chi dai lam vy da cung phai tat dien truoc chi dai diep lam anh l bac thay san thuong</t>
  </si>
  <si>
    <t>2025-01-06T14:00:41.000Z</t>
  </si>
  <si>
    <t>BVuOXMEulDs</t>
  </si>
  <si>
    <t>https://www.youtube.com/watch?v=BVuOXMEulDs&amp;list=PLC_d5n_vB0CrecgNHLjt6kxEMlZDeBqp5&amp;index=15</t>
  </si>
  <si>
    <t>Sự dễ thương của Trường Giang khiến dàn cast phẫn nộ vì... MẤT ĂN l Bậc thầy săn thưởng</t>
  </si>
  <si>
    <t>su de thuong cua truong giang khien dan cast phan no vi mat an l bac thay san thuong</t>
  </si>
  <si>
    <t>2024-12-17T04:30:09.000Z</t>
  </si>
  <si>
    <t>RSiXcC3T78Y</t>
  </si>
  <si>
    <t>https://www.youtube.com/watch?v=RSiXcC3T78Y&amp;list=PLC_d5n_vB0CrecgNHLjt6kxEMlZDeBqp5&amp;index=13</t>
  </si>
  <si>
    <t>Huỳnh Lập chịu nhiều oan ức &amp; cát kết trắng tay! l Bậc thầy săn thưởng</t>
  </si>
  <si>
    <t>huynh lap chiu nhieu oan uc cat ket trang tay l bac thay san thuong</t>
  </si>
  <si>
    <t>2024-12-18T13:00:35.000Z</t>
  </si>
  <si>
    <t>gR648bqA9d8</t>
  </si>
  <si>
    <t>https://www.youtube.com/watch?v=gR648bqA9d8&amp;list=PLC_d5n_vB0CrecgNHLjt6kxEMlZDeBqp5&amp;index=17</t>
  </si>
  <si>
    <t>Thùy Tiên PHẢN BỘI MisThy, LỪA Lâm Vỹ Dạ TIN SÁI CỔ l Bậc thầy săn thưởng</t>
  </si>
  <si>
    <t>thuy tien phan boi misthy lua lam vy da tin sai co l bac thay san thuong</t>
  </si>
  <si>
    <t>2024-12-15T04:45:04.000Z</t>
  </si>
  <si>
    <t>fvinjst4bqU</t>
  </si>
  <si>
    <t>https://www.youtube.com/watch?v=fvinjst4bqU&amp;list=PLC_d5n_vB0CrecgNHLjt6kxEMlZDeBqp5&amp;index=7</t>
  </si>
  <si>
    <t>ỤP CROWN trao 50 TRIỆU cho Quốc Bảo - Châu Đốc - An Giang l BB Trần MÃI KEO l Bậc thầy săn thưởng</t>
  </si>
  <si>
    <t>up crown trao 50 trieu cho quoc bao chau doc an giang l bb tran mai keo l bac thay san thuong</t>
  </si>
  <si>
    <t>2024-12-24T13:30:32.000Z</t>
  </si>
  <si>
    <t>WINVWJaBHro</t>
  </si>
  <si>
    <t>https://www.youtube.com/watch?v=WINVWJaBHro&amp;list=PLC_d5n_vB0CrecgNHLjt6kxEMlZDeBqp5&amp;index=6</t>
  </si>
  <si>
    <t>1 ngày làm diễn viên cùng BB Trần l Lâm Vỹ Dạ, Quang Trung... OUT TRÌNH l Bậc thầy săn thưởng</t>
  </si>
  <si>
    <t>1 ngay lam dien vien cung bb tran l lam vy da quang trung out trinh l bac thay san thuong</t>
  </si>
  <si>
    <t>2024-12-25T13:30:19.000Z</t>
  </si>
  <si>
    <t>YCFATEDMe0Y</t>
  </si>
  <si>
    <t>https://www.youtube.com/watch?v=YCFATEDMe0Y&amp;list=PLC_d5n_vB0CrecgNHLjt6kxEMlZDeBqp5&amp;index=23</t>
  </si>
  <si>
    <t>BẬT CƯỜI lý do 'CHIẾC MỎ HỖN' của MisThy l Bậc thầy săn thưởng</t>
  </si>
  <si>
    <t>bat cuoi ly do chiec mo hon cua misthy l bac thay san thuong</t>
  </si>
  <si>
    <t>2024-12-07T04:30:21.000Z</t>
  </si>
  <si>
    <t>nJK6OXKf-xw</t>
  </si>
  <si>
    <t>https://www.youtube.com/watch?v=nJK6OXKf-xw&amp;list=PLC_d5n_vB0CrecgNHLjt6kxEMlZDeBqp5&amp;index=22</t>
  </si>
  <si>
    <t>Trường Giang CHƠI ĂN GIAN , Tiểu Vy UẤT ỨC l Quang Trung &amp; L.V. Dạ LỪA nhau l Bậc thầy săn thưởng</t>
  </si>
  <si>
    <t>truong giang choi an gian tieu vy uat uc l quang trung l v da lua nhau l bac thay san thuong</t>
  </si>
  <si>
    <t>2024-12-08T13:00:57.000Z</t>
  </si>
  <si>
    <t>qlizmTf8Ims</t>
  </si>
  <si>
    <t>https://www.youtube.com/watch?v=qlizmTf8Ims&amp;list=PLC_d5n_vB0CrecgNHLjt6kxEMlZDeBqp5&amp;index=19</t>
  </si>
  <si>
    <t>TIỆC TRỨNG SỐNG: Trường Giang GÀI BẪY Tiểu Vy, BB Trần gội đầu bằng lòng trắng trứng</t>
  </si>
  <si>
    <t>tiec trung song truong giang gai bay tieu vy bb tran goi dau bang long trang trung</t>
  </si>
  <si>
    <t>2024-12-10T05:00:38.000Z</t>
  </si>
  <si>
    <t>OX0Dfg19F8A</t>
  </si>
  <si>
    <t>https://www.youtube.com/watch?v=OX0Dfg19F8A&amp;list=PLC_d5n_vB0CrecgNHLjt6kxEMlZDeBqp5&amp;index=8</t>
  </si>
  <si>
    <t>Lâm Vỹ Dạ đối mặt áp lực kinh tế, chồng Hứa Minh Đạt hội tụ đủ mong muốn của vợ? l BTST</t>
  </si>
  <si>
    <t>lam vy da doi mat ap luc kinh te chong hua minh dat hoi tu du mong muon cua vo l btst</t>
  </si>
  <si>
    <t>2024-12-24T04:30:11.000Z</t>
  </si>
  <si>
    <t>AhQCwZUP9jU</t>
  </si>
  <si>
    <t>https://www.youtube.com/watch?v=AhQCwZUP9jU&amp;list=PLC_d5n_vB0CrecgNHLjt6kxEMlZDeBqp5&amp;index=21</t>
  </si>
  <si>
    <t>Toàn cảnh Mie lấy được 50 TRIỆU ĐỒNG, Trường Giang SỐC l Bậc thầy săn thưởng</t>
  </si>
  <si>
    <t>toan canh mie lay duoc 50 trieu dong truong giang soc l bac thay san thuong</t>
  </si>
  <si>
    <t>2024-12-08T13:30:06.000Z</t>
  </si>
  <si>
    <t>MH8kC4TkLdg</t>
  </si>
  <si>
    <t>https://www.youtube.com/watch?v=MH8kC4TkLdg&amp;list=PLC_d5n_vB0CrecgNHLjt6kxEMlZDeBqp5&amp;index=24</t>
  </si>
  <si>
    <t>KHÔNG LÊN SÓNG l GAY CẤN màn truy tìm danh tính người moi ruột gà bông l Bậc thầy săn thưởng</t>
  </si>
  <si>
    <t>khong len song l gay can man truy tim danh tinh nguoi moi ruot ga bong l bac thay san thuong</t>
  </si>
  <si>
    <t>2024-12-06T13:30:19.000Z</t>
  </si>
  <si>
    <t>IvML5sENZDw</t>
  </si>
  <si>
    <t>https://www.youtube.com/watch?v=IvML5sENZDw&amp;list=PLC_d5n_vB0CrecgNHLjt6kxEMlZDeBqp5&amp;index=9</t>
  </si>
  <si>
    <t>CƯỜI ĐAU RUỘT xem Trường Giang, BB Trần, Lâm Vỹ Dạ, Quang Trung... chơi TAM SAO THẤT BẢN l BTST</t>
  </si>
  <si>
    <t>cuoi dau ruot xem truong giang bb tran lam vy da quang trung choi tam sao that ban l btst</t>
  </si>
  <si>
    <t>2024-12-23T13:15:01.000Z</t>
  </si>
  <si>
    <t>uUlqXrUCvq4</t>
  </si>
  <si>
    <t>https://www.youtube.com/watch?v=uUlqXrUCvq4&amp;list=PLC_d5n_vB0CrecgNHLjt6kxEMlZDeBqp5&amp;index=5</t>
  </si>
  <si>
    <t>Trường Giang kể 1001 CHUYỆN MA RÙNG RỢN l Sinh nhật đáng nhớ của BB Trần l Bậc thầy săn thưởng</t>
  </si>
  <si>
    <t>truong giang ke 1001 chuyen ma rung ron l sinh nhat dang nho cua bb tran l bac thay san thuong</t>
  </si>
  <si>
    <t>2024-12-29T04:00:27.000Z</t>
  </si>
  <si>
    <t>5ytoDPH1pTA</t>
  </si>
  <si>
    <t>https://www.youtube.com/watch?v=5ytoDPH1pTA&amp;list=PLC_d5n_vB0CrecgNHLjt6kxEMlZDeBqp5&amp;index=20</t>
  </si>
  <si>
    <t>Lâm Vỹ Dạ bị tất cả QUAY LƯNG, may còn có BB Trần l Bậc thầy săn thưởng</t>
  </si>
  <si>
    <t>lam vy da bi tat ca quay lung may con co bb tran l bac thay san thuong</t>
  </si>
  <si>
    <t>2024-12-09T13:30:03.000Z</t>
  </si>
  <si>
    <t>lqHG6-0emrg</t>
  </si>
  <si>
    <t>https://www.youtube.com/watch?v=lqHG6-0emrg&amp;list=PLC_d5n_vB0CrecgNHLjt6kxEMlZDeBqp5&amp;index=29</t>
  </si>
  <si>
    <t>KHÔNG LÊN SÓNG l CƯỜI XỈU màn đấu giá món ăn của BB Trần, L.V. Dạ l Bậc thầy săn thưởng</t>
  </si>
  <si>
    <t>khong len song l cuoi xiu man dau gia mon an cua bb tran l v da l bac thay san thuong</t>
  </si>
  <si>
    <t>2024-12-02T14:00:46.000Z</t>
  </si>
  <si>
    <t>xpBEVHT4QNw</t>
  </si>
  <si>
    <t>https://www.youtube.com/watch?v=xpBEVHT4QNw&amp;list=PLC_d5n_vB0CrecgNHLjt6kxEMlZDeBqp5&amp;index=28</t>
  </si>
  <si>
    <t>Trường Giang CỰC GẮT khi Lâm Vỹ Dạ chơi THÔ BẠO với Mạc Văn Khoa l Bậc thầy săn thưởng</t>
  </si>
  <si>
    <t>truong giang cuc gat khi lam vy da choi tho bao voi mac van khoa l bac thay san thuong</t>
  </si>
  <si>
    <t>2024-12-03T04:30:33.000Z</t>
  </si>
  <si>
    <t>r8QPtGvZ4J8</t>
  </si>
  <si>
    <t>https://www.youtube.com/watch?v=r8QPtGvZ4J8&amp;list=PLC_d5n_vB0CrecgNHLjt6kxEMlZDeBqp5&amp;index=31</t>
  </si>
  <si>
    <t>Trường Giang XỬ ĐẸP Lâm Vỹ Dạ, kể BÍ MẬT ĐEN TỐI của đàn em l Xem trước Tập 6 Bậc thầy săn thưởng</t>
  </si>
  <si>
    <t>truong giang xu dep lam vy da ke bi mat den toi cua dan em l xem truoc tap 6 bac thay san thuong</t>
  </si>
  <si>
    <t>2024-12-01T12:30:47.000Z</t>
  </si>
  <si>
    <t>y63pDv2-4gs</t>
  </si>
  <si>
    <t>https://www.youtube.com/watch?v=y63pDv2-4gs&amp;list=PLC_d5n_vB0CrecgNHLjt6kxEMlZDeBqp5&amp;index=32</t>
  </si>
  <si>
    <t>Những tình huống HÀI HƯỚC NHẤT của Trường Giang, Lâm Vỹ Dạ... tại Bậc thầy săn thưởng</t>
  </si>
  <si>
    <t>nhung tinh huong hai huoc nhat cua truong giang lam vy da tai bac thay san thuong</t>
  </si>
  <si>
    <t>2024-12-01T04:30:27.000Z</t>
  </si>
  <si>
    <t>vMnPu5O-khE</t>
  </si>
  <si>
    <t>https://www.youtube.com/watch?v=vMnPu5O-khE&amp;list=PLC_d5n_vB0CrecgNHLjt6kxEMlZDeBqp5&amp;index=37</t>
  </si>
  <si>
    <t>HẬU TRƯỜNG Bậc thầy săn thưởng l Lâm Vỹ Dạ dỗi luôn ekip, gian nan đi tìm kho báu</t>
  </si>
  <si>
    <t>hau truong bac thay san thuong l lam vy da doi luon ekip gian nan di tim kho bau</t>
  </si>
  <si>
    <t>2024-11-26T13:01:11.000Z</t>
  </si>
  <si>
    <t>hau truong</t>
  </si>
  <si>
    <t>hard_exclusion:hau truong</t>
  </si>
  <si>
    <t>Rm25QCmUC2s</t>
  </si>
  <si>
    <t>https://www.youtube.com/watch?v=Rm25QCmUC2s&amp;list=PLC_d5n_vB0CrecgNHLjt6kxEMlZDeBqp5&amp;index=35</t>
  </si>
  <si>
    <t>Khi Hoa hậu Thùy Tiên chơi gameshow cũng CHƠI DƠ như thường l Bậc thầy săn thưởng</t>
  </si>
  <si>
    <t>khi hoa hau thuy tien choi gameshow cung choi do nhu thuong l bac thay san thuong</t>
  </si>
  <si>
    <t>2024-11-28T04:00:14.000Z</t>
  </si>
  <si>
    <t>dlRTlkEiPEg</t>
  </si>
  <si>
    <t>https://www.youtube.com/watch?v=dlRTlkEiPEg&amp;list=PLC_d5n_vB0CrecgNHLjt6kxEMlZDeBqp5&amp;index=27</t>
  </si>
  <si>
    <t>ẤM ÁP như Thùy Tiên - Dành hết 100 triệu tiền thưởng cho dự án dành cho trẻ em l Bậc thầy săn thưởng</t>
  </si>
  <si>
    <t>am ap nhu thuy tien danh het 100 trieu tien thuong cho du an danh cho tre em l bac thay san thuong</t>
  </si>
  <si>
    <t>2024-12-03T13:00:46.000Z</t>
  </si>
  <si>
    <t>7U91gHcDMGg</t>
  </si>
  <si>
    <t>https://www.youtube.com/watch?v=7U91gHcDMGg&amp;list=PLC_d5n_vB0CrecgNHLjt6kxEMlZDeBqp5&amp;index=36</t>
  </si>
  <si>
    <t>Hoa hậu Thùy Tiên khi HẸN HÒ cũng TÁO BẠO thế này!!! l Bậc thầy săn thưởng</t>
  </si>
  <si>
    <t>hoa hau thuy tien khi hen ho cung tao bao the nay l bac thay san thuong</t>
  </si>
  <si>
    <t>2024-11-27T04:00:04.000Z</t>
  </si>
  <si>
    <t>LQKWnlKOocI</t>
  </si>
  <si>
    <t>https://www.youtube.com/watch?v=LQKWnlKOocI&amp;list=PLC_d5n_vB0CrecgNHLjt6kxEMlZDeBqp5&amp;index=14</t>
  </si>
  <si>
    <t>'Sang bên cồn' xin cơm, BB Trần &amp; Huỳnh Lập khiến giang hồ phải gọi bằng cụ l Bậc thầy săn thưởng</t>
  </si>
  <si>
    <t>sang ben con xin com bb tran huynh lap khien giang ho phai goi bang cu l bac thay san thuong</t>
  </si>
  <si>
    <t>2024-12-17T13:30:14.000Z</t>
  </si>
  <si>
    <t>M6Z8JXw4_NE</t>
  </si>
  <si>
    <t>https://www.youtube.com/watch?v=M6Z8JXw4_NE&amp;list=PLC_d5n_vB0CrecgNHLjt6kxEMlZDeBqp5&amp;index=33</t>
  </si>
  <si>
    <t>'Thánh chơi dơ' BB Trần tái xuất với 3 lần CHƠI DƠ hết hồn l Bậc thầy săn thưởng</t>
  </si>
  <si>
    <t>thanh choi do bb tran tai xuat voi 3 lan choi do het hon l bac thay san thuong</t>
  </si>
  <si>
    <t>2024-11-29T14:00:30.000Z</t>
  </si>
  <si>
    <t>3iwnOfTiFMg</t>
  </si>
  <si>
    <t>https://www.youtube.com/watch?v=3iwnOfTiFMg&amp;list=PLC_d5n_vB0CrecgNHLjt6kxEMlZDeBqp5&amp;index=18</t>
  </si>
  <si>
    <t>Chơi đập chai nước vào đầu: Lâm Vỹ Dạ NO ĐÒN, Trường Giang CƯỜI HẢ HÊ l Bậc thầy săn thưởng</t>
  </si>
  <si>
    <t>choi dap chai nuoc vao dau lam vy da no don truong giang cuoi ha he l bac thay san thuong</t>
  </si>
  <si>
    <t>2024-12-11T13:30:02.000Z</t>
  </si>
  <si>
    <t>J_hLH9khdqo</t>
  </si>
  <si>
    <t>https://www.youtube.com/watch?v=J_hLH9khdqo&amp;list=PLC_d5n_vB0CrecgNHLjt6kxEMlZDeBqp5&amp;index=12</t>
  </si>
  <si>
    <t>Anh em ChunLa - Quang Trung &amp; Huỳnh Lập tái hợp, biểu hiện làm fan phấn khích l Bậc thầy săn thưởng</t>
  </si>
  <si>
    <t>anh em chunla quang trung huynh lap tai hop bieu hien lam fan phan khich l bac thay san thuong</t>
  </si>
  <si>
    <t>2024-12-21T13:30:10.000Z</t>
  </si>
  <si>
    <t>zgG-fyhzaRc</t>
  </si>
  <si>
    <t>https://www.youtube.com/watch?v=zgG-fyhzaRc&amp;list=PLC_d5n_vB0CrecgNHLjt6kxEMlZDeBqp5&amp;index=26</t>
  </si>
  <si>
    <t>BB Trần, Quang Trung CHƠI DƠ - CƯỚP ĐỒ Huỳnh Lập, bị đạo diễn CẢNH CÁO l Bậc thầy săn thưởng</t>
  </si>
  <si>
    <t>bb tran quang trung choi do cuop do huynh lap bi dao dien canh cao l bac thay san thuong</t>
  </si>
  <si>
    <t>2024-12-04T13:30:40.000Z</t>
  </si>
  <si>
    <t>D0OPDAHfFJk</t>
  </si>
  <si>
    <t>https://www.youtube.com/watch?v=D0OPDAHfFJk&amp;list=PLC_d5n_vB0CrecgNHLjt6kxEMlZDeBqp5&amp;index=25</t>
  </si>
  <si>
    <t>BẬC THẦY SĂN THƯỞNG TRAILER TẬP 7 l Trường Giang tiết lộ con gái lớn GÂY SỐC l Tiểu Vy LẠC LỐI</t>
  </si>
  <si>
    <t>bac thay san thuong trailer tap 7 l truong giang tiet lo con gai lon gay soc l tieu vy lac loi</t>
  </si>
  <si>
    <t>2024-12-05T14:00:16.000Z</t>
  </si>
  <si>
    <t>NqPi2L3VPPE</t>
  </si>
  <si>
    <t>https://www.youtube.com/watch?v=NqPi2L3VPPE&amp;list=PLC_d5n_vB0CrecgNHLjt6kxEMlZDeBqp5&amp;index=4</t>
  </si>
  <si>
    <t>Lâm Vỹ Dạ &amp; Huỳnh Lập mâu thuẫn chỉ vì 1 trò chơi: Sai 1 ly đi 1 dặm là đây! l Bậc thầy săn thưởng</t>
  </si>
  <si>
    <t>lam vy da huynh lap mau thuan chi vi 1 tro choi sai 1 ly di 1 dam la day l bac thay san thuong</t>
  </si>
  <si>
    <t>2024-12-31T04:30:09.000Z</t>
  </si>
  <si>
    <t>FWBrDS4SO8o</t>
  </si>
  <si>
    <t>https://www.youtube.com/watch?v=FWBrDS4SO8o&amp;list=PLC_d5n_vB0CrecgNHLjt6kxEMlZDeBqp5&amp;index=3</t>
  </si>
  <si>
    <t>Lâm Vỹ Dạ được khán giả U80 khen trẻ, mẹ 2 con CƯỜI TÍT MẮT l Bậc thầy săn thưởng</t>
  </si>
  <si>
    <t>lam vy da duoc khan gia u80 khen tre me 2 con cuoi tit mat l bac thay san thuong</t>
  </si>
  <si>
    <t>2025-01-06T08:30:10.000Z</t>
  </si>
  <si>
    <t>rgMJqqTa7rU</t>
  </si>
  <si>
    <t>https://www.youtube.com/watch?v=rgMJqqTa7rU&amp;list=PLC_d5n_vB0CrecgNHLjt6kxEMlZDeBqp5&amp;index=10</t>
  </si>
  <si>
    <t>Trường Giang hay bị vợ chửi? l Bậc thầy săn thưởng</t>
  </si>
  <si>
    <t>truong giang hay bi vo chui l bac thay san thuong</t>
  </si>
  <si>
    <t>2024-12-22T13:00:55.000Z</t>
  </si>
  <si>
    <t>JBjviLEPJhM</t>
  </si>
  <si>
    <t>https://www.youtube.com/watch?v=JBjviLEPJhM&amp;list=PLC_d5n_vB0CrecgNHLjt6kxEMlZDeBqp5&amp;index=34</t>
  </si>
  <si>
    <t>TRAILER TẬP 6 BẬC THẦY SĂN THƯỞNG l Lâm Vỹ Dạ có KHO BÁU? l Huỳnh Lập SỐC NẶNG</t>
  </si>
  <si>
    <t>trailer tap 6 bac thay san thuong l lam vy da co kho bau l huynh lap soc nang</t>
  </si>
  <si>
    <t>2024-11-28T14:00:16.000Z</t>
  </si>
  <si>
    <t>mWA9ZP5Djss</t>
  </si>
  <si>
    <t>https://www.youtube.com/watch?v=mWA9ZP5Djss&amp;list=PLC_d5n_vB0CrecgNHLjt6kxEMlZDeBqp5&amp;index=11</t>
  </si>
  <si>
    <t>5 phút CHOÁNG VÁNG với CHIẾC MỎ HỖN của Quang Trung l Bậc thầy săn thưởng</t>
  </si>
  <si>
    <t>5 phut choang vang voi chiec mo hon cua quang trung l bac thay san thuong</t>
  </si>
  <si>
    <t>2024-12-22T04:30:22.000Z</t>
  </si>
  <si>
    <t>UAtOnWqNOGI</t>
  </si>
  <si>
    <t>https://www.youtube.com/watch?v=UAtOnWqNOGI&amp;list=PLC_d5n_vB0CrecgNHLjt6kxEMlZDeBqp5&amp;index=30</t>
  </si>
  <si>
    <t>Thùy Tiên DIỄN SÂU nhưng KHÔNG THỂ QUA MẮT được Trường Giang l Bậc thầy săn thưởng</t>
  </si>
  <si>
    <t>thuy tien dien sau nhung khong the qua mat duoc truong giang l bac thay san thuong</t>
  </si>
  <si>
    <t>2024-12-02T04:56:19.000Z</t>
  </si>
  <si>
    <t>HTRR</t>
  </si>
  <si>
    <t>Hành Trình Rực Rỡ</t>
  </si>
  <si>
    <t>HTRR_2023</t>
  </si>
  <si>
    <t>xIR779iAjvg</t>
  </si>
  <si>
    <t>https://www.youtube.com/watch?v=xIR779iAjvg&amp;list=PLy_TpcUT2LZtT4YxNqO277e2zk-7oUS_6&amp;index=16</t>
  </si>
  <si>
    <t>Hành Trình Rực Rỡ | Tập 17: Dương Lâm,Negav mở liveshow trên Chợ nổi,Tiểu Vy quyết loại Trường Giang</t>
  </si>
  <si>
    <t>hanh trinh ruc ro tap 17 duong lam negav mo liveshow tren cho noi tieu vy quyet loai truong giang</t>
  </si>
  <si>
    <t>PLy_TpcUT2LZtT4YxNqO277e2zk-7oUS_6</t>
  </si>
  <si>
    <t>2023-09-17T14:20:07.000Z</t>
  </si>
  <si>
    <t>2026-08-12T14:33:16.956174+07:00</t>
  </si>
  <si>
    <t>fZJqqNNZLJailjQ7N</t>
  </si>
  <si>
    <t>IyKYci8EkRQ</t>
  </si>
  <si>
    <t>https://www.youtube.com/watch?v=IyKYci8EkRQ&amp;list=PLy_TpcUT2LZtT4YxNqO277e2zk-7oUS_6&amp;index=12</t>
  </si>
  <si>
    <t>Hành Trình Rực Rỡ | Tập 21: Bích Phương bật khóc "vỡ mộng" bản thân, Trường Giang "công nhận" Negav</t>
  </si>
  <si>
    <t>hanh trinh ruc ro tap 21 bich phuong bat khoc vo mong ban than truong giang cong nhan negav</t>
  </si>
  <si>
    <t>2023-10-15T14:20:12.000Z</t>
  </si>
  <si>
    <t>D5CwUO6tdMM</t>
  </si>
  <si>
    <t>https://www.youtube.com/watch?v=D5CwUO6tdMM&amp;list=PLy_TpcUT2LZtT4YxNqO277e2zk-7oUS_6&amp;index=9</t>
  </si>
  <si>
    <t>Hành Trình Rực Rỡ | UNCUT 2: Dương Lâm, Đức Phúc tung MV, Trường Giang, Cris Phan hơn thua tiểu phẩm</t>
  </si>
  <si>
    <t>hanh trinh ruc ro uncut 2 duong lam duc phuc tung mv truong giang cris phan hon thua tieu pham</t>
  </si>
  <si>
    <t>2023-11-17T13:30:05.000Z</t>
  </si>
  <si>
    <t>o2uqHX9YtFE</t>
  </si>
  <si>
    <t>https://www.youtube.com/watch?v=o2uqHX9YtFE&amp;list=PLy_TpcUT2LZtT4YxNqO277e2zk-7oUS_6&amp;index=14</t>
  </si>
  <si>
    <t>Hành Trình Rực Rỡ | Tập 19: Trường Giang nhận Negav làm "con gái",Dương Lâm ảo thuật ở Đêm Trăng Rằm</t>
  </si>
  <si>
    <t>hanh trinh ruc ro tap 19 truong giang nhan negav lam con gai duong lam ao thuat o dem trang ram</t>
  </si>
  <si>
    <t>2023-10-01T14:20:12.000Z</t>
  </si>
  <si>
    <t>8DNMXPhvwz0</t>
  </si>
  <si>
    <t>https://www.youtube.com/watch?v=8DNMXPhvwz0&amp;list=PLy_TpcUT2LZtT4YxNqO277e2zk-7oUS_6&amp;index=8</t>
  </si>
  <si>
    <t>Hành Trình Rực Rỡ | UNCUT 3:Puka, Lâm Vỹ Dạ "bất bình" chuyến xe content,Đức Phúc học "hư" Dương Lâm</t>
  </si>
  <si>
    <t>hanh trinh ruc ro uncut 3 puka lam vy da bat binh chuyen xe content duc phuc hoc hu duong lam</t>
  </si>
  <si>
    <t>2023-11-24T13:30:02.000Z</t>
  </si>
  <si>
    <t>R7tPxjhsdwE</t>
  </si>
  <si>
    <t>https://www.youtube.com/watch?v=R7tPxjhsdwE&amp;list=PLy_TpcUT2LZtT4YxNqO277e2zk-7oUS_6&amp;index=20</t>
  </si>
  <si>
    <t>Hành Trình Rực Rỡ | Tập 13: Dương Lâm uất hận ném bùn S.T, Khả Như sốc với danh tính của người bí ẩn</t>
  </si>
  <si>
    <t>hanh trinh ruc ro tap 13 duong lam uat han nem bun s t kha nhu soc voi danh tinh cua nguoi bi an</t>
  </si>
  <si>
    <t>2023-08-20T14:20:09.000Z</t>
  </si>
  <si>
    <t>6sUTRygdhZ8</t>
  </si>
  <si>
    <t>https://www.youtube.com/watch?v=6sUTRygdhZ8&amp;list=PLy_TpcUT2LZtT4YxNqO277e2zk-7oUS_6&amp;index=22</t>
  </si>
  <si>
    <t>Hành Trình Rực Rỡ | Tập 11: Dương Lâm, ST Sơn Thạch hóa mỹ nhân ngư, Isaac "đấu rap" với Bích Phương</t>
  </si>
  <si>
    <t>hanh trinh ruc ro tap 11 duong lam st son thach hoa my nhan ngu isaac dau rap voi bich phuong</t>
  </si>
  <si>
    <t>2023-08-06T14:20:09.000Z</t>
  </si>
  <si>
    <t>L0ZZG3L3C_s</t>
  </si>
  <si>
    <t>https://www.youtube.com/watch?v=L0ZZG3L3C_s&amp;list=PLy_TpcUT2LZtT4YxNqO277e2zk-7oUS_6&amp;index=21</t>
  </si>
  <si>
    <t>Hành Trình Rực Rỡ | Tập 12: Dương Lâm múa lửa hoá rồng, Thuý Ngân te tua vì bị tung chiêu boxing</t>
  </si>
  <si>
    <t>hanh trinh ruc ro tap 12 duong lam mua lua hoa rong thuy ngan te tua vi bi tung chieu boxing</t>
  </si>
  <si>
    <t>2023-08-13T14:20:11.000Z</t>
  </si>
  <si>
    <t>https://www.youtube.com/watch?v=-MpeXAZWEpM&amp;list=PLy_TpcUT2LZtT4YxNqO277e2zk-7oUS_6&amp;index=26</t>
  </si>
  <si>
    <t>Hành Trình Rực Rỡ | Tập 7: Lâm Vỹ Dạ thăng hoa với "Nửa Đời Hương Phấn", Puka, Gin nhận nhiệm vụ khó</t>
  </si>
  <si>
    <t>hanh trinh ruc ro tap 7 lam vy da thang hoa voi nua doi huong phan puka gin nhan nhiem vu kho</t>
  </si>
  <si>
    <t>2023-07-09T14:20:11.000Z</t>
  </si>
  <si>
    <t>https://www.youtube.com/watch?v=-pAxDFjMapA&amp;list=PLy_TpcUT2LZtT4YxNqO277e2zk-7oUS_6&amp;index=24</t>
  </si>
  <si>
    <t>Hành Trình Rực Rỡ | Tập 9: Isaac bất ngờ hôn Bích Phương, Cris tái hiện cú "vô lê",cà khịa Dương Lâm</t>
  </si>
  <si>
    <t>hanh trinh ruc ro tap 9 isaac bat ngo hon bich phuong cris tai hien cu vo le ca khia duong lam</t>
  </si>
  <si>
    <t>2023-07-23T14:20:07.000Z</t>
  </si>
  <si>
    <t>POPlHErWomk</t>
  </si>
  <si>
    <t>https://www.youtube.com/watch?v=POPlHErWomk&amp;list=PLy_TpcUT2LZtT4YxNqO277e2zk-7oUS_6&amp;index=23</t>
  </si>
  <si>
    <t>Hành Trình Rực Rỡ | Tập 10:Đức Phúc gia nhập hội chơi dơ, Dương Lâm flexing cử tạ, bức xúc vì bị phũ</t>
  </si>
  <si>
    <t>hanh trinh ruc ro tap 10 duc phuc gia nhap hoi choi do duong lam flexing cu ta buc xuc vi bi phu</t>
  </si>
  <si>
    <t>2023-07-30T14:20:11.000Z</t>
  </si>
  <si>
    <t>_pHriBTJ4hs</t>
  </si>
  <si>
    <t>https://www.youtube.com/watch?v=_pHriBTJ4hs&amp;list=PLy_TpcUT2LZtT4YxNqO277e2zk-7oUS_6&amp;index=19</t>
  </si>
  <si>
    <t>Hành Trình Rực Rỡ | Tập 14: Negav trải lòng về dàn cast,Dương Lâm, Isaac hơn thua "trầy da tróc vẩy"</t>
  </si>
  <si>
    <t>hanh trinh ruc ro tap 14 negav trai long ve dan cast duong lam isaac hon thua tray da troc vay</t>
  </si>
  <si>
    <t>2023-08-27T14:20:11.000Z</t>
  </si>
  <si>
    <t>VHYpCe7i3ks</t>
  </si>
  <si>
    <t>https://www.youtube.com/watch?v=VHYpCe7i3ks&amp;list=PLy_TpcUT2LZtT4YxNqO277e2zk-7oUS_6&amp;index=13</t>
  </si>
  <si>
    <t>Hành Trình Rực Rỡ | Tập 20: Dương Lâm "thở gấp" chinh phục đỉnh Fansipan, Trường Giang "hại" Negav</t>
  </si>
  <si>
    <t>hanh trinh ruc ro tap 20 duong lam tho gap chinh phuc dinh fansipan truong giang hai negav</t>
  </si>
  <si>
    <t>2023-10-08T14:20:09.000Z</t>
  </si>
  <si>
    <t>7uw4lcoRXW4</t>
  </si>
  <si>
    <t>https://www.youtube.com/watch?v=7uw4lcoRXW4&amp;list=PLy_TpcUT2LZtT4YxNqO277e2zk-7oUS_6&amp;index=18</t>
  </si>
  <si>
    <t>Hành Trình Rực Rỡ | Tập 15:Negav bị Phát La tát cú trời giáng, Dương Lâm "ép hôn" Bích Phương, Isaac</t>
  </si>
  <si>
    <t>hanh trinh ruc ro tap 15 negav bi phat la tat cu troi giang duong lam ep hon bich phuong isaac</t>
  </si>
  <si>
    <t>2023-09-03T14:20:11.000Z</t>
  </si>
  <si>
    <t>nZLuwR7x2QU</t>
  </si>
  <si>
    <t>https://www.youtube.com/watch?v=nZLuwR7x2QU&amp;list=PLy_TpcUT2LZtT4YxNqO277e2zk-7oUS_6&amp;index=28</t>
  </si>
  <si>
    <t>Hành Trình Rực Rỡ | Tập 5: Trường Giang bị Lan Ngọc chơi dơ cho tắm bùn "mờ mắt",gặp sự cố giữa biển</t>
  </si>
  <si>
    <t>hanh trinh ruc ro tap 5 truong giang bi lan ngoc choi do cho tam bun mo mat gap su co giua bien</t>
  </si>
  <si>
    <t>2023-06-25T14:25:08.000Z</t>
  </si>
  <si>
    <t>RfzYAntlGA8</t>
  </si>
  <si>
    <t>https://www.youtube.com/watch?v=RfzYAntlGA8&amp;list=PLy_TpcUT2LZtT4YxNqO277e2zk-7oUS_6&amp;index=29</t>
  </si>
  <si>
    <t>Hành Trình Rực Rỡ | Tập 4: Isaac múa võ nhạc thần thái, Lan Ngọc, Châu Bùi vật vã cuộc chiến bùn lầy</t>
  </si>
  <si>
    <t>hanh trinh ruc ro tap 4 isaac mua vo nhac than thai lan ngoc chau bui vat va cuoc chien bun lay</t>
  </si>
  <si>
    <t>2023-06-18T14:20:08.000Z</t>
  </si>
  <si>
    <t>doQytUnQnCE</t>
  </si>
  <si>
    <t>https://www.youtube.com/watch?v=doQytUnQnCE&amp;list=PLy_TpcUT2LZtT4YxNqO277e2zk-7oUS_6&amp;index=11</t>
  </si>
  <si>
    <t>Hành Trình Rực Rỡ | Mùa 1: Trường Giang nhìn lại hành trình, Dương Lâm xúc động chia sẻ về dàn cast</t>
  </si>
  <si>
    <t>hanh trinh ruc ro mua 1 truong giang nhin lai hanh trinh duong lam xuc dong chia se ve dan cast</t>
  </si>
  <si>
    <t>2023-11-03T13:30:23.000Z</t>
  </si>
  <si>
    <t>KaIB4PeLZDg</t>
  </si>
  <si>
    <t>https://www.youtube.com/watch?v=KaIB4PeLZDg&amp;list=PLy_TpcUT2LZtT4YxNqO277e2zk-7oUS_6&amp;index=5</t>
  </si>
  <si>
    <t>Hành Trình Rực Rỡ | UNCUT 6: Kịch bản full của kịch "gia đình bất ổn", Dương Lâm giành ghế đạo diễn</t>
  </si>
  <si>
    <t>hanh trinh ruc ro uncut 6 kich ban full cua kich gia dinh bat on duong lam gianh ghe dao dien</t>
  </si>
  <si>
    <t>2023-12-15T13:45:52.000Z</t>
  </si>
  <si>
    <t>T2c7Vy5ng3M</t>
  </si>
  <si>
    <t>https://www.youtube.com/watch?v=T2c7Vy5ng3M&amp;list=PLy_TpcUT2LZtT4YxNqO277e2zk-7oUS_6&amp;index=25</t>
  </si>
  <si>
    <t>Hành Trình Rực Rỡ | Tập 8: Đám cưới Puka, Gin Tuấn Kiệt chấn động miền Tây, Nal quẩy "Rồi Tới Luôn"</t>
  </si>
  <si>
    <t>hanh trinh ruc ro tap 8 dam cuoi puka gin tuan kiet chan dong mien tay nal quay roi toi luon</t>
  </si>
  <si>
    <t>2023-07-16T14:20:07.000Z</t>
  </si>
  <si>
    <t>8pqbkEZsnTQ</t>
  </si>
  <si>
    <t>https://www.youtube.com/watch?v=8pqbkEZsnTQ&amp;list=PLy_TpcUT2LZtT4YxNqO277e2zk-7oUS_6&amp;index=4</t>
  </si>
  <si>
    <t>Hành Trình Rực Rỡ | UNCUT 7: Trường Giang hả hê hại Tiểu Vy ngất lịm với hình phạt "khắc nghiệt"</t>
  </si>
  <si>
    <t>hanh trinh ruc ro uncut 7 truong giang ha he hai tieu vy ngat lim voi hinh phat khac nghiet</t>
  </si>
  <si>
    <t>2023-12-22T13:43:28.000Z</t>
  </si>
  <si>
    <t>J195SHK4oKE</t>
  </si>
  <si>
    <t>https://www.youtube.com/watch?v=J195SHK4oKE&amp;list=PLy_TpcUT2LZtT4YxNqO277e2zk-7oUS_6&amp;index=17</t>
  </si>
  <si>
    <t>Hành Trình Rực Rỡ | Tập 16: Isaac bị Giang Ca "lấy thịt đè người",Bích Phương hát cải lương cực ngọt</t>
  </si>
  <si>
    <t>hanh trinh ruc ro tap 16 isaac bi giang ca lay thit de nguoi bich phuong hat cai luong cuc ngot</t>
  </si>
  <si>
    <t>2023-09-10T14:20:08.000Z</t>
  </si>
  <si>
    <t>Gr5Zthvftg4</t>
  </si>
  <si>
    <t>https://www.youtube.com/watch?v=Gr5Zthvftg4&amp;list=PLy_TpcUT2LZtT4YxNqO277e2zk-7oUS_6&amp;index=6</t>
  </si>
  <si>
    <t>Hành Trình Rực Rỡ | UNCUT 5: Dương Lâm kể từng bị ghẻ lạnh, Trường Giang thẳng tay phê bình Phát La</t>
  </si>
  <si>
    <t>hanh trinh ruc ro uncut 5 duong lam ke tung bi ghe lanh truong giang thang tay phe binh phat la</t>
  </si>
  <si>
    <t>2023-12-08T14:07:08.000Z</t>
  </si>
  <si>
    <t>4Ga-vpXo4Uc</t>
  </si>
  <si>
    <t>https://www.youtube.com/watch?v=4Ga-vpXo4Uc&amp;list=PLy_TpcUT2LZtT4YxNqO277e2zk-7oUS_6&amp;index=7</t>
  </si>
  <si>
    <t>Hành Trình Rực Rỡ | UNCUT 4:Hướng dẫn viên "bất ổn" Thuý Ngân khiến Dương Lâm, Trường Giang bất bình</t>
  </si>
  <si>
    <t>hanh trinh ruc ro uncut 4 huong dan vien bat on thuy ngan khien duong lam truong giang bat binh</t>
  </si>
  <si>
    <t>2023-12-01T13:30:04.000Z</t>
  </si>
  <si>
    <t>xjyymJFODiw</t>
  </si>
  <si>
    <t>https://www.youtube.com/watch?v=xjyymJFODiw&amp;list=PLy_TpcUT2LZtT4YxNqO277e2zk-7oUS_6&amp;index=31</t>
  </si>
  <si>
    <t>Hành Trình Rực Rỡ |Tập 2: Dương Lâm rơi nước mắt nhắc về mẹ,Trường Giang nén cơn đau lên đỉnh Yên Tử</t>
  </si>
  <si>
    <t>hanh trinh ruc ro tap 2 duong lam roi nuoc mat nhac ve me truong giang nen con dau len dinh yen tu</t>
  </si>
  <si>
    <t>2023-06-04T14:45:09.000Z</t>
  </si>
  <si>
    <t>cqy-3novrZk</t>
  </si>
  <si>
    <t>https://www.youtube.com/watch?v=cqy-3novrZk&amp;list=PLy_TpcUT2LZtT4YxNqO277e2zk-7oUS_6&amp;index=3</t>
  </si>
  <si>
    <t>Hành Trình Rực Rỡ | UNCUT 8: Trò chơi bao bố bất ổn, Tiểu Vy chơi bất chấp,Thuý Ngân tung cước Negav</t>
  </si>
  <si>
    <t>hanh trinh ruc ro uncut 8 tro choi bao bo bat on tieu vy choi bat chap thuy ngan tung cuoc negav</t>
  </si>
  <si>
    <t>2023-12-29T13:30:28.000Z</t>
  </si>
  <si>
    <t>SvEi_Y2ZPG8</t>
  </si>
  <si>
    <t>https://www.youtube.com/watch?v=SvEi_Y2ZPG8&amp;list=PLy_TpcUT2LZtT4YxNqO277e2zk-7oUS_6&amp;index=27</t>
  </si>
  <si>
    <t>Hành Trình Rực Rỡ | Tập 6: Puka, Thúy Ngân hơn thua hát "lệch tone", Gin đại chiến Dương Lâm ở ao cá</t>
  </si>
  <si>
    <t>hanh trinh ruc ro tap 6 puka thuy ngan hon thua hat lech tone gin dai chien duong lam o ao ca</t>
  </si>
  <si>
    <t>2023-07-02T14:20:11.000Z</t>
  </si>
  <si>
    <t>07UvXNsV1R8</t>
  </si>
  <si>
    <t>https://www.youtube.com/watch?v=07UvXNsV1R8&amp;list=PLy_TpcUT2LZtT4YxNqO277e2zk-7oUS_6&amp;index=30</t>
  </si>
  <si>
    <t>Hành Trình Rực Rỡ | Tập 3: Lan Ngọc quyết chiến "hung thần" Isaac, Negav hoá cô dâu độc lạ Bình Định</t>
  </si>
  <si>
    <t>hanh trinh ruc ro tap 3 lan ngoc quyet chien hung than isaac negav hoa co dau doc la binh dinh</t>
  </si>
  <si>
    <t>2023-06-11T14:20:10.000Z</t>
  </si>
  <si>
    <t>FSFHU581-Fo</t>
  </si>
  <si>
    <t>https://www.youtube.com/watch?v=FSFHU581-Fo&amp;list=PLy_TpcUT2LZtT4YxNqO277e2zk-7oUS_6&amp;index=2</t>
  </si>
  <si>
    <t>Hành Trình Rực Rỡ | UNCUT 9: Isaac bế tắc tài hội hoạ của Dương Lâm,Thuý Ngân lộ tin đại gia Cai Lậy</t>
  </si>
  <si>
    <t>hanh trinh ruc ro uncut 9 isaac be tac tai hoi hoa cua duong lam thuy ngan lo tin dai gia cai lay</t>
  </si>
  <si>
    <t>2024-01-05T13:30:08.000Z</t>
  </si>
  <si>
    <t>nBtZ2lLQgSU</t>
  </si>
  <si>
    <t>https://www.youtube.com/watch?v=nBtZ2lLQgSU&amp;list=PLy_TpcUT2LZtT4YxNqO277e2zk-7oUS_6&amp;index=32</t>
  </si>
  <si>
    <t>Hành Trình Rực Rỡ | Tập 1: Isaac bị bôi than "phong ấn", "thợ mỏ" Bích Phương out trình khắc than</t>
  </si>
  <si>
    <t>hanh trinh ruc ro tap 1 isaac bi boi than phong an tho mo bich phuong out trinh khac than</t>
  </si>
  <si>
    <t>2023-05-28T14:45:07.000Z</t>
  </si>
  <si>
    <t>r5LJ4_xn6Fs</t>
  </si>
  <si>
    <t>https://www.youtube.com/watch?v=r5LJ4_xn6Fs&amp;list=PLy_TpcUT2LZtT4YxNqO277e2zk-7oUS_6&amp;index=15</t>
  </si>
  <si>
    <t>Hành Trình Rực Rỡ | Tập 18:Dương Lâm rủ khách mời cover "À Lôi", Negav tương tàn Isaac không hồi kết</t>
  </si>
  <si>
    <t>hanh trinh ruc ro tap 18 duong lam ru khach moi cover a loi negav tuong tan isaac khong hoi ket</t>
  </si>
  <si>
    <t>2023-09-24T14:20:09.000Z</t>
  </si>
  <si>
    <t>oZuZnhVtses</t>
  </si>
  <si>
    <t>https://www.youtube.com/watch?v=oZuZnhVtses&amp;list=PLy_TpcUT2LZtT4YxNqO277e2zk-7oUS_6&amp;index=1</t>
  </si>
  <si>
    <t>Hành Trình Rực Rỡ | UNCUT 10: Dương Lâm xứng đáng là thành viên xuất sắc, Negav trưởng thành rõ rệt</t>
  </si>
  <si>
    <t>hanh trinh ruc ro uncut 10 duong lam xung dang la thanh vien xuat sac negav truong thanh ro ret</t>
  </si>
  <si>
    <t>2024-01-12T13:32:18.000Z</t>
  </si>
  <si>
    <t>L4_F6xvAS-4</t>
  </si>
  <si>
    <t>https://www.youtube.com/watch?v=L4_F6xvAS-4&amp;list=PLy_TpcUT2LZtT4YxNqO277e2zk-7oUS_6&amp;index=10</t>
  </si>
  <si>
    <t>Hành Trình Rực Rỡ | UNCUT 1: Phóng viên Diệu Lâm càn quét tại sân bay,Bích Phương hóa đá vì "xấu hổ"</t>
  </si>
  <si>
    <t>hanh trinh ruc ro uncut 1 phong vien dieu lam can quet tai san bay bich phuong hoa da vi xau ho</t>
  </si>
  <si>
    <t>2023-11-10T13:30:09.000Z</t>
  </si>
  <si>
    <t>VQLG</t>
  </si>
  <si>
    <t>Về Quê Làm Giàu</t>
  </si>
  <si>
    <t>VQLG_2025</t>
  </si>
  <si>
    <t>LCvtmsog8rQ</t>
  </si>
  <si>
    <t>https://www.youtube.com/watch?v=LCvtmsog8rQ&amp;list=PLaHmC9pxzevpEDOuWCKZPWyWhLNCgZFLy&amp;index=56</t>
  </si>
  <si>
    <t>Quyền Linh, Long Vũ, Diệp Lâm Anh sốc bởi độ đậm nước mắm Ba Làng | Về Quê Làm Giàu Tập 2 | Best cut</t>
  </si>
  <si>
    <t>quyen linh long vu diep lam anh soc boi do dam nuoc mam ba lang ve que lam giau tap 2 best cut</t>
  </si>
  <si>
    <t>UCgL3LEm7JuJNXKWDQTmbuYA</t>
  </si>
  <si>
    <t>Halotimes TV</t>
  </si>
  <si>
    <t>PLaHmC9pxzevpEDOuWCKZPWyWhLNCgZFLy</t>
  </si>
  <si>
    <t>2025-04-09T15:30:10.000Z</t>
  </si>
  <si>
    <t>2026-08-12T14:35:38.140344+07:00</t>
  </si>
  <si>
    <t>best cut</t>
  </si>
  <si>
    <t>hard_exclusion:best cut</t>
  </si>
  <si>
    <t>fZsmpmeZY5cPaFqFY</t>
  </si>
  <si>
    <t>tUpuHSuWsn4</t>
  </si>
  <si>
    <t>https://www.youtube.com/watch?v=tUpuHSuWsn4&amp;list=PLaHmC9pxzevpEDOuWCKZPWyWhLNCgZFLy&amp;index=64</t>
  </si>
  <si>
    <t>Quyền Linh thể hiện kỹ năng se hương có 1-0-2 | Về Quê Làm Giàu tập 3</t>
  </si>
  <si>
    <t>quyen linh the hien ky nang se huong co 1 0 2 ve que lam giau tap 3</t>
  </si>
  <si>
    <t>2025-04-14T03:01:03.000Z</t>
  </si>
  <si>
    <t>waPy6Cnssr0</t>
  </si>
  <si>
    <t>https://www.youtube.com/watch?v=waPy6Cnssr0&amp;list=PLaHmC9pxzevpEDOuWCKZPWyWhLNCgZFLy&amp;index=5</t>
  </si>
  <si>
    <t>Ngô Lan Hương xuất hiện bất ngờ ở Hải Dương, lần đầu đi cấy lúa | VỀ QUÊ LÀM GIÀU - TẬP 5</t>
  </si>
  <si>
    <t>ngo lan huong xuat hien bat ngo o hai duong lan dau di cay lua ve que lam giau tap 5</t>
  </si>
  <si>
    <t>2025-04-26T13:30:06.000Z</t>
  </si>
  <si>
    <t>rWbgXTTCR3I</t>
  </si>
  <si>
    <t>https://www.youtube.com/watch?v=rWbgXTTCR3I&amp;list=PLaHmC9pxzevpEDOuWCKZPWyWhLNCgZFLy&amp;index=4</t>
  </si>
  <si>
    <t>Quyền Linh mờ mắt, Thanh Duy run tay, Pu dẫn Chải đi xin xăm | Về Quê Làm Giàu Tập 4</t>
  </si>
  <si>
    <t>quyen linh mo mat thanh duy run tay pu dan chai di xin xam ve que lam giau tap 4</t>
  </si>
  <si>
    <t>2025-04-19T13:30:27.000Z</t>
  </si>
  <si>
    <t>Mc-tQz-yWVo</t>
  </si>
  <si>
    <t>https://www.youtube.com/watch?v=Mc-tQz-yWVo&amp;list=PLaHmC9pxzevpEDOuWCKZPWyWhLNCgZFLy&amp;index=58</t>
  </si>
  <si>
    <t>Diệp Lâm Anh &amp; Long Vũ livestream bán hàng | Về Quê Làm Giàu Tập 2 | Best cut</t>
  </si>
  <si>
    <t>diep lam anh long vu livestream ban hang ve que lam giau tap 2 best cut</t>
  </si>
  <si>
    <t>2025-04-10T03:24:19.000Z</t>
  </si>
  <si>
    <t>KitY4kWvDfs</t>
  </si>
  <si>
    <t>https://www.youtube.com/watch?v=KitY4kWvDfs&amp;list=PLaHmC9pxzevpEDOuWCKZPWyWhLNCgZFLy&amp;index=65</t>
  </si>
  <si>
    <t>Thu Hà Ceri, Thanh Duy ngạc nhiên trước quy trình đào tạo thợ làm hương | Về Quê Làm Giàu tập 3</t>
  </si>
  <si>
    <t>thu ha ceri thanh duy ngac nhien truoc quy trinh dao tao tho lam huong ve que lam giau tap 3</t>
  </si>
  <si>
    <t>2025-04-14T05:00:20.000Z</t>
  </si>
  <si>
    <t>iCHvCQVNrfA</t>
  </si>
  <si>
    <t>https://www.youtube.com/watch?v=iCHvCQVNrfA&amp;list=PLaHmC9pxzevpEDOuWCKZPWyWhLNCgZFLy&amp;index=60</t>
  </si>
  <si>
    <t>Quyền Linh, Thanh Duy trầm trồ trước bàn tay khéo léo của nghệ nhân làm hương| Về Quê Làm Giàu tập 3</t>
  </si>
  <si>
    <t>quyen linh thanh duy tram tro truoc ban tay kheo leo cua nghe nhan lam huong ve que lam giau tap 3</t>
  </si>
  <si>
    <t>2025-04-13T11:50:00.000Z</t>
  </si>
  <si>
    <t>o0JJ4bVJZ60</t>
  </si>
  <si>
    <t>https://www.youtube.com/watch?v=o0JJ4bVJZ60&amp;list=PLaHmC9pxzevpEDOuWCKZPWyWhLNCgZFLy&amp;index=68</t>
  </si>
  <si>
    <t>Long Vũ giúp Thu Hà Ceri chọn nguyên liệu làm hương cực đáng yêu | Về Quê Làm Giàu tập 3</t>
  </si>
  <si>
    <t>long vu giup thu ha ceri chon nguyen lieu lam huong cuc dang yeu ve que lam giau tap 3</t>
  </si>
  <si>
    <t>2025-04-14T11:01:18.000Z</t>
  </si>
  <si>
    <t>nBQDpI0PIq0</t>
  </si>
  <si>
    <t>https://www.youtube.com/watch?v=nBQDpI0PIq0&amp;list=PLaHmC9pxzevpEDOuWCKZPWyWhLNCgZFLy&amp;index=71</t>
  </si>
  <si>
    <t>Thanh Duy Idol, Thu Hà Ceri trổ tài bán hương| Về Quê Làm Giàu tập 3</t>
  </si>
  <si>
    <t>thanh duy idol thu ha ceri tro tai ban huong ve que lam giau tap 3</t>
  </si>
  <si>
    <t>2025-04-17T07:00:50.000Z</t>
  </si>
  <si>
    <t>Ad7vLOL5V4g</t>
  </si>
  <si>
    <t>https://www.youtube.com/watch?v=Ad7vLOL5V4g&amp;list=PLaHmC9pxzevpEDOuWCKZPWyWhLNCgZFLy&amp;index=61</t>
  </si>
  <si>
    <t>Thanh Duy Idol tự tay se hương | Về Quê Làm Giàu tập 3</t>
  </si>
  <si>
    <t>thanh duy idol tu tay se huong ve que lam giau tap 3</t>
  </si>
  <si>
    <t>2025-04-13T13:50:00.000Z</t>
  </si>
  <si>
    <t>QBZ5zLiWyqY</t>
  </si>
  <si>
    <t>https://www.youtube.com/watch?v=QBZ5zLiWyqY&amp;list=PLaHmC9pxzevpEDOuWCKZPWyWhLNCgZFLy&amp;index=1</t>
  </si>
  <si>
    <t>Về quê làm giàu - Tập 1 | Thanh Hoá: Quyền Linh ra chợ bán cá, Diệp Lâm Anh phục vụ quán cơm</t>
  </si>
  <si>
    <t>ve que lam giau tap 1 thanh hoa quyen linh ra cho ban ca diep lam anh phuc vu quan com</t>
  </si>
  <si>
    <t>2025-03-29T13:30:26.000Z</t>
  </si>
  <si>
    <t>rN-pF54JpKA</t>
  </si>
  <si>
    <t>https://www.youtube.com/watch?v=rN-pF54JpKA&amp;list=PLaHmC9pxzevpEDOuWCKZPWyWhLNCgZFLy&amp;index=75</t>
  </si>
  <si>
    <t>Pu dẫn Chải đi xin xăm đầu năm ở phố Hiến | Về Quê Làm Giàu tập 4</t>
  </si>
  <si>
    <t>pu dan chai di xin xam dau nam o pho hien ve que lam giau tap 4</t>
  </si>
  <si>
    <t>2025-04-18T15:06:00.000Z</t>
  </si>
  <si>
    <t>DqKvzl1q_es</t>
  </si>
  <si>
    <t>https://www.youtube.com/watch?v=DqKvzl1q_es&amp;list=PLaHmC9pxzevpEDOuWCKZPWyWhLNCgZFLy&amp;index=73</t>
  </si>
  <si>
    <t>Nghệ nhân thôn cao làm hương vòng khiến MC Quyền Linh trầm trồ | Về Quê Làm Giàu tập 4</t>
  </si>
  <si>
    <t>nghe nhan thon cao lam huong vong khien mc quyen linh tram tro ve que lam giau tap 4</t>
  </si>
  <si>
    <t>2025-04-18T14:06:33.000Z</t>
  </si>
  <si>
    <t>a1CjYVWZLO4</t>
  </si>
  <si>
    <t>https://www.youtube.com/watch?v=a1CjYVWZLO4&amp;list=PLaHmC9pxzevpEDOuWCKZPWyWhLNCgZFLy&amp;index=70</t>
  </si>
  <si>
    <t>Thu Hà Ceri bó hương cực khéo léo | Về Quê Làm Giàu tập 3</t>
  </si>
  <si>
    <t>thu ha ceri bo huong cuc kheo leo ve que lam giau tap 3</t>
  </si>
  <si>
    <t>2025-04-17T05:00:00.000Z</t>
  </si>
  <si>
    <t>oOAF6GEdn-w</t>
  </si>
  <si>
    <t>https://www.youtube.com/watch?v=oOAF6GEdn-w&amp;list=PLaHmC9pxzevpEDOuWCKZPWyWhLNCgZFLy&amp;index=78</t>
  </si>
  <si>
    <t>Quyền Linh giúp nông dân Hưng Yên livestream bán hơn 100 triệu trong 30 phút | Về Quê Làm Giàu tập 4</t>
  </si>
  <si>
    <t>quyen linh giup nong dan hung yen livestream ban hon 100 trieu trong 30 phut ve que lam giau tap 4</t>
  </si>
  <si>
    <t>2025-04-18T16:36:00.000Z</t>
  </si>
  <si>
    <t>2E5EjzHkIn0</t>
  </si>
  <si>
    <t>https://www.youtube.com/watch?v=2E5EjzHkIn0&amp;list=PLaHmC9pxzevpEDOuWCKZPWyWhLNCgZFLy&amp;index=9</t>
  </si>
  <si>
    <t>Lâm Vỹ Dạ, Hari Won đóng vai mẹ con trải nghiệm vị Huế xưa | VỀ QUÊ LÀM GIÀU - TẬP 9 | HUẾ</t>
  </si>
  <si>
    <t>lam vy da hari won dong vai me con trai nghiem vi hue xua ve que lam giau tap 9 hue</t>
  </si>
  <si>
    <t>2025-05-31T13:30:06.000Z</t>
  </si>
  <si>
    <t>JRcEuHfPPlY</t>
  </si>
  <si>
    <t>https://www.youtube.com/watch?v=JRcEuHfPPlY&amp;list=PLaHmC9pxzevpEDOuWCKZPWyWhLNCgZFLy&amp;index=3</t>
  </si>
  <si>
    <t>Thanh Duy hát trống quân, Quyền Linh bị chê khi làm hương tại Hưng Yên | Về Quê Làm Giàu Tập 3</t>
  </si>
  <si>
    <t>thanh duy hat trong quan quyen linh bi che khi lam huong tai hung yen ve que lam giau tap 3</t>
  </si>
  <si>
    <t>2025-04-12T13:30:06.000Z</t>
  </si>
  <si>
    <t>WMtqYwbCzUo</t>
  </si>
  <si>
    <t>https://www.youtube.com/watch?v=WMtqYwbCzUo&amp;list=PLaHmC9pxzevpEDOuWCKZPWyWhLNCgZFLy&amp;index=72</t>
  </si>
  <si>
    <t>Quyền Linh, Thanh Duy Idol, Long Vũ, Thu Hà Ceri. Ai sẽ chiến thắng trong thử thách làm hương?</t>
  </si>
  <si>
    <t>quyen linh thanh duy idol long vu thu ha ceri ai se chien thang trong thu thach lam huong</t>
  </si>
  <si>
    <t>2025-04-17T09:00:48.000Z</t>
  </si>
  <si>
    <t>yhVBsqJwlL0</t>
  </si>
  <si>
    <t>https://www.youtube.com/watch?v=yhVBsqJwlL0&amp;list=PLaHmC9pxzevpEDOuWCKZPWyWhLNCgZFLy&amp;index=12</t>
  </si>
  <si>
    <t>Kim Tử Long trổ tài ca vọng cổ, Pháo lần đầu bán khăn rằn | VỀ QUÊ LÀM GIÀU - TẬP 12 | QUẢNG NAM</t>
  </si>
  <si>
    <t>kim tu long tro tai ca vong co phao lan dau ban khan ran ve que lam giau tap 12 quang nam</t>
  </si>
  <si>
    <t>2025-06-21T13:30:06.000Z</t>
  </si>
  <si>
    <t>EWERgbmYZz0</t>
  </si>
  <si>
    <t>https://www.youtube.com/watch?v=EWERgbmYZz0&amp;list=PLaHmC9pxzevpEDOuWCKZPWyWhLNCgZFLy&amp;index=13</t>
  </si>
  <si>
    <t>Ngọc Sơn trổ tài ngoại ngữ, Long Vũ cào nghêu toàn vỏ | VỀ QUÊ LÀM GIÀU - TẬP 13 | HÀ TĨNH</t>
  </si>
  <si>
    <t>ngoc son tro tai ngoai ngu long vu cao ngheu toan vo ve que lam giau tap 13 ha tinh</t>
  </si>
  <si>
    <t>2025-06-28T13:30:06.000Z</t>
  </si>
  <si>
    <t>cIq3LtTB0Ws</t>
  </si>
  <si>
    <t>https://www.youtube.com/watch?v=cIq3LtTB0Ws&amp;list=PLaHmC9pxzevpEDOuWCKZPWyWhLNCgZFLy&amp;index=15</t>
  </si>
  <si>
    <t>Hariwon đối đầu Jack - J97, Bùi Quỳnh Hoa ghi điểm thanh lịch | VỀ QUÊ LÀM GIÀU - TẬP 15 | THANH HÓA</t>
  </si>
  <si>
    <t>hariwon doi dau jack j97 bui quynh hoa ghi diem thanh lich ve que lam giau tap 15 thanh hoa</t>
  </si>
  <si>
    <t>2025-07-12T13:30:06.000Z</t>
  </si>
  <si>
    <t>bbqSJNwkbnU</t>
  </si>
  <si>
    <t>https://www.youtube.com/watch?v=bbqSJNwkbnU&amp;list=PLaHmC9pxzevpEDOuWCKZPWyWhLNCgZFLy&amp;index=11</t>
  </si>
  <si>
    <t>Hari Won trở thành Đại sứ Lụa, Kim Tử Long lần đầu làm MC | VỀ QUÊ LÀM GIÀU - TẬP 11 | QUẢNG NAM</t>
  </si>
  <si>
    <t>hari won tro thanh dai su lua kim tu long lan dau lam mc ve que lam giau tap 11 quang nam</t>
  </si>
  <si>
    <t>2025-06-14T13:30:06.000Z</t>
  </si>
  <si>
    <t>osfccGflpsY</t>
  </si>
  <si>
    <t>https://www.youtube.com/watch?v=osfccGflpsY&amp;list=PLaHmC9pxzevpEDOuWCKZPWyWhLNCgZFLy&amp;index=76</t>
  </si>
  <si>
    <t>Phát biểu đầy cảm xúc của MC Quyền Linh | Về Quê Làm Giàu tập 4</t>
  </si>
  <si>
    <t>phat bieu day cam xuc cua mc quyen linh ve que lam giau tap 4</t>
  </si>
  <si>
    <t>2025-04-18T15:36:00.000Z</t>
  </si>
  <si>
    <t>FS1xRVq3FXQ</t>
  </si>
  <si>
    <t>https://www.youtube.com/watch?v=FS1xRVq3FXQ&amp;list=PLaHmC9pxzevpEDOuWCKZPWyWhLNCgZFLy&amp;index=14</t>
  </si>
  <si>
    <t>Ngọc Sơn vinh danh Đại sứ Hà Tĩnh, dàn cast quậy tung chợ quê | VỀ QUÊ LÀM GIÀU - TẬP 14 | HÀ TĨNH</t>
  </si>
  <si>
    <t>ngoc son vinh danh dai su ha tinh dan cast quay tung cho que ve que lam giau tap 14 ha tinh</t>
  </si>
  <si>
    <t>2025-07-05T13:30:06.000Z</t>
  </si>
  <si>
    <t>MBAv1pd4GtI</t>
  </si>
  <si>
    <t>https://www.youtube.com/watch?v=MBAv1pd4GtI&amp;list=PLaHmC9pxzevpEDOuWCKZPWyWhLNCgZFLy&amp;index=63</t>
  </si>
  <si>
    <t>Thu Hà Ceri trổ tài se hương và kết quả vượt mong đợi | Về Quê Làm Giàu tập 3</t>
  </si>
  <si>
    <t>thu ha ceri tro tai se huong va ket qua vuot mong doi ve que lam giau tap 3</t>
  </si>
  <si>
    <t>2025-04-14T01:00:19.000Z</t>
  </si>
  <si>
    <t>https://www.youtube.com/watch?v=-SmsU64gxCM&amp;list=PLaHmC9pxzevpEDOuWCKZPWyWhLNCgZFLy&amp;index=16</t>
  </si>
  <si>
    <t>VỀ QUÊ LÀM GIÀU - TẬP 4 | OFFICIAL TRAILER</t>
  </si>
  <si>
    <t>ve que lam giau tap 4 official trailer</t>
  </si>
  <si>
    <t>2025-04-18T08:21:53.000Z</t>
  </si>
  <si>
    <t>Ftph_ymN2XI</t>
  </si>
  <si>
    <t>https://www.youtube.com/watch?v=Ftph_ymN2XI&amp;list=PLaHmC9pxzevpEDOuWCKZPWyWhLNCgZFLy&amp;index=23</t>
  </si>
  <si>
    <t>🔴 Trực Tiếp Reaction VỀ QUÊ LÀM GIÀU – TẬP 3 | Cùng Phương Thảo &amp; Khách Mời</t>
  </si>
  <si>
    <t>truc tiep reaction ve que lam giau tap 3 cung phuong thao khach moi</t>
  </si>
  <si>
    <t>2025-04-14T16:24:25.000Z</t>
  </si>
  <si>
    <t>6BvkBOx1cAo</t>
  </si>
  <si>
    <t>https://www.youtube.com/watch?v=6BvkBOx1cAo&amp;list=PLaHmC9pxzevpEDOuWCKZPWyWhLNCgZFLy&amp;index=25</t>
  </si>
  <si>
    <t>Quyền Linh Reaction Tập 1 Về Quê Làm Giàu</t>
  </si>
  <si>
    <t>quyen linh reaction tap 1 ve que lam giau</t>
  </si>
  <si>
    <t>2025-04-01T05:56:37.000Z</t>
  </si>
  <si>
    <t>NzXxUBympR0</t>
  </si>
  <si>
    <t>https://www.youtube.com/watch?v=NzXxUBympR0&amp;list=PLaHmC9pxzevpEDOuWCKZPWyWhLNCgZFLy&amp;index=31</t>
  </si>
  <si>
    <t>Diệp Lâm Anh hóa thân thành phục vụ bàn | Về Quê Làm Giàu tập 1 | Best cut</t>
  </si>
  <si>
    <t>diep lam anh hoa than thanh phuc vu ban ve que lam giau tap 1 best cut</t>
  </si>
  <si>
    <t>2025-03-28T09:30:10.000Z</t>
  </si>
  <si>
    <t>iLRO_NFj9H0</t>
  </si>
  <si>
    <t>https://www.youtube.com/watch?v=iLRO_NFj9H0&amp;list=PLaHmC9pxzevpEDOuWCKZPWyWhLNCgZFLy&amp;index=30</t>
  </si>
  <si>
    <t>Diệp Lâm Anh cải trang vẫn bị phát hiện ngay | Về Quê Làm Giàu tập 1 | Best cut</t>
  </si>
  <si>
    <t>diep lam anh cai trang van bi phat hien ngay ve que lam giau tap 1 best cut</t>
  </si>
  <si>
    <t>2025-03-28T10:30:30.000Z</t>
  </si>
  <si>
    <t>cqSCFOjERPw</t>
  </si>
  <si>
    <t>https://www.youtube.com/watch?v=cqSCFOjERPw&amp;list=PLaHmC9pxzevpEDOuWCKZPWyWhLNCgZFLy&amp;index=20</t>
  </si>
  <si>
    <t>Quyền Linh, Long Vũ, Thu Hà Ceri, Thanh Duy làm hương và cái kết | Về Quê Làm Giàu tập 3</t>
  </si>
  <si>
    <t>quyen linh long vu thu ha ceri thanh duy lam huong va cai ket ve que lam giau tap 3</t>
  </si>
  <si>
    <t>2025-04-17T15:01:03.000Z</t>
  </si>
  <si>
    <t>7_MdgsHn0w4</t>
  </si>
  <si>
    <t>https://www.youtube.com/watch?v=7_MdgsHn0w4&amp;list=PLaHmC9pxzevpEDOuWCKZPWyWhLNCgZFLy&amp;index=19</t>
  </si>
  <si>
    <t>Quyền Linh đau đầu với trò khui túi mù | Về Quê Làm Giàu tập 3</t>
  </si>
  <si>
    <t>quyen linh dau dau voi tro khui tui mu ve que lam giau tap 3</t>
  </si>
  <si>
    <t>2025-04-18T01:00:11.000Z</t>
  </si>
  <si>
    <t>jQ-1-a7ohho</t>
  </si>
  <si>
    <t>https://www.youtube.com/watch?v=jQ-1-a7ohho&amp;list=PLaHmC9pxzevpEDOuWCKZPWyWhLNCgZFLy&amp;index=29</t>
  </si>
  <si>
    <t>Tranh luận kịch tính giữa các khách mời | Về Quê Làm Giàu tập 1 | Best cut</t>
  </si>
  <si>
    <t>tranh luan kich tinh giua cac khach moi ve que lam giau tap 1 best cut</t>
  </si>
  <si>
    <t>2025-03-28T11:30:35.000Z</t>
  </si>
  <si>
    <t>ONunOr1A8Mc</t>
  </si>
  <si>
    <t>https://www.youtube.com/watch?v=ONunOr1A8Mc&amp;list=PLaHmC9pxzevpEDOuWCKZPWyWhLNCgZFLy&amp;index=21</t>
  </si>
  <si>
    <t>Quyền Linh - Thanh Duy quyết mở đại lý bán hương toàn quốc | Về Quê Làm Giàu tập 3</t>
  </si>
  <si>
    <t>quyen linh thanh duy quyet mo dai ly ban huong toan quoc ve que lam giau tap 3</t>
  </si>
  <si>
    <t>2025-04-17T13:00:42.000Z</t>
  </si>
  <si>
    <t>NyByenlUero</t>
  </si>
  <si>
    <t>https://www.youtube.com/watch?v=NyByenlUero&amp;list=PLaHmC9pxzevpEDOuWCKZPWyWhLNCgZFLy&amp;index=22</t>
  </si>
  <si>
    <t>Thanh Duy Idol trổ tài hát trống quân | Về Quê Làm Giàu tập 3</t>
  </si>
  <si>
    <t>thanh duy idol tro tai hat trong quan ve que lam giau tap 3</t>
  </si>
  <si>
    <t>2025-04-17T11:00:39.000Z</t>
  </si>
  <si>
    <t>gd6PBcVO2ZY</t>
  </si>
  <si>
    <t>https://www.youtube.com/watch?v=gd6PBcVO2ZY&amp;list=PLaHmC9pxzevpEDOuWCKZPWyWhLNCgZFLy&amp;index=26</t>
  </si>
  <si>
    <t>VỀ QUÊ LÀM GIÀU | OFFICIAL TRAILER</t>
  </si>
  <si>
    <t>ve que lam giau official trailer</t>
  </si>
  <si>
    <t>2025-03-19T09:15:50.000Z</t>
  </si>
  <si>
    <t>tuypxxDk-e4</t>
  </si>
  <si>
    <t>https://www.youtube.com/watch?v=tuypxxDk-e4&amp;list=PLaHmC9pxzevpEDOuWCKZPWyWhLNCgZFLy&amp;index=41</t>
  </si>
  <si>
    <t>BÁO HẢI DƯƠNG ĐƯA TIN VỀ CHƯƠNG TRÌNH "VỀ QUÊ LÀM GIÀU" CỦA HALOTIMES</t>
  </si>
  <si>
    <t>bao hai duong dua tin ve chuong trinh ve que lam giau cua halotimes</t>
  </si>
  <si>
    <t>2025-02-26T04:14:47.000Z</t>
  </si>
  <si>
    <t>kIA_vVpSgy4</t>
  </si>
  <si>
    <t>https://www.youtube.com/watch?v=kIA_vVpSgy4&amp;list=PLaHmC9pxzevpEDOuWCKZPWyWhLNCgZFLy&amp;index=33</t>
  </si>
  <si>
    <t>Quyền Linh xuất hiện cực ngầu | Về Quê Làm Giàu tập 1 | Best cut</t>
  </si>
  <si>
    <t>quyen linh xuat hien cuc ngau ve que lam giau tap 1 best cut</t>
  </si>
  <si>
    <t>2025-03-28T07:30:25.000Z</t>
  </si>
  <si>
    <t>hMGGbPqlFKU</t>
  </si>
  <si>
    <t>https://www.youtube.com/watch?v=hMGGbPqlFKU&amp;list=PLaHmC9pxzevpEDOuWCKZPWyWhLNCgZFLy&amp;index=45</t>
  </si>
  <si>
    <t>Nghệ sĩ khiêng két cá | Về Quê Làm Giàu tập 1 | Best cut</t>
  </si>
  <si>
    <t>nghe si khieng ket ca ve que lam giau tap 1 best cut</t>
  </si>
  <si>
    <t>2025-03-28T13:30:34.000Z</t>
  </si>
  <si>
    <t>g3Qn8Kvg7oQ</t>
  </si>
  <si>
    <t>https://www.youtube.com/watch?v=g3Qn8Kvg7oQ&amp;list=PLaHmC9pxzevpEDOuWCKZPWyWhLNCgZFLy&amp;index=43</t>
  </si>
  <si>
    <t>ĐÀI PHÁT THANH VÀ TRUYỀN HÌNH THANH HOÁ ĐƯA TIN VỀ CHƯƠNG TRÌNH "VỀ QUÊ LÀM GIÀU" CỦA HALOTIMES</t>
  </si>
  <si>
    <t>dai phat thanh va truyen hinh thanh hoa dua tin ve chuong trinh ve que lam giau cua halotimes</t>
  </si>
  <si>
    <t>2025-02-26T04:10:50.000Z</t>
  </si>
  <si>
    <t>rUDx9vuFD6E</t>
  </si>
  <si>
    <t>https://www.youtube.com/watch?v=rUDx9vuFD6E&amp;list=PLaHmC9pxzevpEDOuWCKZPWyWhLNCgZFLy&amp;index=36</t>
  </si>
  <si>
    <t>QUẢNG BÁ SẢN VẬT CÙNG DÀN CAST "VỀ QUÊ LÀM GIÀU" TẠI TỈNH HƯNG YÊN</t>
  </si>
  <si>
    <t>quang ba san vat cung dan cast ve que lam giau tai tinh hung yen</t>
  </si>
  <si>
    <t>2025-03-03T06:48:34.000Z</t>
  </si>
  <si>
    <t>TjVeq4pbII0</t>
  </si>
  <si>
    <t>https://www.youtube.com/watch?v=TjVeq4pbII0&amp;list=PLaHmC9pxzevpEDOuWCKZPWyWhLNCgZFLy&amp;index=37</t>
  </si>
  <si>
    <t>DÀN NGHỆ SĨ HƯỚNG DẪN BÀ CON LIVESTREAM BÁN HÀNG TRONG "VỀ QUÊ LÀM GIÀU"</t>
  </si>
  <si>
    <t>dan nghe si huong dan ba con livestream ban hang trong ve que lam giau</t>
  </si>
  <si>
    <t>2025-03-01T04:51:48.000Z</t>
  </si>
  <si>
    <t>s8YTdUSz_wQ</t>
  </si>
  <si>
    <t>https://www.youtube.com/watch?v=s8YTdUSz_wQ&amp;list=PLaHmC9pxzevpEDOuWCKZPWyWhLNCgZFLy&amp;index=40</t>
  </si>
  <si>
    <t>DÀN CAST "VỀ QUÊ LÀM GIÀU" LIVESTREAM QUẢNG BÁ SẢN VẬT TẠI HẢI DƯƠNG</t>
  </si>
  <si>
    <t>dan cast ve que lam giau livestream quang ba san vat tai hai duong</t>
  </si>
  <si>
    <t>2025-02-27T02:24:39.000Z</t>
  </si>
  <si>
    <t>_27jaF_oZco</t>
  </si>
  <si>
    <t>https://www.youtube.com/watch?v=_27jaF_oZco&amp;list=PLaHmC9pxzevpEDOuWCKZPWyWhLNCgZFLy&amp;index=49</t>
  </si>
  <si>
    <t>Long Vũ dùng "tuyệt chiêu năn nỉ" | Về Quê Làm Giàu Tập 1 | Best cut</t>
  </si>
  <si>
    <t>long vu dung tuyet chieu nan ni ve que lam giau tap 1 best cut</t>
  </si>
  <si>
    <t>2025-04-02T06:40:07.000Z</t>
  </si>
  <si>
    <t>rY-xiAnBi-Y</t>
  </si>
  <si>
    <t>https://www.youtube.com/watch?v=rY-xiAnBi-Y&amp;list=PLaHmC9pxzevpEDOuWCKZPWyWhLNCgZFLy&amp;index=54</t>
  </si>
  <si>
    <t>Nghệ sĩ không ai chịu thua ai, trọng tài cũng đau đầu | Về Quê Làm Giàu Tập 2 | Best cut</t>
  </si>
  <si>
    <t>nghe si khong ai chiu thua ai trong tai cung dau dau ve que lam giau tap 2 best cut</t>
  </si>
  <si>
    <t>2025-04-09T12:30:54.000Z</t>
  </si>
  <si>
    <t>opsCcmXU974</t>
  </si>
  <si>
    <t>https://www.youtube.com/watch?v=opsCcmXU974&amp;list=PLaHmC9pxzevpEDOuWCKZPWyWhLNCgZFLy&amp;index=48</t>
  </si>
  <si>
    <t>Mỗi ngày kéo 100 tấn cá - Nghệ  sĩ sửng sốt | Về Quê Làm Giàu tập 1 | Best cut</t>
  </si>
  <si>
    <t>moi ngay keo 100 tan ca nghe si sung sot ve que lam giau tap 1 best cut</t>
  </si>
  <si>
    <t>2025-03-29T03:49:36.000Z</t>
  </si>
  <si>
    <t>F_Espiet8fk</t>
  </si>
  <si>
    <t>https://www.youtube.com/watch?v=F_Espiet8fk&amp;list=PLaHmC9pxzevpEDOuWCKZPWyWhLNCgZFLy&amp;index=53</t>
  </si>
  <si>
    <t>4 nghệ sĩ toát mồ hôi hột với trải nghiệm ủ muối và làm cá | Về Quê Làm Giàu Tập 2 | Best cut</t>
  </si>
  <si>
    <t>4 nghe si toat mo hoi hot voi trai nghiem u muoi va lam ca ve que lam giau tap 2 best cut</t>
  </si>
  <si>
    <t>2025-04-09T08:30:10.000Z</t>
  </si>
  <si>
    <t>szWfI-Nc_58</t>
  </si>
  <si>
    <t>https://www.youtube.com/watch?v=szWfI-Nc_58&amp;list=PLaHmC9pxzevpEDOuWCKZPWyWhLNCgZFLy&amp;index=50</t>
  </si>
  <si>
    <t>Chị đẹp Diệp Lâm Anh đam mê mua hải sản | Về Quê Làm Giàu Tập 1 | Best cut</t>
  </si>
  <si>
    <t>chi dep diep lam anh dam me mua hai san ve que lam giau tap 1 best cut</t>
  </si>
  <si>
    <t>2025-04-02T08:40:01.000Z</t>
  </si>
  <si>
    <t>Y_FguZjFYLA</t>
  </si>
  <si>
    <t>https://www.youtube.com/watch?v=Y_FguZjFYLA&amp;list=PLaHmC9pxzevpEDOuWCKZPWyWhLNCgZFLy&amp;index=47</t>
  </si>
  <si>
    <t>Long Vũ, Diệp Lâm Anh tranh tài bán cá | Về Quê Làm Giàu tập 1 | Best cut</t>
  </si>
  <si>
    <t>long vu diep lam anh tranh tai ban ca ve que lam giau tap 1 best cut</t>
  </si>
  <si>
    <t>2025-03-28T15:30:16.000Z</t>
  </si>
  <si>
    <t>wcQadfdI4Fg</t>
  </si>
  <si>
    <t>https://www.youtube.com/watch?v=wcQadfdI4Fg&amp;list=PLaHmC9pxzevpEDOuWCKZPWyWhLNCgZFLy&amp;index=2</t>
  </si>
  <si>
    <t>Quyền Linh - Diệp Lâm Anh làm nước mắm Ba Làng, bán rau má, nem chua| Về Quê Làm Giàu Tập 2</t>
  </si>
  <si>
    <t>quyen linh diep lam anh lam nuoc mam ba lang ban rau ma nem chua ve que lam giau tap 2</t>
  </si>
  <si>
    <t>2025-04-05T13:30:06.000Z</t>
  </si>
  <si>
    <t>p9qxYMXGvAU</t>
  </si>
  <si>
    <t>https://www.youtube.com/watch?v=p9qxYMXGvAU&amp;list=PLaHmC9pxzevpEDOuWCKZPWyWhLNCgZFLy&amp;index=59</t>
  </si>
  <si>
    <t>Thanh Duy Idol say mê mùi hương xạ tại Làng hương Thôn Cao | Về Quê Làm Giàu tập 3</t>
  </si>
  <si>
    <t>thanh duy idol say me mui huong xa tai lang huong thon cao ve que lam giau tap 3</t>
  </si>
  <si>
    <t>2025-04-13T09:48:07.000Z</t>
  </si>
  <si>
    <t>KZARv3e_gCM</t>
  </si>
  <si>
    <t>https://www.youtube.com/watch?v=KZARv3e_gCM&amp;list=PLaHmC9pxzevpEDOuWCKZPWyWhLNCgZFLy&amp;index=66</t>
  </si>
  <si>
    <t>Quyền Linh tập trung cao độ trong thử thách se hương | Về Quê Làm Giàu tập 3</t>
  </si>
  <si>
    <t>quyen linh tap trung cao do trong thu thach se huong ve que lam giau tap 3</t>
  </si>
  <si>
    <t>2025-04-14T07:00:16.000Z</t>
  </si>
  <si>
    <t>YcKCw_xHiKs</t>
  </si>
  <si>
    <t>https://www.youtube.com/watch?v=YcKCw_xHiKs&amp;list=PLaHmC9pxzevpEDOuWCKZPWyWhLNCgZFLy&amp;index=57</t>
  </si>
  <si>
    <t>Quyền Linh khuấy đảo sân khấu với hit "Về quê làm giàu” | Về Quê Làm Giàu Tập 2 | Best cut</t>
  </si>
  <si>
    <t>quyen linh khuay dao san khau voi hit ve que lam giau ve que lam giau tap 2 best cut</t>
  </si>
  <si>
    <t>2025-04-09T23:00:33.000Z</t>
  </si>
  <si>
    <t>93rVD6AAnsA</t>
  </si>
  <si>
    <t>https://www.youtube.com/watch?v=93rVD6AAnsA&amp;list=PLaHmC9pxzevpEDOuWCKZPWyWhLNCgZFLy&amp;index=62</t>
  </si>
  <si>
    <t>Thu Hà Ceri thán phục khi Long Vũ se hương thành thạo | Về Quê Làm Giàu tập 3</t>
  </si>
  <si>
    <t>thu ha ceri than phuc khi long vu se huong thanh thao ve que lam giau tap 3</t>
  </si>
  <si>
    <t>2025-04-13T15:50:01.000Z</t>
  </si>
  <si>
    <t>QzH8J3qdrFc</t>
  </si>
  <si>
    <t>https://www.youtube.com/watch?v=QzH8J3qdrFc&amp;list=PLaHmC9pxzevpEDOuWCKZPWyWhLNCgZFLy&amp;index=77</t>
  </si>
  <si>
    <t>Bài hát Trống Quân của Thanh Duy, Long Vũ, Thu Hà Ceri | Về Quê Làm Giàu tập 4</t>
  </si>
  <si>
    <t>bai hat trong quan cua thanh duy long vu thu ha ceri ve que lam giau tap 4</t>
  </si>
  <si>
    <t>2025-04-18T16:06:00.000Z</t>
  </si>
  <si>
    <t>Kbz72ZTvz3M</t>
  </si>
  <si>
    <t>https://www.youtube.com/watch?v=Kbz72ZTvz3M&amp;list=PLaHmC9pxzevpEDOuWCKZPWyWhLNCgZFLy&amp;index=17</t>
  </si>
  <si>
    <t>VỀ QUÊ LÀM GIÀU - TẬP 2 | OFFICIAL TRAILER</t>
  </si>
  <si>
    <t>ve que lam giau tap 2 official trailer</t>
  </si>
  <si>
    <t>2025-04-04T13:37:30.000Z</t>
  </si>
  <si>
    <t>WHhzDPFAdhw</t>
  </si>
  <si>
    <t>https://www.youtube.com/watch?v=WHhzDPFAdhw&amp;list=PLaHmC9pxzevpEDOuWCKZPWyWhLNCgZFLy&amp;index=79</t>
  </si>
  <si>
    <t>Quyền Linh "loay hoay" với thử thách làm vòng hương  | Về Quê Làm Giàu tập 4</t>
  </si>
  <si>
    <t>quyen linh loay hoay voi thu thach lam vong huong ve que lam giau tap 4</t>
  </si>
  <si>
    <t>2025-04-23T10:36:11.000Z</t>
  </si>
  <si>
    <t>mo8We4paKOk</t>
  </si>
  <si>
    <t>https://www.youtube.com/watch?v=mo8We4paKOk&amp;list=PLaHmC9pxzevpEDOuWCKZPWyWhLNCgZFLy&amp;index=55</t>
  </si>
  <si>
    <t>Long Vũ vào thế khó, buộc phải thắng Thu Hà Ceri | Về Quê Làm Giàu Tập 2 | Best cut</t>
  </si>
  <si>
    <t>long vu vao the kho buoc phai thang thu ha ceri ve que lam giau tap 2 best cut</t>
  </si>
  <si>
    <t>2025-04-09T14:01:00.000Z</t>
  </si>
  <si>
    <t>bwl5WST3kOs</t>
  </si>
  <si>
    <t>https://www.youtube.com/watch?v=bwl5WST3kOs&amp;list=PLaHmC9pxzevpEDOuWCKZPWyWhLNCgZFLy&amp;index=27</t>
  </si>
  <si>
    <t>VỀ QUÊ LÀM GIÀU | HIGHLIGHT TẬP 1 - THANH HÓA</t>
  </si>
  <si>
    <t>ve que lam giau highlight tap 1 thanh hoa</t>
  </si>
  <si>
    <t>2025-03-25T12:17:59.000Z</t>
  </si>
  <si>
    <t>29RCIP1f5RE</t>
  </si>
  <si>
    <t>https://www.youtube.com/watch?v=29RCIP1f5RE&amp;list=PLaHmC9pxzevpEDOuWCKZPWyWhLNCgZFLy&amp;index=32</t>
  </si>
  <si>
    <t>Màn ráp cực cháy của 3 nghệ sĩ | Về Quê Làm Giàu tập 1 | Best cut</t>
  </si>
  <si>
    <t>man rap cuc chay cua 3 nghe si ve que lam giau tap 1 best cut</t>
  </si>
  <si>
    <t>2025-03-28T08:30:00.000Z</t>
  </si>
  <si>
    <t>cYuxm_E7GSg</t>
  </si>
  <si>
    <t>https://www.youtube.com/watch?v=cYuxm_E7GSg&amp;list=PLaHmC9pxzevpEDOuWCKZPWyWhLNCgZFLy&amp;index=24</t>
  </si>
  <si>
    <t>VỀ QUÊ LÀM GIÀU - TẬP 3 | OFFICIAL TRAILER</t>
  </si>
  <si>
    <t>ve que lam giau tap 3 official trailer</t>
  </si>
  <si>
    <t>2025-04-11T08:17:00.000Z</t>
  </si>
  <si>
    <t>ID8pQoIH9G8</t>
  </si>
  <si>
    <t>https://www.youtube.com/watch?v=ID8pQoIH9G8&amp;list=PLaHmC9pxzevpEDOuWCKZPWyWhLNCgZFLy&amp;index=28</t>
  </si>
  <si>
    <t>Nghệ sĩ hào hứng với đặc sản Thanh Hóa | Về Quê Làm Giàu tập 1 | Best cut</t>
  </si>
  <si>
    <t>nghe si hao hung voi dac san thanh hoa ve que lam giau tap 1 best cut</t>
  </si>
  <si>
    <t>2025-03-28T12:30:17.000Z</t>
  </si>
  <si>
    <t>kpPXYlvTBYY</t>
  </si>
  <si>
    <t>https://www.youtube.com/watch?v=kpPXYlvTBYY&amp;list=PLaHmC9pxzevpEDOuWCKZPWyWhLNCgZFLy&amp;index=38</t>
  </si>
  <si>
    <t>"VỀ QUÊ LÀM GIÀU" TRÊN HÀNH TRÌNH GIỮ LỬA NGHỀ HƯƠNG TRUYỀN THỐNG</t>
  </si>
  <si>
    <t>ve que lam giau tren hanh trinh giu lua nghe huong truyen thong</t>
  </si>
  <si>
    <t>2025-03-01T03:16:00.000Z</t>
  </si>
  <si>
    <t>KpkbDHLUoTY</t>
  </si>
  <si>
    <t>https://www.youtube.com/watch?v=KpkbDHLUoTY&amp;list=PLaHmC9pxzevpEDOuWCKZPWyWhLNCgZFLy&amp;index=18</t>
  </si>
  <si>
    <t>VỀ QUÊ LÀM GIÀU | PHONG CẢNH NỔI TIẾNG TẠI THANH HÓA</t>
  </si>
  <si>
    <t>ve que lam giau phong canh noi tieng tai thanh hoa</t>
  </si>
  <si>
    <t>2025-03-25T11:57:39.000Z</t>
  </si>
  <si>
    <t>uAlATReBJ-o</t>
  </si>
  <si>
    <t>https://www.youtube.com/watch?v=uAlATReBJ-o&amp;list=PLaHmC9pxzevpEDOuWCKZPWyWhLNCgZFLy&amp;index=44</t>
  </si>
  <si>
    <t>ĐÀI PHÁT THANH VÀ TRUYỀN HÌNH HÀ NỘI ĐƯA TIN VỀ CHƯƠNG TRÌNH "VÈ QUÊ LÀM GIÀU" CỦA HALOTIMES</t>
  </si>
  <si>
    <t>dai phat thanh va truyen hinh ha noi dua tin ve chuong trinh ve que lam giau cua halotimes</t>
  </si>
  <si>
    <t>2025-02-26T04:08:28.000Z</t>
  </si>
  <si>
    <t>6eR4wbC0ct8</t>
  </si>
  <si>
    <t>https://www.youtube.com/watch?v=6eR4wbC0ct8&amp;list=PLaHmC9pxzevpEDOuWCKZPWyWhLNCgZFLy&amp;index=39</t>
  </si>
  <si>
    <t>THEO CHÂN EKIP "VỀ QUÊ LÀM GIÀU" KHÁM PHÁ GIA ĐÌNH BA ĐỜI LÀM HƯƠNG TRUYỀN THỐNG</t>
  </si>
  <si>
    <t>theo chan ekip ve que lam giau kham pha gia dinh ba doi lam huong truyen thong</t>
  </si>
  <si>
    <t>2025-03-01T03:11:38.000Z</t>
  </si>
  <si>
    <t>95Hy2KrhoGI</t>
  </si>
  <si>
    <t>https://www.youtube.com/watch?v=95Hy2KrhoGI&amp;list=PLaHmC9pxzevpEDOuWCKZPWyWhLNCgZFLy&amp;index=46</t>
  </si>
  <si>
    <t>Nghệ sĩ thể hiện phong cách "có 1-0-2" | Về Quê Làm Giàu tập 1 | Best cut</t>
  </si>
  <si>
    <t>nghe si the hien phong cach co 1 0 2 ve que lam giau tap 1 best cut</t>
  </si>
  <si>
    <t>2025-03-28T14:30:05.000Z</t>
  </si>
  <si>
    <t>TIuUw_cs05s</t>
  </si>
  <si>
    <t>https://www.youtube.com/watch?v=TIuUw_cs05s&amp;list=PLaHmC9pxzevpEDOuWCKZPWyWhLNCgZFLy&amp;index=35</t>
  </si>
  <si>
    <t>Dàn cast Về Quê Làm Giàu xuất hiện trong livestream quảng bá đặc sản Thanh Hóa</t>
  </si>
  <si>
    <t>dan cast ve que lam giau xuat hien trong livestream quang ba dac san thanh hoa</t>
  </si>
  <si>
    <t>2025-03-04T09:08:00.000Z</t>
  </si>
  <si>
    <t>8v67kTmOO6o</t>
  </si>
  <si>
    <t>https://www.youtube.com/watch?v=8v67kTmOO6o&amp;list=PLaHmC9pxzevpEDOuWCKZPWyWhLNCgZFLy&amp;index=52</t>
  </si>
  <si>
    <t>Muốn ăn mắm Ba Làng – nghệ sĩ cũng phải tự tay làm | Về Quê Làm Giàu Tập 2 | Best cut</t>
  </si>
  <si>
    <t>muon an mam ba lang nghe si cung phai tu tay lam ve que lam giau tap 2 best cut</t>
  </si>
  <si>
    <t>2025-04-09T06:41:40.000Z</t>
  </si>
  <si>
    <t>mUe_NxKys2Q</t>
  </si>
  <si>
    <t>https://www.youtube.com/watch?v=mUe_NxKys2Q&amp;list=PLaHmC9pxzevpEDOuWCKZPWyWhLNCgZFLy&amp;index=51</t>
  </si>
  <si>
    <t>Team Quyền Linh &amp; Thu Hà Ceri "chốt đơn thần tốc" | Về Quê Làm Giàu Tập 1 | Best cut</t>
  </si>
  <si>
    <t>team quyen linh thu ha ceri chot don than toc ve que lam giau tap 1 best cut</t>
  </si>
  <si>
    <t>2025-04-02T10:40:00.000Z</t>
  </si>
  <si>
    <t>0EB2UsanY6Y</t>
  </si>
  <si>
    <t>https://www.youtube.com/watch?v=0EB2UsanY6Y&amp;list=PLaHmC9pxzevpEDOuWCKZPWyWhLNCgZFLy&amp;index=69</t>
  </si>
  <si>
    <t>Quyền Linh khen tài se hương của Long Vũ | Về Quê Làm Giàu tập 3</t>
  </si>
  <si>
    <t>quyen linh khen tai se huong cua long vu ve que lam giau tap 3</t>
  </si>
  <si>
    <t>2025-04-14T13:00:03.000Z</t>
  </si>
  <si>
    <t>qTUVYBdVEcA</t>
  </si>
  <si>
    <t>https://www.youtube.com/watch?v=qTUVYBdVEcA&amp;list=PLaHmC9pxzevpEDOuWCKZPWyWhLNCgZFLy&amp;index=7</t>
  </si>
  <si>
    <t>Ngọc Châu catwalk giữa chợ cá, MC Quyền Linh vất vả băng rừng | VỀ QUÊ LÀM GIÀU - TẬP 7</t>
  </si>
  <si>
    <t>ngoc chau catwalk giua cho ca mc quyen linh vat va bang rung ve que lam giau tap 7</t>
  </si>
  <si>
    <t>2025-05-10T13:30:06.000Z</t>
  </si>
  <si>
    <t>0qjH2iw0ML4</t>
  </si>
  <si>
    <t>https://www.youtube.com/watch?v=0qjH2iw0ML4&amp;list=PLaHmC9pxzevpEDOuWCKZPWyWhLNCgZFLy&amp;index=6</t>
  </si>
  <si>
    <t>Ngô Lan Hương trổ tài tráng bánh “độc lạ“, Long Vũ bị tố “chơi ăn gian” | VỀ QUÊ LÀM GIÀU - TẬP 6</t>
  </si>
  <si>
    <t>ngo lan huong tro tai trang banh doc la long vu bi to choi an gian ve que lam giau tap 6</t>
  </si>
  <si>
    <t>2025-05-03T13:30:06.000Z</t>
  </si>
  <si>
    <t>https://www.youtube.com/watch?v=-yrVBJdccvk&amp;list=PLaHmC9pxzevpEDOuWCKZPWyWhLNCgZFLy&amp;index=42</t>
  </si>
  <si>
    <t>ĐÀI TRUYỀN HÌNH HẢI DƯƠNG ĐƯA TIN VỀ CHƯƠNG TRÌNH "VỀ QUÊ LÀM GIÀU" CỦA HALOTIMES</t>
  </si>
  <si>
    <t>dai truyen hinh hai duong dua tin ve chuong trinh ve que lam giau cua halotimes</t>
  </si>
  <si>
    <t>2025-02-26T04:12:55.000Z</t>
  </si>
  <si>
    <t>heubU2dyhwo</t>
  </si>
  <si>
    <t>https://www.youtube.com/watch?v=heubU2dyhwo&amp;list=PLaHmC9pxzevpEDOuWCKZPWyWhLNCgZFLy&amp;index=8</t>
  </si>
  <si>
    <t>Ngọc Châu và Long Vũ “cà khịa” cực gắt tại vườn bắp cải | VỀ QUÊ LÀM GIÀU - TẬP 8</t>
  </si>
  <si>
    <t>ngoc chau va long vu ca khia cuc gat tai vuon bap cai ve que lam giau tap 8</t>
  </si>
  <si>
    <t>2025-05-17T13:30:06.000Z</t>
  </si>
  <si>
    <t>9aDmE9J0DyI</t>
  </si>
  <si>
    <t>https://www.youtube.com/watch?v=9aDmE9J0DyI&amp;list=PLaHmC9pxzevpEDOuWCKZPWyWhLNCgZFLy&amp;index=10</t>
  </si>
  <si>
    <t>Lâm Vỹ Dạ vượt Hari Won - Long Vũ, thắng lớn thử thách bán mè xửng |VỀ QUÊ LÀM GIÀU - TẬP 10 | HUẾ</t>
  </si>
  <si>
    <t>lam vy da vuot hari won long vu thang lon thu thach ban me xung ve que lam giau tap 10 hue</t>
  </si>
  <si>
    <t>2025-06-07T13:30:06.000Z</t>
  </si>
  <si>
    <t>C7-AkYwsuCM</t>
  </si>
  <si>
    <t>https://www.youtube.com/watch?v=C7-AkYwsuCM&amp;list=PLaHmC9pxzevpEDOuWCKZPWyWhLNCgZFLy&amp;index=67</t>
  </si>
  <si>
    <t>Thử thách bó hương làm kh�� Thanh Duy Idol | Về Quê Làm Giàu tập 3</t>
  </si>
  <si>
    <t>thu thach bo huong lam kh thanh duy idol ve que lam giau tap 3</t>
  </si>
  <si>
    <t>2025-04-14T09:00:14.000Z</t>
  </si>
  <si>
    <t>STF63O87120</t>
  </si>
  <si>
    <t>https://www.youtube.com/watch?v=STF63O87120&amp;list=PLaHmC9pxzevpEDOuWCKZPWyWhLNCgZFLy&amp;index=74</t>
  </si>
  <si>
    <t>Quyền Linh mờ mắt, Thanh Duy run tay.... | Về Quê Làm Giàu tập 4</t>
  </si>
  <si>
    <t>quyen linh mo mat thanh duy run tay ve que lam giau tap 4</t>
  </si>
  <si>
    <t>2025-04-18T14:36:00.000Z</t>
  </si>
  <si>
    <t>YjL3RYvn_4Y</t>
  </si>
  <si>
    <t>https://www.youtube.com/watch?v=YjL3RYvn_4Y&amp;list=PLaHmC9pxzevpEDOuWCKZPWyWhLNCgZFLy&amp;index=34</t>
  </si>
  <si>
    <t>HÀNH TRÌNH "VỀ QUÊ LÀM GIÀU" CỦA HOA HẬU BÙI QUỲNH HOA</t>
  </si>
  <si>
    <t>hanh trinh ve que lam giau cua hoa hau bui quynh hoa</t>
  </si>
  <si>
    <t>2025-03-04T12:40:21.000Z</t>
  </si>
  <si>
    <t>leQhZmRny9I</t>
  </si>
  <si>
    <t>https://www.youtube.com/watch?v=leQhZmRny9I&amp;list=PLaHmC9pxzevpEDOuWCKZPWyWhLNCgZFLy&amp;index=80</t>
  </si>
  <si>
    <t>Long Vũ trổ tài làm hương với phương châm "chậm mà chắc" | Về Quê Làm Giàu tập 4</t>
  </si>
  <si>
    <t>long vu tro tai lam huong voi phuong cham cham ma chac ve que lam giau tap 4</t>
  </si>
  <si>
    <t>2025-04-23T12:31:03.000Z</t>
  </si>
  <si>
    <t>BOMD</t>
  </si>
  <si>
    <t>Bố Ơi! Mình Đi Đâu Thế?</t>
  </si>
  <si>
    <t>BOMD_S5</t>
  </si>
  <si>
    <t>Fvli_D_EoCw</t>
  </si>
  <si>
    <t>https://www.youtube.com/watch?v=Fvli_D_EoCw&amp;list=PLLg_kRqp4Dpq0Gd1snNkyj5FF7hFIpGku&amp;index=13</t>
  </si>
  <si>
    <t>Tập 13 | Bố Ơi Mình Đi Đâu Thế: MinHee - Bean căng thẳng, các bố con tạm biệt Nghệ An</t>
  </si>
  <si>
    <t>tap 13 bo oi minh di dau the minhee bean cang thang cac bo con tam biet nghe an</t>
  </si>
  <si>
    <t>UC1VAL4j9yiPQVKMtIS1yUOA</t>
  </si>
  <si>
    <t>TV HUB</t>
  </si>
  <si>
    <t>PLLg_kRqp4Dpq0Gd1snNkyj5FF7hFIpGku</t>
  </si>
  <si>
    <t>2025-08-11T14:30:11.000Z</t>
  </si>
  <si>
    <t>2026-08-12T14:35:58.521860+07:00</t>
  </si>
  <si>
    <t>M0iLROnbvwHh43uim</t>
  </si>
  <si>
    <t>DXXdSc1rNwc</t>
  </si>
  <si>
    <t>https://www.youtube.com/watch?v=DXXdSc1rNwc&amp;list=PLLg_kRqp4Dpq0Gd1snNkyj5FF7hFIpGku&amp;index=5</t>
  </si>
  <si>
    <t>TẬP 5 | BỐ ƠI MÌNH ĐI ĐÂU THẾ | CHẠM TAY DI SẢN: Tràng An Kỳ Thú, Các Bố Vật Lộn Trên Sông Sào Khê</t>
  </si>
  <si>
    <t>tap 5 bo oi minh di dau the cham tay di san trang an ky thu cac bo vat lon tren song sao khe</t>
  </si>
  <si>
    <t>2025-06-16T14:30:07.000Z</t>
  </si>
  <si>
    <t>_f4_DNW3cOw</t>
  </si>
  <si>
    <t>https://www.youtube.com/watch?v=_f4_DNW3cOw&amp;list=PLLg_kRqp4Dpq0Gd1snNkyj5FF7hFIpGku&amp;index=6</t>
  </si>
  <si>
    <t>TẬP 6 | BỐ ƠI MÌNH ĐI ĐÂU THẾ | Bỏ Phố Về Quê: Bố Thấm Khổ Làm Nông Dân, Con Ngỡ Ngàng Vì Thiếu Thốn</t>
  </si>
  <si>
    <t>tap 6 bo oi minh di dau the bo pho ve que bo tham kho lam nong dan con ngo ngang vi thieu thon</t>
  </si>
  <si>
    <t>2025-06-23T14:30:11.000Z</t>
  </si>
  <si>
    <t>vQbaWhp_Xak</t>
  </si>
  <si>
    <t>https://www.youtube.com/watch?v=vQbaWhp_Xak&amp;list=PLLg_kRqp4Dpq0Gd1snNkyj5FF7hFIpGku&amp;index=10</t>
  </si>
  <si>
    <t>Tập 10 BỐ ƠI MÌNH ĐI ĐÂU THẾ: Học nuôi bò tại trang trại TH true MILK – MinHee tái xuất đầy bất ngờ</t>
  </si>
  <si>
    <t>tap 10 bo oi minh di dau the hoc nuoi bo tai trang trai th true milk minhee tai xuat day bat ngo</t>
  </si>
  <si>
    <t>2025-07-21T14:30:07.000Z</t>
  </si>
  <si>
    <t>pRRB_IHmyQc</t>
  </si>
  <si>
    <t>https://www.youtube.com/watch?v=pRRB_IHmyQc&amp;list=PLLg_kRqp4Dpq0Gd1snNkyj5FF7hFIpGku&amp;index=9</t>
  </si>
  <si>
    <t>Tập 9 | BỐ ƠI MÌNH ĐI ĐÂU THẾ: Đông vui quá nhở, CONCERT cấp làng sắp diễn ra à?</t>
  </si>
  <si>
    <t>tap 9 bo oi minh di dau the dong vui qua nho concert cap lang sap dien ra a</t>
  </si>
  <si>
    <t>2025-07-14T14:30:11.000Z</t>
  </si>
  <si>
    <t>Uhe7UTfPxm8</t>
  </si>
  <si>
    <t>https://www.youtube.com/watch?v=Uhe7UTfPxm8&amp;list=PLLg_kRqp4Dpq0Gd1snNkyj5FF7hFIpGku&amp;index=15</t>
  </si>
  <si>
    <t>Tập 15 Bố Ơi Mình Đi Đâu Thế: Kết thúc hành trình dài bên nhau, dàn cast BẬT KHÓC giây phút chia tay</t>
  </si>
  <si>
    <t>tap 15 bo oi minh di dau the ket thuc hanh trinh dai ben nhau dan cast bat khoc giay phut chia tay</t>
  </si>
  <si>
    <t>2025-08-25T14:00:11.000Z</t>
  </si>
  <si>
    <t>sJMNwmNex2g</t>
  </si>
  <si>
    <t>https://www.youtube.com/watch?v=sJMNwmNex2g&amp;list=PLLg_kRqp4Dpq0Gd1snNkyj5FF7hFIpGku&amp;index=8</t>
  </si>
  <si>
    <t>TẬP 8 | BỐ ƠI MÌNH ĐI ĐÂU THẾ: Bean ĂN GIAN, Duy Hưng Flex Tài Nấu Nướng, Neko Lê NỔI NÓNG Với Audi</t>
  </si>
  <si>
    <t>tap 8 bo oi minh di dau the bean an gian duy hung flex tai nau nuong neko le noi nong voi audi</t>
  </si>
  <si>
    <t>2025-07-07T14:30:07.000Z</t>
  </si>
  <si>
    <t>https://www.youtube.com/watch?v=-kOTrJmFHOM&amp;list=PLLg_kRqp4Dpq0Gd1snNkyj5FF7hFIpGku&amp;index=7</t>
  </si>
  <si>
    <t>Tập 7 | BỐ ƠI MÌNH ĐI ĐÂU THẾ | Bố Duy Hưng Dùng Tuyệt Chiêu Của Bố Mẹ Miền Bắc: "MỒM"</t>
  </si>
  <si>
    <t>tap 7 bo oi minh di dau the bo duy hung dung tuyet chieu cua bo me mien bac mom</t>
  </si>
  <si>
    <t>2025-06-30T14:30:11.000Z</t>
  </si>
  <si>
    <t>LI_POgljc7M</t>
  </si>
  <si>
    <t>https://www.youtube.com/watch?v=LI_POgljc7M&amp;list=PLLg_kRqp4Dpq0Gd1snNkyj5FF7hFIpGku&amp;index=11</t>
  </si>
  <si>
    <t>Tập 11 | BỐ ƠI MÌNH ĐI ĐÂU THẾ: Bố Duy Hưng mơ ước có 1 cô con gái, chương trình cho hẳn 4 CÔ</t>
  </si>
  <si>
    <t>tap 11 bo oi minh di dau the bo duy hung mo uoc co 1 co con gai chuong trinh cho han 4 co</t>
  </si>
  <si>
    <t>2025-07-28T14:30:07.000Z</t>
  </si>
  <si>
    <t>gPv2ph-qQiE</t>
  </si>
  <si>
    <t>https://www.youtube.com/watch?v=gPv2ph-qQiE&amp;list=PLLg_kRqp4Dpq0Gd1snNkyj5FF7hFIpGku&amp;index=1</t>
  </si>
  <si>
    <t>TẬP 1 | BỐ ƠI MÌNH ĐI ĐÂU THẾ: Bố Neko, Trung Ruồi, Duy Hưng, Phan Đinh Tùng lần đầu Vượt Chông Gai</t>
  </si>
  <si>
    <t>tap 1 bo oi minh di dau the bo neko trung ruoi duy hung phan dinh tung lan dau vuot chong gai</t>
  </si>
  <si>
    <t>2025-05-19T14:30:06.000Z</t>
  </si>
  <si>
    <t>x1YgevrYL_c</t>
  </si>
  <si>
    <t>https://www.youtube.com/watch?v=x1YgevrYL_c&amp;list=PLLg_kRqp4Dpq0Gd1snNkyj5FF7hFIpGku&amp;index=14</t>
  </si>
  <si>
    <t>Tập 14 | Bố Ơi Mình Đi Đâu Thế: Tới Nha Trang các bố mở POOL PARTY, Minh Khôi RỤNG răng, Dứa ỐM</t>
  </si>
  <si>
    <t>tap 14 bo oi minh di dau the toi nha trang cac bo mo pool party minh khoi rung rang dua om</t>
  </si>
  <si>
    <t>2025-08-18T14:30:11.000Z</t>
  </si>
  <si>
    <t>0AaN18FJ33k</t>
  </si>
  <si>
    <t>https://www.youtube.com/watch?v=0AaN18FJ33k&amp;list=PLLg_kRqp4Dpq0Gd1snNkyj5FF7hFIpGku&amp;index=12</t>
  </si>
  <si>
    <t>Tập 12 | Bố Ơi Mình Đi Đâu Thế: Picnic ruộng đồng CỰC CHILL, Neko &amp; Audi chơi GAME "AO TRÌNH"</t>
  </si>
  <si>
    <t>tap 12 bo oi minh di dau the picnic ruong dong cuc chill neko audi choi game ao trinh</t>
  </si>
  <si>
    <t>2025-08-04T14:30:11.000Z</t>
  </si>
  <si>
    <t>pKfFq9l2BBY</t>
  </si>
  <si>
    <t>https://www.youtube.com/watch?v=pKfFq9l2BBY&amp;list=PLLg_kRqp4Dpq0Gd1snNkyj5FF7hFIpGku&amp;index=3</t>
  </si>
  <si>
    <t>TẬP 3 | BỐ ƠI MÌNH ĐI ĐÂU THẾ | Các Bố Khởi Nghiệp VỠ NỢ, Bean Bị Bố Hưng Mắng, Dứa &amp; Noah Dỗi Nhau</t>
  </si>
  <si>
    <t>tap 3 bo oi minh di dau the cac bo khoi nghiep vo no bean bi bo hung mang dua noah doi nhau</t>
  </si>
  <si>
    <t>2025-06-02T15:00:11.000Z</t>
  </si>
  <si>
    <t>mge2uRKtAN4</t>
  </si>
  <si>
    <t>https://www.youtube.com/watch?v=mge2uRKtAN4&amp;list=PLLg_kRqp4Dpq0Gd1snNkyj5FF7hFIpGku&amp;index=4</t>
  </si>
  <si>
    <t>TẬP 4 | BỐ ƠI MÌNH ĐI ĐÂU THẾ | 7749 Kiếp Nạn Của Bố Tập Sự S.T Sơn Thạch Với 5 “Cơn Lốc Nhí”</t>
  </si>
  <si>
    <t>tap 4 bo oi minh di dau the 7749 kiep nan cua bo tap su s t son thach voi 5 con loc nhi</t>
  </si>
  <si>
    <t>2025-06-09T14:15:10.000Z</t>
  </si>
  <si>
    <t>sKarv-10zd4</t>
  </si>
  <si>
    <t>https://www.youtube.com/watch?v=sKarv-10zd4&amp;list=PLLg_kRqp4Dpq0Gd1snNkyj5FF7hFIpGku&amp;index=2</t>
  </si>
  <si>
    <t>TẬP 2 | BỐ ƠI MÌNH ĐI ĐÂU THẾ: DỨA và NOAH giận nhau, AUDI khóc nhớ ba NEKO, BEAN nhất quyết ĐỢI BỐ</t>
  </si>
  <si>
    <t>tap 2 bo oi minh di dau the dua va noah gian nhau audi khoc nho ba neko bean nhat quyet doi bo</t>
  </si>
  <si>
    <t>2025-05-26T14:30:06.000Z</t>
  </si>
  <si>
    <t>BDSS</t>
  </si>
  <si>
    <t>Biệt Đội Siêu Sao</t>
  </si>
  <si>
    <t>BDSS_2024</t>
  </si>
  <si>
    <t>em3qd9ALQ_k</t>
  </si>
  <si>
    <t>https://www.youtube.com/watch?v=em3qd9ALQ_k&amp;list=PLJSRfYQoW3dn5wLuH9xgrMbaazxZdZBZ_&amp;index=8</t>
  </si>
  <si>
    <t>Biệt Đội Siêu Sao - Tập 7 | Cười nội thương với lớp học thổi tù và</t>
  </si>
  <si>
    <t>biet doi sieu sao tap 7 cuoi noi thuong voi lop hoc thoi tu va</t>
  </si>
  <si>
    <t>PLJSRfYQoW3dn5wLuH9xgrMbaazxZdZBZ_</t>
  </si>
  <si>
    <t>2025-01-09T09:33:30.000Z</t>
  </si>
  <si>
    <t>2026-08-12T14:37:51.304460+07:00</t>
  </si>
  <si>
    <t>hCOw653KWtWb6Gu2q</t>
  </si>
  <si>
    <t>CkH-aahQlWI</t>
  </si>
  <si>
    <t>https://www.youtube.com/watch?v=CkH-aahQlWI&amp;list=PLJSRfYQoW3dn5wLuH9xgrMbaazxZdZBZ_&amp;index=11</t>
  </si>
  <si>
    <t>Biệt Đội Siêu Sao |Tập 3| “Hình tượng” thế nào cũng được, miễn ăn “nhanh” là được</t>
  </si>
  <si>
    <t>biet doi sieu sao tap 3 hinh tuong the nao cung duoc mien an nhanh la duoc</t>
  </si>
  <si>
    <t>2025-01-02T04:54:13.000Z</t>
  </si>
  <si>
    <t>gNoXsbSDAM4</t>
  </si>
  <si>
    <t>https://www.youtube.com/watch?v=gNoXsbSDAM4&amp;list=PLJSRfYQoW3dn5wLuH9xgrMbaazxZdZBZ_&amp;index=7</t>
  </si>
  <si>
    <t>Biệt Đội Siêu Sao | Tập 8 (11/1/2025)</t>
  </si>
  <si>
    <t>biet doi sieu sao tap 8 11 1 2025</t>
  </si>
  <si>
    <t>2025-01-11T15:30:25.000Z</t>
  </si>
  <si>
    <t>sgDn9MObkyQ</t>
  </si>
  <si>
    <t>https://www.youtube.com/watch?v=sgDn9MObkyQ&amp;list=PLJSRfYQoW3dn5wLuH9xgrMbaazxZdZBZ_&amp;index=17</t>
  </si>
  <si>
    <t>Biệt Đội Siêu Sao - Tập 3 | Anh em đại chiến (7/12/2024)</t>
  </si>
  <si>
    <t>biet doi sieu sao tap 3 anh em dai chien 7 12 2024</t>
  </si>
  <si>
    <t>2024-12-07T15:30:06.000Z</t>
  </si>
  <si>
    <t>tbIkG1bP21s</t>
  </si>
  <si>
    <t>https://www.youtube.com/watch?v=tbIkG1bP21s&amp;list=PLJSRfYQoW3dn5wLuH9xgrMbaazxZdZBZ_&amp;index=6</t>
  </si>
  <si>
    <t>Biệt Đội Siêu Sao | Tập 6 | Thử thách nhảy dây đồng đội - tưởng không khó, nhưng khó không tưởng</t>
  </si>
  <si>
    <t>biet doi sieu sao tap 6 thu thach nhay day dong doi tuong khong kho nhung kho khong tuong</t>
  </si>
  <si>
    <t>2025-01-14T07:18:10.000Z</t>
  </si>
  <si>
    <t>gCiu-t2OOBQ</t>
  </si>
  <si>
    <t>https://www.youtube.com/watch?v=gCiu-t2OOBQ&amp;list=PLJSRfYQoW3dn5wLuH9xgrMbaazxZdZBZ_&amp;index=16</t>
  </si>
  <si>
    <t>Cuộc đua tìm đồ | Biệt đội siêu sao - Tập 3</t>
  </si>
  <si>
    <t>cuoc dua tim do biet doi sieu sao tap 3</t>
  </si>
  <si>
    <t>2024-12-08T13:56:11.000Z</t>
  </si>
  <si>
    <t>220_-Zei9wY</t>
  </si>
  <si>
    <t>https://www.youtube.com/watch?v=220_-Zei9wY&amp;list=PLJSRfYQoW3dn5wLuH9xgrMbaazxZdZBZ_&amp;index=22</t>
  </si>
  <si>
    <t>Biệt Đội Siêu Sao - Tập 2: Thử thách đốt calo nhiều lắm rồi!  (30/11/2024)</t>
  </si>
  <si>
    <t>biet doi sieu sao tap 2 thu thach dot calo nhieu lam roi 30 11 2024</t>
  </si>
  <si>
    <t>2024-11-30T15:30:06.000Z</t>
  </si>
  <si>
    <t>ZrpW0dLJeKA</t>
  </si>
  <si>
    <t>https://www.youtube.com/watch?v=ZrpW0dLJeKA&amp;list=PLJSRfYQoW3dn5wLuH9xgrMbaazxZdZBZ_&amp;index=19</t>
  </si>
  <si>
    <t>Thử thách vượt sông cam go | Biệt đội siêu sao - Tập 2</t>
  </si>
  <si>
    <t>thu thach vuot song cam go biet doi sieu sao tap 2</t>
  </si>
  <si>
    <t>2024-12-03T04:30:28.000Z</t>
  </si>
  <si>
    <t>IHWoHOBR65s</t>
  </si>
  <si>
    <t>https://www.youtube.com/watch?v=IHWoHOBR65s&amp;list=PLJSRfYQoW3dn5wLuH9xgrMbaazxZdZBZ_&amp;index=18</t>
  </si>
  <si>
    <t>Biệt Đội Siêu Sao | Tập 2 | Biệt đội chị em quằn quại với thử thách “lộn vòng gõ chiêng”</t>
  </si>
  <si>
    <t>biet doi sieu sao tap 2 biet doi chi em quan quai voi thu thach lon vong go chieng</t>
  </si>
  <si>
    <t>2024-12-05T09:30:11.000Z</t>
  </si>
  <si>
    <t>aKbpd0Gc4NE</t>
  </si>
  <si>
    <t>https://www.youtube.com/watch?v=aKbpd0Gc4NE&amp;list=PLJSRfYQoW3dn5wLuH9xgrMbaazxZdZBZ_&amp;index=14</t>
  </si>
  <si>
    <t>Biệt Đội Siêu Sao | Tập 4 (14/12/2024)</t>
  </si>
  <si>
    <t>biet doi sieu sao tap 4 14 12 2024</t>
  </si>
  <si>
    <t>2024-12-14T15:30:06.000Z</t>
  </si>
  <si>
    <t>x3QzUpw8Vc4</t>
  </si>
  <si>
    <t>https://www.youtube.com/watch?v=x3QzUpw8Vc4&amp;list=PLJSRfYQoW3dn5wLuH9xgrMbaazxZdZBZ_&amp;index=24</t>
  </si>
  <si>
    <t>Biệt đội siêu sao - Tập 1 | Cùng biệt đội khám phá các di tích lịch sử ở Điện Biên (23/11/2024)</t>
  </si>
  <si>
    <t>biet doi sieu sao tap 1 cung biet doi kham pha cac di tich lich su o dien bien 23 11 2024</t>
  </si>
  <si>
    <t>2024-11-23T15:35:31.000Z</t>
  </si>
  <si>
    <t>YXe44-Ir70c</t>
  </si>
  <si>
    <t>https://www.youtube.com/watch?v=YXe44-Ir70c&amp;list=PLJSRfYQoW3dn5wLuH9xgrMbaazxZdZBZ_&amp;index=13</t>
  </si>
  <si>
    <t>Biệt Đội Siêu Sao | Tập 5 (21/12/2024)</t>
  </si>
  <si>
    <t>biet doi sieu sao tap 5 21 12 2024</t>
  </si>
  <si>
    <t>2024-12-21T16:00:33.000Z</t>
  </si>
  <si>
    <t>istxFhCRiyc</t>
  </si>
  <si>
    <t>https://www.youtube.com/watch?v=istxFhCRiyc&amp;list=PLJSRfYQoW3dn5wLuH9xgrMbaazxZdZBZ_&amp;index=20</t>
  </si>
  <si>
    <t>Thử thách đua tìm truyền thuyết tình yêu ở Điện Biên | Biệt đội siêu sao - Tập 2</t>
  </si>
  <si>
    <t>thu thach dua tim truyen thuyet tinh yeu o dien bien biet doi sieu sao tap 2</t>
  </si>
  <si>
    <t>2024-12-02T07:49:03.000Z</t>
  </si>
  <si>
    <t>5jy539SOOMY</t>
  </si>
  <si>
    <t>https://www.youtube.com/watch?v=5jy539SOOMY&amp;list=PLJSRfYQoW3dn5wLuH9xgrMbaazxZdZBZ_&amp;index=28</t>
  </si>
  <si>
    <t>Biệt Đội Siêu Sao | Tập 11 | Huyền Baby thẳng tay loại đồng đội dù nắm rõ luật chơi</t>
  </si>
  <si>
    <t>biet doi sieu sao tap 11 huyen baby thang tay loai dong doi du nam ro luat choi</t>
  </si>
  <si>
    <t>2025-02-13T10:00:07.000Z</t>
  </si>
  <si>
    <t>XlCiIilvnAw</t>
  </si>
  <si>
    <t>https://www.youtube.com/watch?v=XlCiIilvnAw&amp;list=PLJSRfYQoW3dn5wLuH9xgrMbaazxZdZBZ_&amp;index=4</t>
  </si>
  <si>
    <t>Biệt Đội Siêu Sao | Tập 10 (25/1/2025)</t>
  </si>
  <si>
    <t>biet doi sieu sao tap 10 25 1 2025</t>
  </si>
  <si>
    <t>2025-01-25T16:00:36.000Z</t>
  </si>
  <si>
    <t>RLLLk4_E8vU</t>
  </si>
  <si>
    <t>https://www.youtube.com/watch?v=RLLLk4_E8vU&amp;list=PLJSRfYQoW3dn5wLuH9xgrMbaazxZdZBZ_&amp;index=15</t>
  </si>
  <si>
    <t>Bữa tiệc trên cánh đồng ruộng | Biệt đội siêu sao - Tập 3</t>
  </si>
  <si>
    <t>bua tiec tren canh dong ruong biet doi sieu sao tap 3</t>
  </si>
  <si>
    <t>2024-12-09T04:30:14.000Z</t>
  </si>
  <si>
    <t>UH83PpqVq2Y</t>
  </si>
  <si>
    <t>https://www.youtube.com/watch?v=UH83PpqVq2Y&amp;list=PLJSRfYQoW3dn5wLuH9xgrMbaazxZdZBZ_&amp;index=12</t>
  </si>
  <si>
    <t>Biệt Đội Siêu Sao | Tập 6 (28/12/2024 )</t>
  </si>
  <si>
    <t>biet doi sieu sao tap 6 28 12 2024</t>
  </si>
  <si>
    <t>2024-12-28T16:00:23.000Z</t>
  </si>
  <si>
    <t>oMNwMZHWFMI</t>
  </si>
  <si>
    <t>https://www.youtube.com/watch?v=oMNwMZHWFMI&amp;list=PLJSRfYQoW3dn5wLuH9xgrMbaazxZdZBZ_&amp;index=26</t>
  </si>
  <si>
    <t>2025-02-13T07:00:35.000Z</t>
  </si>
  <si>
    <t>6B4BYVa2gtY</t>
  </si>
  <si>
    <t>https://www.youtube.com/watch?v=6B4BYVa2gtY&amp;list=PLJSRfYQoW3dn5wLuH9xgrMbaazxZdZBZ_&amp;index=29</t>
  </si>
  <si>
    <t>Biệt Đội Siêu Sao | Tập 12 (15/2/2025)</t>
  </si>
  <si>
    <t>biet doi sieu sao tap 12 15 2 2025</t>
  </si>
  <si>
    <t>2025-02-15T16:00:06.000Z</t>
  </si>
  <si>
    <t>JkxLSCiofxI</t>
  </si>
  <si>
    <t>https://www.youtube.com/watch?v=JkxLSCiofxI&amp;list=PLJSRfYQoW3dn5wLuH9xgrMbaazxZdZBZ_&amp;index=3</t>
  </si>
  <si>
    <t>Tiến Luật "chơi dơ" không qua mắt được Lan Ngọc</t>
  </si>
  <si>
    <t>tien luat choi do khong qua mat duoc lan ngoc</t>
  </si>
  <si>
    <t>2025-01-27T06:00:20.000Z</t>
  </si>
  <si>
    <t>sVmvRv353zY</t>
  </si>
  <si>
    <t>https://www.youtube.com/watch?v=sVmvRv353zY&amp;list=PLJSRfYQoW3dn5wLuH9xgrMbaazxZdZBZ_&amp;index=5</t>
  </si>
  <si>
    <t>Biệt Đội Siêu Sao | Tập 9 (18/1/2025)</t>
  </si>
  <si>
    <t>biet doi sieu sao tap 9 18 1 2025</t>
  </si>
  <si>
    <t>2025-01-18T15:30:06.000Z</t>
  </si>
  <si>
    <t>7cBMzNTHogQ</t>
  </si>
  <si>
    <t>https://www.youtube.com/watch?v=7cBMzNTHogQ&amp;list=PLJSRfYQoW3dn5wLuH9xgrMbaazxZdZBZ_&amp;index=1</t>
  </si>
  <si>
    <t>Biệt Đội Siêu Sao | Tập 11 (8/2/2025)</t>
  </si>
  <si>
    <t>biet doi sieu sao tap 11 8 2 2025</t>
  </si>
  <si>
    <t>2025-02-08T16:00:10.000Z</t>
  </si>
  <si>
    <t>2VvR3sJvwDA</t>
  </si>
  <si>
    <t>https://www.youtube.com/watch?v=2VvR3sJvwDA&amp;list=PLJSRfYQoW3dn5wLuH9xgrMbaazxZdZBZ_&amp;index=2</t>
  </si>
  <si>
    <t>Biệt Đội Siêu Sao | Tập 10 | Tiến Luật "chơi dơ" không qua mắt được Lan Ngọc</t>
  </si>
  <si>
    <t>biet doi sieu sao tap 10 tien luat choi do khong qua mat duoc lan ngoc</t>
  </si>
  <si>
    <t>2025-01-27T12:00:04.000Z</t>
  </si>
  <si>
    <t>Ia1FVmIhgzI</t>
  </si>
  <si>
    <t>https://www.youtube.com/watch?v=Ia1FVmIhgzI&amp;list=PLJSRfYQoW3dn5wLuH9xgrMbaazxZdZBZ_&amp;index=9</t>
  </si>
  <si>
    <t>Biệt Đội Siêu Sao - Tập 7 | Thử thách truy tìm manh mối tại trường Cao đẳng Đà Lạt</t>
  </si>
  <si>
    <t>biet doi sieu sao tap 7 thu thach truy tim manh moi tai truong cao dang da lat</t>
  </si>
  <si>
    <t>2025-01-07T07:19:31.000Z</t>
  </si>
  <si>
    <t>fCe9j5pA6MI</t>
  </si>
  <si>
    <t>https://www.youtube.com/watch?v=fCe9j5pA6MI&amp;list=PLJSRfYQoW3dn5wLuH9xgrMbaazxZdZBZ_&amp;index=30</t>
  </si>
  <si>
    <t>Biệt Đội Siêu Sao | Tập 11 | Tiến Luật và Liên Bỉnh Phát gặp khó khi dựng "Nhà cộng đồng"</t>
  </si>
  <si>
    <t>biet doi sieu sao tap 11 tien luat va lien binh phat gap kho khi dung nha cong dong</t>
  </si>
  <si>
    <t>2025-02-17T01:00:34.000Z</t>
  </si>
  <si>
    <t>rO2VAgmasqM</t>
  </si>
  <si>
    <t>https://www.youtube.com/watch?v=rO2VAgmasqM&amp;list=PLJSRfYQoW3dn5wLuH9xgrMbaazxZdZBZ_&amp;index=21</t>
  </si>
  <si>
    <t>Cùng vượt qua thử thách nhưng lại bất đồng việc ăn ngủ | Biệt đội siêu sao - Tập 2</t>
  </si>
  <si>
    <t>cung vuot qua thu thach nhung lai bat dong viec an ngu biet doi sieu sao tap 2</t>
  </si>
  <si>
    <t>2024-12-01T10:28:14.000Z</t>
  </si>
  <si>
    <t>Ze6Rr5IY1Ds</t>
  </si>
  <si>
    <t>https://www.youtube.com/watch?v=Ze6Rr5IY1Ds&amp;list=PLJSRfYQoW3dn5wLuH9xgrMbaazxZdZBZ_&amp;index=27</t>
  </si>
  <si>
    <t>Biệt Đội Siêu Sao | Ngồi ăn với người chiến thắng mà áp lực ngang</t>
  </si>
  <si>
    <t>biet doi sieu sao ngoi an voi nguoi chien thang ma ap luc ngang</t>
  </si>
  <si>
    <t>2025-02-13T07:57:14.000Z</t>
  </si>
  <si>
    <t>https://www.youtube.com/watch?v=-cpnMv1MpFI&amp;list=PLJSRfYQoW3dn5wLuH9xgrMbaazxZdZBZ_&amp;index=25</t>
  </si>
  <si>
    <t>BIỆT ĐỘI SIÊU SAO | TẬP 11 | Liên Bỉnh Phát ăn sáng giùm Jun Vũ và Lan Ngọc</t>
  </si>
  <si>
    <t>biet doi sieu sao tap 11 lien binh phat an sang gium jun vu va lan ngoc</t>
  </si>
  <si>
    <t>2025-02-12T10:30:19.000Z</t>
  </si>
  <si>
    <t>C2FL7DB0S20</t>
  </si>
  <si>
    <t>https://www.youtube.com/watch?v=C2FL7DB0S20&amp;list=PLJSRfYQoW3dn5wLuH9xgrMbaazxZdZBZ_&amp;index=23</t>
  </si>
  <si>
    <t>Biệt đội siêu sao | Xe số sàn thử thách tay lái lụa Tiến Luật - Lan Ngọc</t>
  </si>
  <si>
    <t>biet doi sieu sao xe so san thu thach tay lai lua tien luat lan ngoc</t>
  </si>
  <si>
    <t>2024-11-24T08:54:22.000Z</t>
  </si>
  <si>
    <t>WgVwv460vH8</t>
  </si>
  <si>
    <t>https://www.youtube.com/watch?v=WgVwv460vH8&amp;list=PLJSRfYQoW3dn5wLuH9xgrMbaazxZdZBZ_&amp;index=10</t>
  </si>
  <si>
    <t>Biệt Đội Siêu Sao | Tập 4 | Lan Ngọc hóa "Ác Nữ", sơ hở là trèo đầu cưỡi cổ Liên Bỉnh Phát</t>
  </si>
  <si>
    <t>biet doi sieu sao tap 4 lan ngoc hoa ac nu so ho la treo dau cuoi co lien binh phat</t>
  </si>
  <si>
    <t>2025-01-02T04:54:42.000Z</t>
  </si>
  <si>
    <t>LCHC</t>
  </si>
  <si>
    <t>La Cà Hát Ca</t>
  </si>
  <si>
    <t>LCHC_2023</t>
  </si>
  <si>
    <t>e3zGKMHKn9A</t>
  </si>
  <si>
    <t>https://www.youtube.com/watch?v=e3zGKMHKn9A&amp;list=PLJSRfYQoW3dmvVTD69QV9X8wpEgxGFfca&amp;index=21</t>
  </si>
  <si>
    <t>LA CA HÁT CA | TẬP 4 | “QUẨY BANH NÓC” VỚI TIẾNG TRỐNG PARANƯNG</t>
  </si>
  <si>
    <t>la ca hat ca tap 4 quay banh noc voi tieng trong paranung</t>
  </si>
  <si>
    <t>PLJSRfYQoW3dmvVTD69QV9X8wpEgxGFfca</t>
  </si>
  <si>
    <t>2023-07-18T14:00:33.000Z</t>
  </si>
  <si>
    <t>2026-08-12T14:39:15.554943+07:00</t>
  </si>
  <si>
    <t>STIIyERd6mW9xKeJl</t>
  </si>
  <si>
    <t>ar2xzYoi8BY</t>
  </si>
  <si>
    <t>https://www.youtube.com/watch?v=ar2xzYoi8BY&amp;list=PLJSRfYQoW3dmvVTD69QV9X8wpEgxGFfca&amp;index=11</t>
  </si>
  <si>
    <t>LA CÀ HÁT CA | TẬP 3 | BLACKA GỬI GẮM CA KHÚC MỚI DÀNH TẶNG NINH THUẬN</t>
  </si>
  <si>
    <t>la ca hat ca tap 3 blacka gui gam ca khuc moi danh tang ninh thuan</t>
  </si>
  <si>
    <t>2023-07-10T09:00:02.000Z</t>
  </si>
  <si>
    <t>VQFZ8hBX8M4</t>
  </si>
  <si>
    <t>https://www.youtube.com/watch?v=VQFZ8hBX8M4&amp;list=PLJSRfYQoW3dmvVTD69QV9X8wpEgxGFfca&amp;index=24</t>
  </si>
  <si>
    <t>LA CÀ HÁT CA | TẬP 5 | THÍCH CÁI CÁCH TEAM LA CÀ "FLEX" TÌNH YÊU DÀNH CHO HÀ NỘI 🤩</t>
  </si>
  <si>
    <t>la ca hat ca tap 5 thich cai cach team la ca flex tinh yeu danh cho ha noi</t>
  </si>
  <si>
    <t>2023-07-28T09:52:48.000Z</t>
  </si>
  <si>
    <t>B2tRR8fGb6c</t>
  </si>
  <si>
    <t>https://www.youtube.com/watch?v=B2tRR8fGb6c&amp;list=PLJSRfYQoW3dmvVTD69QV9X8wpEgxGFfca&amp;index=18</t>
  </si>
  <si>
    <t>Khi Trung Quân Idol "Đánh Thức" Những Kẻ Mộng Mơ...</t>
  </si>
  <si>
    <t>khi trung quan idol danh thuc nhung ke mong mo</t>
  </si>
  <si>
    <t>2023-07-17T12:48:27.000Z</t>
  </si>
  <si>
    <t>8gGzIo_vgxA</t>
  </si>
  <si>
    <t>https://www.youtube.com/watch?v=8gGzIo_vgxA&amp;list=PLJSRfYQoW3dmvVTD69QV9X8wpEgxGFfca&amp;index=7</t>
  </si>
  <si>
    <t>LA CÀ HÁT CA | TẬP 2 | Myra Trần đem hit của Đông Nhi “quậy tung” Đà Lạt</t>
  </si>
  <si>
    <t>la ca hat ca tap 2 myra tran dem hit cua dong nhi quay tung da lat</t>
  </si>
  <si>
    <t>2023-07-04T09:44:01.000Z</t>
  </si>
  <si>
    <t>https://www.youtube.com/watch?v=-wCGpXvncaY&amp;list=PLJSRfYQoW3dmvVTD69QV9X8wpEgxGFfca&amp;index=19</t>
  </si>
  <si>
    <t>Nghe Ưng Hoàng Phúc "Nói Hết Chân Tình" Chàng Khờ Thuỷ Chung...</t>
  </si>
  <si>
    <t>nghe ung hoang phuc noi het chan tinh chang kho thuy chung</t>
  </si>
  <si>
    <t>2023-07-17T14:30:01.000Z</t>
  </si>
  <si>
    <t>kldTtB2O6mI</t>
  </si>
  <si>
    <t>https://www.youtube.com/watch?v=kldTtB2O6mI&amp;list=PLJSRfYQoW3dmvVTD69QV9X8wpEgxGFfca&amp;index=15</t>
  </si>
  <si>
    <t>LA CÀ HÁT CA | TẬP 4 | JUN PHẠM KHÓC THÉT KHI BỊ ÉP "KPI"</t>
  </si>
  <si>
    <t>la ca hat ca tap 4 jun pham khoc thet khi bi ep kpi</t>
  </si>
  <si>
    <t>2023-07-16T15:00:28.000Z</t>
  </si>
  <si>
    <t>C7hRrH4zIps</t>
  </si>
  <si>
    <t>https://www.youtube.com/watch?v=C7hRrH4zIps&amp;list=PLJSRfYQoW3dmvVTD69QV9X8wpEgxGFfca&amp;index=9</t>
  </si>
  <si>
    <t>LA CÀ HÁT CA | TẬP 2 | TRUNG QUÂN IDOL TỰ NHẬN “NGON” NHẤT ĐÀ LẠT</t>
  </si>
  <si>
    <t>la ca hat ca tap 2 trung quan idol tu nhan ngon nhat da lat</t>
  </si>
  <si>
    <t>2023-07-05T09:00:08.000Z</t>
  </si>
  <si>
    <t>owrjStOq_FQ</t>
  </si>
  <si>
    <t>https://www.youtube.com/watch?v=owrjStOq_FQ&amp;list=PLJSRfYQoW3dmvVTD69QV9X8wpEgxGFfca&amp;index=20</t>
  </si>
  <si>
    <t>LA CA HÁT CA | TẬP 4 | LÀM GỐM THÔI MÀ CÓ CẦN “NGHẸT THỞ” ĐẾN THẾ?</t>
  </si>
  <si>
    <t>la ca hat ca tap 4 lam gom thoi ma co can nghet tho den the</t>
  </si>
  <si>
    <t>2023-07-18T10:00:27.000Z</t>
  </si>
  <si>
    <t>oPDMC8DP8g4</t>
  </si>
  <si>
    <t>https://www.youtube.com/watch?v=oPDMC8DP8g4&amp;list=PLJSRfYQoW3dmvVTD69QV9X8wpEgxGFfca&amp;index=14</t>
  </si>
  <si>
    <t>LA CA HÁT CA | TẬP 3 | NINH THUẬN NHẮC JUN NHỚ VỀ "1900 HỒI ĐÓ"</t>
  </si>
  <si>
    <t>la ca hat ca tap 3 ninh thuan nhac jun nho ve 1900 hoi do</t>
  </si>
  <si>
    <t>2023-07-11T09:00:25.000Z</t>
  </si>
  <si>
    <t>8poLNRFOrI0</t>
  </si>
  <si>
    <t>https://www.youtube.com/watch?v=8poLNRFOrI0&amp;list=PLJSRfYQoW3dmvVTD69QV9X8wpEgxGFfca&amp;index=6</t>
  </si>
  <si>
    <t>LA CÀ HÁT CA - TẬP 2: Thanh xuân của chúng ta</t>
  </si>
  <si>
    <t>la ca hat ca tap 2 thanh xuan cua chung ta</t>
  </si>
  <si>
    <t>2023-07-02T15:00:08.000Z</t>
  </si>
  <si>
    <t>j323rj9yoeA</t>
  </si>
  <si>
    <t>https://www.youtube.com/watch?v=j323rj9yoeA&amp;list=PLJSRfYQoW3dmvVTD69QV9X8wpEgxGFfca&amp;index=10</t>
  </si>
  <si>
    <t>LA CÀ HÁT CA | TẬP 3 | ƯNG HOÀNG PHÚC ĐƯỢC FAN "NỰNG YÊU" KHI ĐANG LÀM THỬ THÁCH</t>
  </si>
  <si>
    <t>la ca hat ca tap 3 ung hoang phuc duoc fan nung yeu khi dang lam thu thach</t>
  </si>
  <si>
    <t>2023-07-09T15:00:35.000Z</t>
  </si>
  <si>
    <t>tKksb_J2Z00</t>
  </si>
  <si>
    <t>https://www.youtube.com/watch?v=tKksb_J2Z00&amp;list=PLJSRfYQoW3dmvVTD69QV9X8wpEgxGFfca&amp;index=25</t>
  </si>
  <si>
    <t>LA CÀ HÁT CA | TẬP 6 | 30/7/2023</t>
  </si>
  <si>
    <t>la ca hat ca tap 6 30 7 2023</t>
  </si>
  <si>
    <t>2023-07-30T15:00:41.000Z</t>
  </si>
  <si>
    <t>fIyv0H0OUgg</t>
  </si>
  <si>
    <t>https://www.youtube.com/watch?v=fIyv0H0OUgg&amp;list=PLJSRfYQoW3dmvVTD69QV9X8wpEgxGFfca&amp;index=17</t>
  </si>
  <si>
    <t>LA CA HÁT CA | TẬP 4 | ƯNG HOÀNG PHÚC NÁO LOẠN NINH THUẬN BẰNG “VẦNG TRĂNG CÔ ĐƠN”</t>
  </si>
  <si>
    <t>la ca hat ca tap 4 ung hoang phuc nao loan ninh thuan bang vang trang co don</t>
  </si>
  <si>
    <t>2023-07-17T11:30:15.000Z</t>
  </si>
  <si>
    <t>DfyU9OA7P-4</t>
  </si>
  <si>
    <t>https://www.youtube.com/watch?v=DfyU9OA7P-4&amp;list=PLJSRfYQoW3dmvVTD69QV9X8wpEgxGFfca&amp;index=27</t>
  </si>
  <si>
    <t>LA CÀ HÁT CA | TẬP 5 | TRỌNG HIẾU XÚC ĐỘNG CHIA SẺ VỀ BỐ TẠI SÂN KHẤU LA CÀ HÁT CA</t>
  </si>
  <si>
    <t>la ca hat ca tap 5 trong hieu xuc dong chia se ve bo tai san khau la ca hat ca</t>
  </si>
  <si>
    <t>2023-08-01T14:00:09.000Z</t>
  </si>
  <si>
    <t>mrqtBSHnR10</t>
  </si>
  <si>
    <t>https://www.youtube.com/watch?v=mrqtBSHnR10&amp;list=PLJSRfYQoW3dmvVTD69QV9X8wpEgxGFfca&amp;index=3</t>
  </si>
  <si>
    <t>LA CÀ HÁT CA - TẬP 1 | BUỔI TRỒNG CÂY "BẤT ỔN"CỦA JUN</t>
  </si>
  <si>
    <t>la ca hat ca tap 1 buoi trong cay bat on cua jun</t>
  </si>
  <si>
    <t>2023-06-28T09:00:24.000Z</t>
  </si>
  <si>
    <t>uSGn0ij4YmI</t>
  </si>
  <si>
    <t>https://www.youtube.com/watch?v=uSGn0ij4YmI&amp;list=PLJSRfYQoW3dmvVTD69QV9X8wpEgxGFfca&amp;index=22</t>
  </si>
  <si>
    <t>LA CÀ HÁT CA | TẬP 5 | NGÔ KIẾN HUY VÀ CHIẾC LƯNG MÚA AEROBIC CỰC DẺO</t>
  </si>
  <si>
    <t>la ca hat ca tap 5 ngo kien huy va chiec lung mua aerobic cuc deo</t>
  </si>
  <si>
    <t>2023-07-23T15:00:44.000Z</t>
  </si>
  <si>
    <t>Ur-O91HqH0M</t>
  </si>
  <si>
    <t>https://www.youtube.com/watch?v=Ur-O91HqH0M&amp;list=PLJSRfYQoW3dmvVTD69QV9X8wpEgxGFfca&amp;index=4</t>
  </si>
  <si>
    <t>LA CÀ HÁT CA | TẬP 1| MYRA TRẦN - TRUNG QUÂN IDOL XANH XÁM MẶT MÀY KHI BỊ THẦY GIÁO NHẮC TÊN</t>
  </si>
  <si>
    <t>la ca hat ca tap 1 myra tran trung quan idol xanh xam mat may khi bi thay giao nhac ten</t>
  </si>
  <si>
    <t>2023-06-29T03:00:11.000Z</t>
  </si>
  <si>
    <t>Y9f8JutiBgc</t>
  </si>
  <si>
    <t>https://www.youtube.com/watch?v=Y9f8JutiBgc&amp;list=PLJSRfYQoW3dmvVTD69QV9X8wpEgxGFfca&amp;index=1</t>
  </si>
  <si>
    <t>LA CÀ HÁT CA | TẬP 1 | XUẤT HIỆN "PHI THUYỀN" VÀ "ĐOÀN DU HÀNH GIA" TẠI LA CÀ HÁT CA</t>
  </si>
  <si>
    <t>la ca hat ca tap 1 xuat hien phi thuyen va doan du hanh gia tai la ca hat ca</t>
  </si>
  <si>
    <t>2023-06-25T15:00:18.000Z</t>
  </si>
  <si>
    <t>a0mmirqe2pk</t>
  </si>
  <si>
    <t>https://www.youtube.com/watch?v=a0mmirqe2pk&amp;list=PLJSRfYQoW3dmvVTD69QV9X8wpEgxGFfca&amp;index=2</t>
  </si>
  <si>
    <t>LA CÀ HÁT CA | TẬP 1 | 🤣 LA CÀ BAND MUỐN "VÀO ĐỜI" HÁT CA 🤣</t>
  </si>
  <si>
    <t>la ca hat ca tap 1 la ca band muon vao doi hat ca</t>
  </si>
  <si>
    <t>2023-06-28T12:00:01.000Z</t>
  </si>
  <si>
    <t>https://www.youtube.com/watch?v=-iUM_VFRk5U&amp;list=PLJSRfYQoW3dmvVTD69QV9X8wpEgxGFfca&amp;index=28</t>
  </si>
  <si>
    <t>LA CÀ HÁT CA | TẬP 6 | PHIÊN BẢN NÀY LẠ MÀ BÁNH CUỐN ĐẾN KHÔNG NGỜ</t>
  </si>
  <si>
    <t>la ca hat ca tap 6 phien ban nay la ma banh cuon den khong ngo</t>
  </si>
  <si>
    <t>2023-08-02T11:30:00.000Z</t>
  </si>
  <si>
    <t>TP-RdBtBv6o</t>
  </si>
  <si>
    <t>https://www.youtube.com/watch?v=TP-RdBtBv6o&amp;list=PLJSRfYQoW3dmvVTD69QV9X8wpEgxGFfca&amp;index=5</t>
  </si>
  <si>
    <t>LA CÀ HÁT CA | TẬP 1 | HÀNH TRÌNH LÊN "PHI THUYỀN TƯỞNG TƯỢNG" ĐẦY BẤT ỔN</t>
  </si>
  <si>
    <t>la ca hat ca tap 1 hanh trinh len phi thuyen tuong tuong day bat on</t>
  </si>
  <si>
    <t>2023-06-28T15:30:07.000Z</t>
  </si>
  <si>
    <t>8lTMF4KHaOU</t>
  </si>
  <si>
    <t>https://www.youtube.com/watch?v=8lTMF4KHaOU&amp;list=PLJSRfYQoW3dmvVTD69QV9X8wpEgxGFfca&amp;index=30</t>
  </si>
  <si>
    <t>LA CA HÁT CA | TẬP 5 | LA CA HÁT CA | TẬP 5| ANH HAI BÁO NGÔ KIẾN HUY ĐẨY ĐỒNG ĐỘI VÀO "KIẾP NẠN 81"</t>
  </si>
  <si>
    <t>la ca hat ca tap 5 la ca hat ca tap 5 anh hai bao ngo kien huy day dong doi vao kiep nan 81</t>
  </si>
  <si>
    <t>2023-08-07T04:26:48.000Z</t>
  </si>
  <si>
    <t>jAHfjRa5MOU</t>
  </si>
  <si>
    <t>https://www.youtube.com/watch?v=jAHfjRa5MOU&amp;list=PLJSRfYQoW3dmvVTD69QV9X8wpEgxGFfca&amp;index=16</t>
  </si>
  <si>
    <t>Bạn Có Muốn Mãi Mãi Là Cô Bé Vô Tư Của Một Ai Đó?</t>
  </si>
  <si>
    <t>ban co muon mai mai la co be vo tu cua mot ai do</t>
  </si>
  <si>
    <t>2023-07-17T08:27:34.000Z</t>
  </si>
  <si>
    <t>mpkDUuCOkfU</t>
  </si>
  <si>
    <t>https://www.youtube.com/watch?v=mpkDUuCOkfU&amp;list=PLJSRfYQoW3dmvVTD69QV9X8wpEgxGFfca&amp;index=12</t>
  </si>
  <si>
    <t>LA CA HÁT CA | TẬP 3 | CHO MYRA TRẦN GẦN NINH THUẬN THÊM CHÚT NỮA</t>
  </si>
  <si>
    <t>la ca hat ca tap 3 cho myra tran gan ninh thuan them chut nua</t>
  </si>
  <si>
    <t>2023-07-11T08:00:17.000Z</t>
  </si>
  <si>
    <t>L-mEt6NfURE</t>
  </si>
  <si>
    <t>https://www.youtube.com/watch?v=L-mEt6NfURE&amp;list=PLJSRfYQoW3dmvVTD69QV9X8wpEgxGFfca&amp;index=26</t>
  </si>
  <si>
    <t>LA CA HÁT CA | TẬP 5 | TRỌNG HIẾU BÙNG NỔ SÂN KHẤU LA CÀ HÁT CA</t>
  </si>
  <si>
    <t>la ca hat ca tap 5 trong hieu bung no san khau la ca hat ca</t>
  </si>
  <si>
    <t>2023-07-31T13:00:14.000Z</t>
  </si>
  <si>
    <t>tCGYNoj8c3M</t>
  </si>
  <si>
    <t>https://www.youtube.com/watch?v=tCGYNoj8c3M&amp;list=PLJSRfYQoW3dmvVTD69QV9X8wpEgxGFfca&amp;index=13</t>
  </si>
  <si>
    <t>LA CÀ HÁT CA  | TẬP 3 | CHÚ BA VÀ BÉ NĂM LÁCH LUẬT HÁI NHO 🤣</t>
  </si>
  <si>
    <t>la ca hat ca tap 3 chu ba va be nam lach luat hai nho</t>
  </si>
  <si>
    <t>2023-07-11T14:00:40.000Z</t>
  </si>
  <si>
    <t>SUZTMbXQznw</t>
  </si>
  <si>
    <t>https://www.youtube.com/watch?v=SUZTMbXQznw&amp;list=PLJSRfYQoW3dmvVTD69QV9X8wpEgxGFfca&amp;index=8</t>
  </si>
  <si>
    <t>LA CÀ HÁT CA | TẬP 2 | ĐẠI HỌC ĐÀ LẠT KHUẤY ĐỘNG VỚI "THANH XUÂN CỦA CHÚNG TA"</t>
  </si>
  <si>
    <t>la ca hat ca tap 2 dai hoc da lat khuay dong voi thanh xuan cua chung ta</t>
  </si>
  <si>
    <t>2023-07-05T01:00:09.000Z</t>
  </si>
  <si>
    <t>d8PZd92kEKY</t>
  </si>
  <si>
    <t>https://www.youtube.com/watch?v=d8PZd92kEKY&amp;list=PLJSRfYQoW3dmvVTD69QV9X8wpEgxGFfca&amp;index=23</t>
  </si>
  <si>
    <t>LA CÀ HÁT CA | TẬP 4 | THỔN THỨC CON TIM KHI NGHE "VỚI ANH EM VẪN LÀ CÔ BÉ"</t>
  </si>
  <si>
    <t>la ca hat ca tap 4 thon thuc con tim khi nghe voi anh em van la co be</t>
  </si>
  <si>
    <t>2023-07-26T06:45:57.000Z</t>
  </si>
  <si>
    <t>6igCf-EP3Tc</t>
  </si>
  <si>
    <t>https://www.youtube.com/watch?v=6igCf-EP3Tc&amp;list=PLJSRfYQoW3dmvVTD69QV9X8wpEgxGFfca&amp;index=29</t>
  </si>
  <si>
    <t>LA CÀ HÁT CA | TẬP 6 | DỄ THƯƠNG HẾT NẤC VỚI PHIÊN BẢN ÔNG BÀ ANH THỜI HIỆN ĐẠI</t>
  </si>
  <si>
    <t>la ca hat ca tap 6 de thuong het nac voi phien ban ong ba anh thoi hien dai</t>
  </si>
  <si>
    <t>2023-08-06T13:00:08.000Z</t>
  </si>
  <si>
    <t>MAGDV</t>
  </si>
  <si>
    <t>Mái Ấm Gia Đình Việt</t>
  </si>
  <si>
    <t>MAGDV_CONTINUOUS</t>
  </si>
  <si>
    <t>rolling_weekly</t>
  </si>
  <si>
    <t>u3Nf5NWjc5o</t>
  </si>
  <si>
    <t>https://www.youtube.com/watch?v=u3Nf5NWjc5o&amp;list=PLDNVHSVr-vVkKKgcJr--k4Dtplx8TwHmW&amp;index=43</t>
  </si>
  <si>
    <t>Mái Ấm Gia Đình Việt Tập 154: DV Bảo Hân nghẹn ngào 2 bức thư tay dành cho người không thể nhận được</t>
  </si>
  <si>
    <t>mai am gia dinh viet tap 154 dv bao han nghen ngao 2 buc thu tay danh cho nguoi khong the nhan duoc</t>
  </si>
  <si>
    <t>UClOMHp76zB3wHcKGYxTRWFA</t>
  </si>
  <si>
    <t>Bee Comm Network</t>
  </si>
  <si>
    <t>PLDNVHSVr-vVkKKgcJr--k4Dtplx8TwHmW</t>
  </si>
  <si>
    <t>2025-10-03T13:45:06.000Z</t>
  </si>
  <si>
    <t>2026-08-12T14:46:24.722846+07:00</t>
  </si>
  <si>
    <t>sDohYjzPWy7mI5wyY</t>
  </si>
  <si>
    <t>LvbZv-w8gws</t>
  </si>
  <si>
    <t>https://www.youtube.com/watch?v=LvbZv-w8gws&amp;list=PLDNVHSVr-vVkKKgcJr--k4Dtplx8TwHmW&amp;index=33</t>
  </si>
  <si>
    <t>Mái Ấm Gia Đình Việt 164: Xót xa hành trình người mẹ qua 7 cuộc phẫu thuật, HuyR nén sự xúc động</t>
  </si>
  <si>
    <t>mai am gia dinh viet 164 xot xa hanh trinh nguoi me qua 7 cuoc phau thuat huyr nen su xuc dong</t>
  </si>
  <si>
    <t>2025-12-12T12:55:06.000Z</t>
  </si>
  <si>
    <t>cDzgtwULGg8</t>
  </si>
  <si>
    <t>https://www.youtube.com/watch?v=cDzgtwULGg8&amp;list=PLDNVHSVr-vVkKKgcJr--k4Dtplx8TwHmW&amp;index=30</t>
  </si>
  <si>
    <t>Mái Ấm Gia Đình Việt 167: Bố câm điếc, cô bé tự nghĩ ra cách để giao tiếp khiến nhiều người bật khóc</t>
  </si>
  <si>
    <t>mai am gia dinh viet 167 bo cam diec co be tu nghi ra cach de giao tiep khien nhieu nguoi bat khoc</t>
  </si>
  <si>
    <t>2026-01-02T12:55:06.000Z</t>
  </si>
  <si>
    <t>OS7i3jwBLNg</t>
  </si>
  <si>
    <t>https://www.youtube.com/watch?v=OS7i3jwBLNg&amp;list=PLDNVHSVr-vVkKKgcJr--k4Dtplx8TwHmW&amp;index=31</t>
  </si>
  <si>
    <t>Mái Ấm Gia Đình Việt 166: Nghe câu “Sinh con ra nhưng lại bỏ con?” Ca nương Kiều Anh bật khóc xót xa</t>
  </si>
  <si>
    <t>mai am gia dinh viet 166 nghe cau sinh con ra nhung lai bo con ca nuong kieu anh bat khoc xot xa</t>
  </si>
  <si>
    <t>2025-12-26T12:55:06.000Z</t>
  </si>
  <si>
    <t>_-ruqcmSezs</t>
  </si>
  <si>
    <t>https://www.youtube.com/watch?v=_-ruqcmSezs&amp;list=PLDNVHSVr-vVkKKgcJr--k4Dtplx8TwHmW&amp;index=41</t>
  </si>
  <si>
    <t>Mái Ấm Gia Đình Việt Tập 156: Rapper Wean bối rối xót xa câu hỏi của cô bé "Mẹ có thương con không?"</t>
  </si>
  <si>
    <t>mai am gia dinh viet tap 156 rapper wean boi roi xot xa cau hoi cua co be me co thuong con khong</t>
  </si>
  <si>
    <t>2025-10-17T13:45:06.000Z</t>
  </si>
  <si>
    <t>Y9S1IstiNXc</t>
  </si>
  <si>
    <t>https://www.youtube.com/watch?v=Y9S1IstiNXc&amp;list=PLDNVHSVr-vVkKKgcJr--k4Dtplx8TwHmW&amp;index=29</t>
  </si>
  <si>
    <t>Mái Ấm Gia Đình Việt 168 Đôi mắt đỏ hoe của 2 anh em kể lại ngày cha mất, Bạch Công Khanh lặng người</t>
  </si>
  <si>
    <t>mai am gia dinh viet 168 doi mat do hoe cua 2 anh em ke lai ngay cha mat bach cong khanh lang nguoi</t>
  </si>
  <si>
    <t>2026-01-09T12:55:06.000Z</t>
  </si>
  <si>
    <t>recE1LqdeSI</t>
  </si>
  <si>
    <t>https://www.youtube.com/watch?v=recE1LqdeSI&amp;list=PLDNVHSVr-vVkKKgcJr--k4Dtplx8TwHmW&amp;index=35</t>
  </si>
  <si>
    <t>Mái Ấm Gia Đình Việt 162: Xúc động món quà bất ngờ của Diệu Nhi, Long Vũ dành cho 2 anh em mồ côi</t>
  </si>
  <si>
    <t>mai am gia dinh viet 162 xuc dong mon qua bat ngo cua dieu nhi long vu danh cho 2 anh em mo coi</t>
  </si>
  <si>
    <t>2025-11-28T12:55:07.000Z</t>
  </si>
  <si>
    <t>DEnnQwS9Arc</t>
  </si>
  <si>
    <t>https://www.youtube.com/watch?v=DEnnQwS9Arc&amp;list=PLDNVHSVr-vVkKKgcJr--k4Dtplx8TwHmW&amp;index=27</t>
  </si>
  <si>
    <t>Mái Ấm Gia Đình Việt 170: Lần đầu làm MC Thái Vũ FAPtv nhói lòng món "cơm với đường" đầy nước mắt</t>
  </si>
  <si>
    <t>mai am gia dinh viet 170 lan dau lam mc thai vu faptv nhoi long mon com voi duong day nuoc mat</t>
  </si>
  <si>
    <t>2026-01-23T12:55:06.000Z</t>
  </si>
  <si>
    <t>ahryiwW0mCU</t>
  </si>
  <si>
    <t>https://www.youtube.com/watch?v=ahryiwW0mCU&amp;list=PLDNVHSVr-vVkKKgcJr--k4Dtplx8TwHmW&amp;index=34</t>
  </si>
  <si>
    <t>Mái Ấm Gia Đình Việt 163: "Con không cần quần áo đẹp", cô bé 11 tuổi khiến Hà Việt Dũng đỏ mắt</t>
  </si>
  <si>
    <t>mai am gia dinh viet 163 con khong can quan ao dep co be 11 tuoi khien ha viet dung do mat</t>
  </si>
  <si>
    <t>2025-12-05T12:55:07.000Z</t>
  </si>
  <si>
    <t>HwttEyvb5TI</t>
  </si>
  <si>
    <t>https://www.youtube.com/watch?v=HwttEyvb5TI&amp;list=PLDNVHSVr-vVkKKgcJr--k4Dtplx8TwHmW&amp;index=42</t>
  </si>
  <si>
    <t>Mái Ấm Gia Đình Việt Tập 155: Tiêu Minh Phụng bật khóc, nhớ lại tuổi thơ nghèo khó với cây đèn cầy</t>
  </si>
  <si>
    <t>mai am gia dinh viet tap 155 tieu minh phung bat khoc nho lai tuoi tho ngheo kho voi cay den cay</t>
  </si>
  <si>
    <t>2025-10-10T13:45:06.000Z</t>
  </si>
  <si>
    <t>LMJhCYlNiOQ</t>
  </si>
  <si>
    <t>https://www.youtube.com/watch?v=LMJhCYlNiOQ&amp;list=PLDNVHSVr-vVkKKgcJr--k4Dtplx8TwHmW&amp;index=28</t>
  </si>
  <si>
    <t>Mái Ấm Gia Đình Việt 169 Khi "người dưng hóa gia đình" người bà 66 tuổi sẵn sàng nuôi lớn 2 đứa cháu</t>
  </si>
  <si>
    <t>mai am gia dinh viet 169 khi nguoi dung hoa gia dinh nguoi ba 66 tuoi san sang nuoi lon 2 dua chau</t>
  </si>
  <si>
    <t>2026-01-16T12:55:06.000Z</t>
  </si>
  <si>
    <t>dxqdnFejj_Q</t>
  </si>
  <si>
    <t>https://www.youtube.com/watch?v=dxqdnFejj_Q&amp;list=PLDNVHSVr-vVkKKgcJr--k4Dtplx8TwHmW&amp;index=39</t>
  </si>
  <si>
    <t>Mái Ấm Gia Đình Việt Tập 158: Nhắc về biến cố năm xưa, Phương Trinh Jolie nghẹn ngào bật khóc</t>
  </si>
  <si>
    <t>mai am gia dinh viet tap 158 nhac ve bien co nam xua phuong trinh jolie nghen ngao bat khoc</t>
  </si>
  <si>
    <t>2025-10-31T12:55:07.000Z</t>
  </si>
  <si>
    <t>XSuNQlkBf9E</t>
  </si>
  <si>
    <t>https://www.youtube.com/watch?v=XSuNQlkBf9E&amp;list=PLDNVHSVr-vVkKKgcJr--k4Dtplx8TwHmW&amp;index=47</t>
  </si>
  <si>
    <t>Mái Ấm Gia Đình Việt Tập 150: MC Đại Nghĩa xót xa hình ảnh cậu bé gầy níu chặt chiếc quần rộng</t>
  </si>
  <si>
    <t>mai am gia dinh viet tap 150 mc dai nghia xot xa hinh anh cau be gay niu chat chiec quan rong</t>
  </si>
  <si>
    <t>2025-09-05T13:45:06.000Z</t>
  </si>
  <si>
    <t>bYfaDJscLeU</t>
  </si>
  <si>
    <t>https://www.youtube.com/watch?v=bYfaDJscLeU&amp;list=PLDNVHSVr-vVkKKgcJr--k4Dtplx8TwHmW&amp;index=38</t>
  </si>
  <si>
    <t>Mái Ấm Gia Đình Việt Tập 159 Hạ Anh nghẹn ngào cảnh chị cả dạy từng con chữ cho em trai nghỉ học sớm</t>
  </si>
  <si>
    <t>mai am gia dinh viet tap 159 ha anh nghen ngao canh chi ca day tung con chu cho em trai nghi hoc som</t>
  </si>
  <si>
    <t>2025-11-07T12:55:07.000Z</t>
  </si>
  <si>
    <t>IAMOjVbgaBI</t>
  </si>
  <si>
    <t>https://www.youtube.com/watch?v=IAMOjVbgaBI&amp;list=PLDNVHSVr-vVkKKgcJr--k4Dtplx8TwHmW&amp;index=49</t>
  </si>
  <si>
    <t>Mái Ấm Gia Đình Việt Tập 148: Lý do cậu bé luôn cúi mặt chỉ vì "Để con không khóc cho mẹ tựa vào"</t>
  </si>
  <si>
    <t>mai am gia dinh viet tap 148 ly do cau be luon cui mat chi vi de con khong khoc cho me tua vao</t>
  </si>
  <si>
    <t>2025-08-22T13:45:06.000Z</t>
  </si>
  <si>
    <t>g83SzgBtz2Q</t>
  </si>
  <si>
    <t>https://www.youtube.com/watch?v=g83SzgBtz2Q&amp;list=PLDNVHSVr-vVkKKgcJr--k4Dtplx8TwHmW&amp;index=37</t>
  </si>
  <si>
    <t>Mái Ấm Gia Đình Việt Tập 160: Trang Pháp, Lâm Hùng xót xa hai mẹ con đột ngột mất đi người trụ cột</t>
  </si>
  <si>
    <t>mai am gia dinh viet tap 160 trang phap lam hung xot xa hai me con dot ngot mat di nguoi tru cot</t>
  </si>
  <si>
    <t>2025-11-14T12:55:07.000Z</t>
  </si>
  <si>
    <t>KRow7duUVfk</t>
  </si>
  <si>
    <t>https://www.youtube.com/watch?v=KRow7duUVfk&amp;list=PLDNVHSVr-vVkKKgcJr--k4Dtplx8TwHmW&amp;index=51</t>
  </si>
  <si>
    <t>Mái Ấm Gia Đình Việt Tập 146: Chỉ 30.000đ cho cả một ngày ăn khiến Quốc Anh, Kiều Loan lặng người</t>
  </si>
  <si>
    <t>mai am gia dinh viet tap 146 chi 30 000d cho ca mot ngay an khien quoc anh kieu loan lang nguoi</t>
  </si>
  <si>
    <t>2025-08-08T13:45:06.000Z</t>
  </si>
  <si>
    <t>ngiQ5LI1llA</t>
  </si>
  <si>
    <t>https://www.youtube.com/watch?v=ngiQ5LI1llA&amp;list=PLDNVHSVr-vVkKKgcJr--k4Dtplx8TwHmW&amp;index=50</t>
  </si>
  <si>
    <t>Mái Ấm Gia Đình Việt Tập 147: BigDaddy, Emily gặp sự cố Huỳnh Lập vội vàng nhờ Tôn Hoa Sen "ra tay"</t>
  </si>
  <si>
    <t>mai am gia dinh viet tap 147 bigdaddy emily gap su co huynh lap voi vang nho ton hoa sen ra tay</t>
  </si>
  <si>
    <t>2025-08-15T13:45:06.000Z</t>
  </si>
  <si>
    <t>5qLkfI_D9g4</t>
  </si>
  <si>
    <t>https://www.youtube.com/watch?v=5qLkfI_D9g4&amp;list=PLDNVHSVr-vVkKKgcJr--k4Dtplx8TwHmW&amp;index=55</t>
  </si>
  <si>
    <t>Mái Ấm Gia Đình Việt Tập 142: Hoàng Hiệp thương cậu bé dùng điện thoại gọi vào số người bố quá cố</t>
  </si>
  <si>
    <t>mai am gia dinh viet tap 142 hoang hiep thuong cau be dung dien thoai goi vao so nguoi bo qua co</t>
  </si>
  <si>
    <t>2025-07-11T13:45:06.000Z</t>
  </si>
  <si>
    <t>S6ZIOAD47-A</t>
  </si>
  <si>
    <t>https://www.youtube.com/watch?v=S6ZIOAD47-A&amp;list=PLDNVHSVr-vVkKKgcJr--k4Dtplx8TwHmW&amp;index=56</t>
  </si>
  <si>
    <t>Mái Ấm Gia Đình Việt Tập 141: Quang Hải lặng người câu chuyện mẹ bỏ đi khi con chỉ mới 18 tháng tuổi</t>
  </si>
  <si>
    <t>mai am gia dinh viet tap 141 quang hai lang nguoi cau chuyen me bo di khi con chi moi 18 thang tuoi</t>
  </si>
  <si>
    <t>2025-07-04T13:45:06.000Z</t>
  </si>
  <si>
    <t>cXPdXqVShHE</t>
  </si>
  <si>
    <t>https://www.youtube.com/watch?v=cXPdXqVShHE&amp;list=PLDNVHSVr-vVkKKgcJr--k4Dtplx8TwHmW&amp;index=58</t>
  </si>
  <si>
    <t>Mái Ấm Gia Đình Việt Tập 139: Cô bé mồ côi bị u máu bẩm sinh và nghị lực khiến Tuấn Cry cảm phục</t>
  </si>
  <si>
    <t>mai am gia dinh viet tap 139 co be mo coi bi u mau bam sinh va nghi luc khien tuan cry cam phuc</t>
  </si>
  <si>
    <t>2025-06-20T13:45:06.000Z</t>
  </si>
  <si>
    <t>mG6KF2AwCAg</t>
  </si>
  <si>
    <t>https://www.youtube.com/watch?v=mG6KF2AwCAg&amp;list=PLDNVHSVr-vVkKKgcJr--k4Dtplx8TwHmW&amp;index=40</t>
  </si>
  <si>
    <t>Mái Ấm Gia Đình Việt Tập 157: Thái Vũ FAPTV bị hiểu nhầm là hoàn cảnh thứ 4 trong chương trình</t>
  </si>
  <si>
    <t>mai am gia dinh viet tap 157 thai vu faptv bi hieu nham la hoan canh thu 4 trong chuong trinh</t>
  </si>
  <si>
    <t>2025-10-24T12:55:07.000Z</t>
  </si>
  <si>
    <t>kab_hH3xG5o</t>
  </si>
  <si>
    <t>https://www.youtube.com/watch?v=kab_hH3xG5o&amp;list=PLDNVHSVr-vVkKKgcJr--k4Dtplx8TwHmW&amp;index=46</t>
  </si>
  <si>
    <t>Mái Ấm Gia Đình Việt Tập 151: 8 người sống trong căn trọ nhỏ và những bữa cơm đạm bạc đến đau lòng</t>
  </si>
  <si>
    <t>mai am gia dinh viet tap 151 8 nguoi song trong can tro nho va nhung bua com dam bac den dau long</t>
  </si>
  <si>
    <t>2025-09-12T13:45:06.000Z</t>
  </si>
  <si>
    <t>K5USfg2Xl3c</t>
  </si>
  <si>
    <t>https://www.youtube.com/watch?v=K5USfg2Xl3c&amp;list=PLDNVHSVr-vVkKKgcJr--k4Dtplx8TwHmW&amp;index=73</t>
  </si>
  <si>
    <t>Mái Ấm Gia Đình Việt Tập 123 Phát La nấc nghẹn trước người mẹ mù 1 mắt bị cây đè ngã chỉ vì mưu sinh</t>
  </si>
  <si>
    <t>mai am gia dinh viet tap 123 phat la nac nghen truoc nguoi me mu 1 mat bi cay de nga chi vi muu sinh</t>
  </si>
  <si>
    <t>2025-02-28T13:45:06.000Z</t>
  </si>
  <si>
    <t>sVyBcjZypYY</t>
  </si>
  <si>
    <t>https://www.youtube.com/watch?v=sVyBcjZypYY&amp;list=PLDNVHSVr-vVkKKgcJr--k4Dtplx8TwHmW&amp;index=66</t>
  </si>
  <si>
    <t>Mái Ấm Gia Đình Việt Tập 130: Xót xa cảnh 4 mẹ con sống lay lắt, ước mơ có gạo để ăn hàng ngày</t>
  </si>
  <si>
    <t>mai am gia dinh viet tap 130 xot xa canh 4 me con song lay lat uoc mo co gao de an hang ngay</t>
  </si>
  <si>
    <t>2025-04-18T13:45:06.000Z</t>
  </si>
  <si>
    <t>l0Z9KD9VSy8</t>
  </si>
  <si>
    <t>https://www.youtube.com/watch?v=l0Z9KD9VSy8&amp;list=PLDNVHSVr-vVkKKgcJr--k4Dtplx8TwHmW&amp;index=72</t>
  </si>
  <si>
    <t>Mái Ấm Gia Đình Việt Tập 124: Cậu bé nghĩ mình là gánh nặng, MC Đại Nghĩa đau lòng không nói nên lời</t>
  </si>
  <si>
    <t>mai am gia dinh viet tap 124 cau be nghi minh la ganh nang mc dai nghia dau long khong noi nen loi</t>
  </si>
  <si>
    <t>2025-03-07T13:45:06.000Z</t>
  </si>
  <si>
    <t>Hx-1EjV-WYk</t>
  </si>
  <si>
    <t>https://www.youtube.com/watch?v=Hx-1EjV-WYk&amp;list=PLDNVHSVr-vVkKKgcJr--k4Dtplx8TwHmW&amp;index=63</t>
  </si>
  <si>
    <t>Mái Ấm Gia Đình Việt Tập 133: Đạt Long Vinh bật khóc trước bé trai bị mẹ ruồng bỏ ngay khi lọt lòng</t>
  </si>
  <si>
    <t>mai am gia dinh viet tap 133 dat long vinh bat khoc truoc be trai bi me ruong bo ngay khi lot long</t>
  </si>
  <si>
    <t>2025-05-09T13:45:06.000Z</t>
  </si>
  <si>
    <t>SUp9xcJQXDE</t>
  </si>
  <si>
    <t>https://www.youtube.com/watch?v=SUp9xcJQXDE&amp;list=PLDNVHSVr-vVkKKgcJr--k4Dtplx8TwHmW&amp;index=67</t>
  </si>
  <si>
    <t>Mái Ấm Gia Đình Việt Tập 129: Hồ Trung Dũng nghẹn lòng những bữa ăn chỉ vỏn vẹn 10.000 của 2 bà cháu</t>
  </si>
  <si>
    <t>mai am gia dinh viet tap 129 ho trung dung nghen long nhung bua an chi von ven 10 000 cua 2 ba chau</t>
  </si>
  <si>
    <t>2025-04-11T13:45:06.000Z</t>
  </si>
  <si>
    <t>AoP6MI20Lik</t>
  </si>
  <si>
    <t>https://www.youtube.com/watch?v=AoP6MI20Lik&amp;list=PLDNVHSVr-vVkKKgcJr--k4Dtplx8TwHmW&amp;index=71</t>
  </si>
  <si>
    <t>Mái Ấm Gia Đình Việt Tập 125 Mẹ mắc 2 bệnh ung thư cô bé nức nở sợ mồ côi "Không biết cố gắng vì ai"</t>
  </si>
  <si>
    <t>mai am gia dinh viet tap 125 me mac 2 benh ung thu co be nuc no so mo coi khong biet co gang vi ai</t>
  </si>
  <si>
    <t>2025-03-14T13:45:06.000Z</t>
  </si>
  <si>
    <t>WhGJs7R1UtU</t>
  </si>
  <si>
    <t>https://www.youtube.com/watch?v=WhGJs7R1UtU&amp;list=PLDNVHSVr-vVkKKgcJr--k4Dtplx8TwHmW&amp;index=70</t>
  </si>
  <si>
    <t>Mái Ấm Gia Đình Việt Tập 126 Ngô Kiến Huy tặng toàn bộ cát xê và tài trợ học phí cho 3 em nhỏ mồ côi</t>
  </si>
  <si>
    <t>mai am gia dinh viet tap 126 ngo kien huy tang toan bo cat xe va tai tro hoc phi cho 3 em nho mo coi</t>
  </si>
  <si>
    <t>2025-03-21T13:45:06.000Z</t>
  </si>
  <si>
    <t>sxE9bWksrg0</t>
  </si>
  <si>
    <t>https://www.youtube.com/watch?v=sxE9bWksrg0&amp;list=PLDNVHSVr-vVkKKgcJr--k4Dtplx8TwHmW&amp;index=60</t>
  </si>
  <si>
    <t>Mái Ấm Gia Đình Việt Tập 137: HURRYKNG bật khóc nhớ mẹ, cảm phục những người phụ nữ lặng lẽ hy sinh</t>
  </si>
  <si>
    <t>mai am gia dinh viet tap 137 hurrykng bat khoc nho me cam phuc nhung nguoi phu nu lang le hy sinh</t>
  </si>
  <si>
    <t>2025-06-06T13:45:06.000Z</t>
  </si>
  <si>
    <t>nW0rvTtHZSc</t>
  </si>
  <si>
    <t>https://www.youtube.com/watch?v=nW0rvTtHZSc&amp;list=PLDNVHSVr-vVkKKgcJr--k4Dtplx8TwHmW&amp;index=74</t>
  </si>
  <si>
    <t>Mái Ấm Gia Đình Việt Tập 122: Đại Nghĩa dành cái ôm xoa dịu nỗi đau cậu bé đang lẻ loi trên sân khấu</t>
  </si>
  <si>
    <t>mai am gia dinh viet tap 122 dai nghia danh cai om xoa diu noi dau cau be dang le loi tren san khau</t>
  </si>
  <si>
    <t>2025-02-21T13:45:06.000Z</t>
  </si>
  <si>
    <t>HP6mZi69pZI</t>
  </si>
  <si>
    <t>https://www.youtube.com/watch?v=HP6mZi69pZI&amp;list=PLDNVHSVr-vVkKKgcJr--k4Dtplx8TwHmW&amp;index=59</t>
  </si>
  <si>
    <t>Mái Ấm Gia Đình Việt Tập 138: Lê Bống nghẹn ngào khi thấy “tổ ấm” chỉ vỏn vẹn 9m² của 2 mẹ con</t>
  </si>
  <si>
    <t>mai am gia dinh viet tap 138 le bong nghen ngao khi thay to am chi von ven 9m2 cua 2 me con</t>
  </si>
  <si>
    <t>2025-06-13T13:45:06.000Z</t>
  </si>
  <si>
    <t>AI4nHPfNASU</t>
  </si>
  <si>
    <t>https://www.youtube.com/watch?v=AI4nHPfNASU&amp;list=PLDNVHSVr-vVkKKgcJr--k4Dtplx8TwHmW&amp;index=80</t>
  </si>
  <si>
    <t>Mái Ấm Gia Đình Việt Tập 116: Minh Tú Quang Anh đau xót cậu bé mất 4 người thân do thảm kịch đắm tàu</t>
  </si>
  <si>
    <t>mai am gia dinh viet tap 116 minh tu quang anh dau xot cau be mat 4 nguoi than do tham kich dam tau</t>
  </si>
  <si>
    <t>2025-01-03T13:45:06.000Z</t>
  </si>
  <si>
    <t>mAhXVVEE6VA</t>
  </si>
  <si>
    <t>https://www.youtube.com/watch?v=mAhXVVEE6VA&amp;list=PLDNVHSVr-vVkKKgcJr--k4Dtplx8TwHmW&amp;index=81</t>
  </si>
  <si>
    <t>Mái Ấm Gia Đình Việt Tập 115: Khả Ngân, Tiến Đạt xót xa cho cậu bé bị mẹ bỏ rơi với lá thư "từ con"</t>
  </si>
  <si>
    <t>mai am gia dinh viet tap 115 kha ngan tien dat xot xa cho cau be bi me bo roi voi la thu tu con</t>
  </si>
  <si>
    <t>2024-12-27T13:45:06.000Z</t>
  </si>
  <si>
    <t>sGcSVaizQi0</t>
  </si>
  <si>
    <t>https://www.youtube.com/watch?v=sGcSVaizQi0&amp;list=PLDNVHSVr-vVkKKgcJr--k4Dtplx8TwHmW&amp;index=87</t>
  </si>
  <si>
    <t>Mái Ấm Gia Đình Việt Tập 109: Nhã Phương khóc nghẹn trước bé gái nhỏ lần lượt chứng kiến bố mẹ ra đi</t>
  </si>
  <si>
    <t>mai am gia dinh viet tap 109 nha phuong khoc nghen truoc be gai nho lan luot chung kien bo me ra di</t>
  </si>
  <si>
    <t>2024-11-15T13:47:01.000Z</t>
  </si>
  <si>
    <t>09U3u2W4hpE</t>
  </si>
  <si>
    <t>https://www.youtube.com/watch?v=09U3u2W4hpE&amp;list=PLDNVHSVr-vVkKKgcJr--k4Dtplx8TwHmW&amp;index=90</t>
  </si>
  <si>
    <t>Mái Ấm Gia Đình Việt | Tập 106: Cao Thái Hà với nghĩa cử cao đẹp nhận bé gái mồ côi làm em gái</t>
  </si>
  <si>
    <t>mai am gia dinh viet tap 106 cao thai ha voi nghia cu cao dep nhan be gai mo coi lam em gai</t>
  </si>
  <si>
    <t>2024-10-25T13:45:06.000Z</t>
  </si>
  <si>
    <t>h4YW31N08pw</t>
  </si>
  <si>
    <t>https://www.youtube.com/watch?v=h4YW31N08pw&amp;list=PLDNVHSVr-vVkKKgcJr--k4Dtplx8TwHmW&amp;index=82</t>
  </si>
  <si>
    <t>Mái Ấm Gia Đình Việt Tập 114:Isaac, Mie nức nở trước hoàn cảnh cô bé mất 3 người thân trong một ngày</t>
  </si>
  <si>
    <t>mai am gia dinh viet tap 114 isaac mie nuc no truoc hoan canh co be mat 3 nguoi than trong mot ngay</t>
  </si>
  <si>
    <t>2024-12-20T13:45:06.000Z</t>
  </si>
  <si>
    <t>ZeojqJJvG1U</t>
  </si>
  <si>
    <t>https://www.youtube.com/watch?v=ZeojqJJvG1U&amp;list=PLDNVHSVr-vVkKKgcJr--k4Dtplx8TwHmW&amp;index=77</t>
  </si>
  <si>
    <t>Mái Ấm Gia Đình Việt | Tập 119: Tiểu Vy đau xót trước lời tâm sự "Mẹ con đau lắm mới dám uống thuốc"</t>
  </si>
  <si>
    <t>mai am gia dinh viet tap 119 tieu vy dau xot truoc loi tam su me con dau lam moi dam uong thuoc</t>
  </si>
  <si>
    <t>2025-01-24T13:45:06.000Z</t>
  </si>
  <si>
    <t>hSwCs9GLRFQ</t>
  </si>
  <si>
    <t>https://www.youtube.com/watch?v=hSwCs9GLRFQ&amp;list=PLDNVHSVr-vVkKKgcJr--k4Dtplx8TwHmW&amp;index=78</t>
  </si>
  <si>
    <t>Mái Ấm Gia Đình Việt | Tập 118: Đại Nghĩa, Huỳnh Anh xót xa bữa cơm vỏn vẹn 5000đ của 4 chị em nghèo</t>
  </si>
  <si>
    <t>mai am gia dinh viet tap 118 dai nghia huynh anh xot xa bua com von ven 5000d cua 4 chi em ngheo</t>
  </si>
  <si>
    <t>2025-01-17T13:45:06.000Z</t>
  </si>
  <si>
    <t>2akIXg55tws</t>
  </si>
  <si>
    <t>https://www.youtube.com/watch?v=2akIXg55tws&amp;list=PLDNVHSVr-vVkKKgcJr--k4Dtplx8TwHmW&amp;index=85</t>
  </si>
  <si>
    <t>Mái Ấm Gia Đình Việt Tập 111: Đoàn Thiên Ân xót xa cậu bé bệnh não úng thủy ước mơ xây nhà cho ngoại</t>
  </si>
  <si>
    <t>mai am gia dinh viet tap 111 doan thien an xot xa cau be benh nao ung thuy uoc mo xay nha cho ngoai</t>
  </si>
  <si>
    <t>2024-11-29T13:45:06.000Z</t>
  </si>
  <si>
    <t>jvEnED7NUpo</t>
  </si>
  <si>
    <t>https://www.youtube.com/watch?v=jvEnED7NUpo&amp;list=PLDNVHSVr-vVkKKgcJr--k4Dtplx8TwHmW&amp;index=86</t>
  </si>
  <si>
    <t>Mái Ấm Gia Đình Việt Tập 110 : MC Đại Nghĩa nghẹn ngào trước cậu bé mồ côi tự tâm sự với cái bóng</t>
  </si>
  <si>
    <t>mai am gia dinh viet tap 110 mc dai nghia nghen ngao truoc cau be mo coi tu tam su voi cai bong</t>
  </si>
  <si>
    <t>2024-11-22T13:45:06.000Z</t>
  </si>
  <si>
    <t>t4N1i9iT4y4</t>
  </si>
  <si>
    <t>https://www.youtube.com/watch?v=t4N1i9iT4y4&amp;list=PLDNVHSVr-vVkKKgcJr--k4Dtplx8TwHmW&amp;index=83</t>
  </si>
  <si>
    <t>Mái Ấm Gia Đình Việt Tập 113: Minh Triệu thắt lòng trước tấm lòng người bác lam lũ nuôi cháu mồ côi</t>
  </si>
  <si>
    <t>mai am gia dinh viet tap 113 minh trieu that long truoc tam long nguoi bac lam lu nuoi chau mo coi</t>
  </si>
  <si>
    <t>2024-12-13T13:45:06.000Z</t>
  </si>
  <si>
    <t>j48F2mlXxfw</t>
  </si>
  <si>
    <t>https://www.youtube.com/watch?v=j48F2mlXxfw&amp;list=PLDNVHSVr-vVkKKgcJr--k4Dtplx8TwHmW&amp;index=79</t>
  </si>
  <si>
    <t>Mái Ấm Gia Đình Việt Tập 117: Châu Tuyết Vân nức nở trước mơ ước được mẹ thăm của cậu bé mồ côi</t>
  </si>
  <si>
    <t>mai am gia dinh viet tap 117 chau tuyet van nuc no truoc mo uoc duoc me tham cua cau be mo coi</t>
  </si>
  <si>
    <t>2025-01-10T13:45:07.000Z</t>
  </si>
  <si>
    <t>SGaGBTZVnCM</t>
  </si>
  <si>
    <t>https://www.youtube.com/watch?v=SGaGBTZVnCM&amp;list=PLDNVHSVr-vVkKKgcJr--k4Dtplx8TwHmW&amp;index=99</t>
  </si>
  <si>
    <t>Mái ấm gia đình Việt Tập 97: HH Bảo Ngọc, Quế Ngọc Hải xót xa cảnh dì thay "mẹ nuôi" lo cho cháu nhỏ</t>
  </si>
  <si>
    <t>mai am gia dinh viet tap 97 hh bao ngoc que ngoc hai xot xa canh di thay me nuoi lo cho chau nho</t>
  </si>
  <si>
    <t>2024-08-23T13:45:07.000Z</t>
  </si>
  <si>
    <t>EjX1L_d9mD8</t>
  </si>
  <si>
    <t>https://www.youtube.com/watch?v=EjX1L_d9mD8&amp;list=PLDNVHSVr-vVkKKgcJr--k4Dtplx8TwHmW&amp;index=96</t>
  </si>
  <si>
    <t>Mái Ấm Gia Đình Việt Tập 100: Puka,Gin Tuấn Kiệt lặng người trước ước mơ "ba sống lại" của bé mồ côi</t>
  </si>
  <si>
    <t>mai am gia dinh viet tap 100 puka gin tuan kiet lang nguoi truoc uoc mo ba song lai cua be mo coi</t>
  </si>
  <si>
    <t>2024-09-13T13:45:07.000Z</t>
  </si>
  <si>
    <t>9v85HX6WhVA</t>
  </si>
  <si>
    <t>https://www.youtube.com/watch?v=9v85HX6WhVA&amp;list=PLDNVHSVr-vVkKKgcJr--k4Dtplx8TwHmW&amp;index=93</t>
  </si>
  <si>
    <t>Mái Ấm Gia Đình Việt Tập 103:Thùy Tiên khổ vì rau củ, bối rối cầu cứu Quyền Linh để giúp 3 hoàn cảnh</t>
  </si>
  <si>
    <t>mai am gia dinh viet tap 103 thuy tien kho vi rau cu boi roi cau cuu quyen linh de giup 3 hoan canh</t>
  </si>
  <si>
    <t>2024-10-04T13:45:31.000Z</t>
  </si>
  <si>
    <t>RrCP1aCls9U</t>
  </si>
  <si>
    <t>https://www.youtube.com/watch?v=RrCP1aCls9U&amp;list=PLDNVHSVr-vVkKKgcJr--k4Dtplx8TwHmW&amp;index=94</t>
  </si>
  <si>
    <t>Mái Ấm Gia Đình Việt Tập 102: Ánh Viên trổ tài bách phát bách trúng,Vũ Mạnh Cường hết lòng vì các em</t>
  </si>
  <si>
    <t>mai am gia dinh viet tap 102 anh vien tro tai bach phat bach trung vu manh cuong het long vi cac em</t>
  </si>
  <si>
    <t>2024-09-27T13:45:22.000Z</t>
  </si>
  <si>
    <t>C9IKYYcUQAY</t>
  </si>
  <si>
    <t>https://www.youtube.com/watch?v=C9IKYYcUQAY&amp;list=PLDNVHSVr-vVkKKgcJr--k4Dtplx8TwHmW&amp;index=95</t>
  </si>
  <si>
    <t>Mái Ấm Gia Đình Việt Tập 101: Quyền Linh, Ngọc Thanh Tâm xót xa cảnh nhà hiu quạnh không còn cha mẹ</t>
  </si>
  <si>
    <t>mai am gia dinh viet tap 101 quyen linh ngoc thanh tam xot xa canh nha hiu quanh khong con cha me</t>
  </si>
  <si>
    <t>2024-09-20T13:45:07.000Z</t>
  </si>
  <si>
    <t>SO6NDZWX5kI</t>
  </si>
  <si>
    <t>https://www.youtube.com/watch?v=SO6NDZWX5kI&amp;list=PLDNVHSVr-vVkKKgcJr--k4Dtplx8TwHmW&amp;index=97</t>
  </si>
  <si>
    <t>Mái Ấm Gia Đình Việt Tập 99: Khánh Vân, Trương Đình Hoàng đau xót trước cô bé không có tiền chữa mắt</t>
  </si>
  <si>
    <t>mai am gia dinh viet tap 99 khanh van truong dinh hoang dau xot truoc co be khong co tien chua mat</t>
  </si>
  <si>
    <t>2024-09-06T13:45:07.000Z</t>
  </si>
  <si>
    <t>P5J9CQGdlSg</t>
  </si>
  <si>
    <t>https://www.youtube.com/watch?v=P5J9CQGdlSg&amp;list=PLDNVHSVr-vVkKKgcJr--k4Dtplx8TwHmW&amp;index=100</t>
  </si>
  <si>
    <t>Mái ấm gia đình Việt Tập 96:Đoàn Văn Hậu,Lưu Hương Giang xót xa em nhỏ mắc căn bệnh không thuốc chữa</t>
  </si>
  <si>
    <t>mai am gia dinh viet tap 96 doan van hau luu huong giang xot xa em nho mac can benh khong thuoc chua</t>
  </si>
  <si>
    <t>2024-08-16T13:45:07.000Z</t>
  </si>
  <si>
    <t>U3AHzsF1Gyc</t>
  </si>
  <si>
    <t>https://www.youtube.com/watch?v=U3AHzsF1Gyc&amp;list=PLDNVHSVr-vVkKKgcJr--k4Dtplx8TwHmW&amp;index=92</t>
  </si>
  <si>
    <t>Mái Ấm Gia Đình Việt Tập 104: Hương Giang,Phú Cường xót xa trước bữa cơm lá mì, cuộc sống thiếu thốn</t>
  </si>
  <si>
    <t>mai am gia dinh viet tap 104 huong giang phu cuong xot xa truoc bua com la mi cuoc song thieu thon</t>
  </si>
  <si>
    <t>2024-10-11T13:45:06.000Z</t>
  </si>
  <si>
    <t>WU0gw7U8yhc</t>
  </si>
  <si>
    <t>https://www.youtube.com/watch?v=WU0gw7U8yhc&amp;list=PLDNVHSVr-vVkKKgcJr--k4Dtplx8TwHmW&amp;index=2</t>
  </si>
  <si>
    <t>Mái Ấm Gia Đình Việt Tập 197: Tình mẫu tử của người mẹ bệnh tâm thần khiến Nguyễn Thái Học xúc động</t>
  </si>
  <si>
    <t>mai am gia dinh viet tap 197 tinh mau tu cua nguoi me benh tam than khien nguyen thai hoc xuc dong</t>
  </si>
  <si>
    <t>2026-07-31T13:30:06.000Z</t>
  </si>
  <si>
    <t>bU1WmB4fiqk</t>
  </si>
  <si>
    <t>https://www.youtube.com/watch?v=bU1WmB4fiqk&amp;list=PLDNVHSVr-vVkKKgcJr--k4Dtplx8TwHmW&amp;index=6</t>
  </si>
  <si>
    <t>Mái Ấm Gia Đình Việt Tập 193: Cầu thủ Lý Đức lén lau nước mắt, xót xa 4 bà cháu ăn cơm chan nước lọc</t>
  </si>
  <si>
    <t>mai am gia dinh viet tap 193 cau thu ly duc len lau nuoc mat xot xa 4 ba chau an com chan nuoc loc</t>
  </si>
  <si>
    <t>2026-07-03T13:30:06.000Z</t>
  </si>
  <si>
    <t>ThotgmEN_9M</t>
  </si>
  <si>
    <t>https://www.youtube.com/watch?v=ThotgmEN_9M&amp;list=PLDNVHSVr-vVkKKgcJr--k4Dtplx8TwHmW&amp;index=8</t>
  </si>
  <si>
    <t>Mái Ấm Gia Đình Việt Tập 191: Đại Nghĩa phẫn nộ nói thẳng "Anh không xứng đáng là một người đàn ông"</t>
  </si>
  <si>
    <t>mai am gia dinh viet tap 191 dai nghia phan no noi thang anh khong xung dang la mot nguoi dan ong</t>
  </si>
  <si>
    <t>2026-06-19T13:30:06.000Z</t>
  </si>
  <si>
    <t>IA0gkSqofQ0</t>
  </si>
  <si>
    <t>https://www.youtube.com/watch?v=IA0gkSqofQ0&amp;list=PLDNVHSVr-vVkKKgcJr--k4Dtplx8TwHmW&amp;index=3</t>
  </si>
  <si>
    <t>Mái Ấm Gia Đình Việt Tập 196 Hương Ly đi lên từ nghèo khó, đứng ra đỡ đầu các em nhỏ đến hết lớp 12</t>
  </si>
  <si>
    <t>mai am gia dinh viet tap 196 huong ly di len tu ngheo kho dung ra do dau cac em nho den het lop 12</t>
  </si>
  <si>
    <t>2026-07-24T13:30:07.000Z</t>
  </si>
  <si>
    <t>OV39Ih9JCfQ</t>
  </si>
  <si>
    <t>https://www.youtube.com/watch?v=OV39Ih9JCfQ&amp;list=PLDNVHSVr-vVkKKgcJr--k4Dtplx8TwHmW&amp;index=91</t>
  </si>
  <si>
    <t>Mái Ấm Gia Đình Việt Tập 105: Thân Thúy Hà nghẹn ngào trước cô bé lần lượt mất đi cả 3 người thân</t>
  </si>
  <si>
    <t>mai am gia dinh viet tap 105 than thuy ha nghen ngao truoc co be lan luot mat di ca 3 nguoi than</t>
  </si>
  <si>
    <t>2024-10-18T13:45:06.000Z</t>
  </si>
  <si>
    <t>MU4dustJcfE</t>
  </si>
  <si>
    <t>https://www.youtube.com/watch?v=MU4dustJcfE&amp;list=PLDNVHSVr-vVkKKgcJr--k4Dtplx8TwHmW&amp;index=9</t>
  </si>
  <si>
    <t>Mái Ấm Gia Đình Việt | Tập 190: Phúc Du nhớ lại tuổi thơ trước câu chuyện mẹ bán bánh mì nuôi con</t>
  </si>
  <si>
    <t>mai am gia dinh viet tap 190 phuc du nho lai tuoi tho truoc cau chuyen me ban banh mi nuoi con</t>
  </si>
  <si>
    <t>2026-06-12T13:30:06.000Z</t>
  </si>
  <si>
    <t>cS4o3hdT3CM</t>
  </si>
  <si>
    <t>https://www.youtube.com/watch?v=cS4o3hdT3CM&amp;list=PLDNVHSVr-vVkKKgcJr--k4Dtplx8TwHmW&amp;index=7</t>
  </si>
  <si>
    <t>Mái Ấm Gia Đình Việt Tập 192 Muộii bật khóc trước nam sinh đoạt giải quốc gia từng uống nước cầm hơi</t>
  </si>
  <si>
    <t>mai am gia dinh viet tap 192 muoii bat khoc truoc nam sinh doat giai quoc gia tung uong nuoc cam hoi</t>
  </si>
  <si>
    <t>2026-06-26T13:30:06.000Z</t>
  </si>
  <si>
    <t>QPO8ygNPrzw</t>
  </si>
  <si>
    <t>https://www.youtube.com/watch?v=QPO8ygNPrzw&amp;list=PLDNVHSVr-vVkKKgcJr--k4Dtplx8TwHmW&amp;index=11</t>
  </si>
  <si>
    <t>Mái Ấm Gia Đình Việt | Tập 188: Hành động ấm lòng của Lyly trước ước mơ sắp bị chôn vùi vì gia cảnh</t>
  </si>
  <si>
    <t>mai am gia dinh viet tap 188 hanh dong am long cua lyly truoc uoc mo sap bi chon vui vi gia canh</t>
  </si>
  <si>
    <t>2026-05-29T13:30:07.000Z</t>
  </si>
  <si>
    <t>ns1poLVbB0c</t>
  </si>
  <si>
    <t>https://www.youtube.com/watch?v=ns1poLVbB0c&amp;list=PLDNVHSVr-vVkKKgcJr--k4Dtplx8TwHmW&amp;index=12</t>
  </si>
  <si>
    <t>Mái Ấm Gia Đình Việt Tập 187: Tiếng khóc nức nở giữa trường quay làm GiGi Hương Giang gục đầu xót xa</t>
  </si>
  <si>
    <t>mai am gia dinh viet tap 187 tieng khoc nuc no giua truong quay lam gigi huong giang guc dau xot xa</t>
  </si>
  <si>
    <t>2026-05-22T13:30:06.000Z</t>
  </si>
  <si>
    <t>nzYPecT0cWI</t>
  </si>
  <si>
    <t>https://www.youtube.com/watch?v=nzYPecT0cWI&amp;list=PLDNVHSVr-vVkKKgcJr--k4Dtplx8TwHmW&amp;index=1</t>
  </si>
  <si>
    <t>Mái Ấm Gia Đình Việt Tập 198: Cô bé 11 tuổi học cách chăm bố bị tai biến, Hương Tràm xót xa bật khóc</t>
  </si>
  <si>
    <t>mai am gia dinh viet tap 198 co be 11 tuoi hoc cach cham bo bi tai bien huong tram xot xa bat khoc</t>
  </si>
  <si>
    <t>2026-08-07T13:30:06.000Z</t>
  </si>
  <si>
    <t>8i2a9D8v3e4</t>
  </si>
  <si>
    <t>https://www.youtube.com/watch?v=8i2a9D8v3e4&amp;list=PLDNVHSVr-vVkKKgcJr--k4Dtplx8TwHmW&amp;index=13</t>
  </si>
  <si>
    <t>Mái Ấm Gia Đình Việt Tập 186: Vẫn nhớ mẹ dù không có một ký ức nào khiến Phí Phương Anh rơi nước mắt</t>
  </si>
  <si>
    <t>mai am gia dinh viet tap 186 van nho me du khong co mot ky uc nao khien phi phuong anh roi nuoc mat</t>
  </si>
  <si>
    <t>2026-05-15T13:30:06.000Z</t>
  </si>
  <si>
    <t>8bXTcPkA-5o</t>
  </si>
  <si>
    <t>https://www.youtube.com/watch?v=8bXTcPkA-5o&amp;list=PLDNVHSVr-vVkKKgcJr--k4Dtplx8TwHmW&amp;index=15</t>
  </si>
  <si>
    <t>Mái Ấm Gia Đình Việt | Tập 184: Từng muốn buông xuôi, cô bé 18 tuổi vực dậy khiến Cris Phan xúc động</t>
  </si>
  <si>
    <t>mai am gia dinh viet tap 184 tung muon buong xuoi co be 18 tuoi vuc day khien cris phan xuc dong</t>
  </si>
  <si>
    <t>2026-05-01T13:30:06.000Z</t>
  </si>
  <si>
    <t>Ac2DGvM_LRw</t>
  </si>
  <si>
    <t>https://www.youtube.com/watch?v=Ac2DGvM_LRw&amp;list=PLDNVHSVr-vVkKKgcJr--k4Dtplx8TwHmW&amp;index=14</t>
  </si>
  <si>
    <t>Mái Ấm Gia Đình Việt |Tập 185: Cô bé bệnh hiểm nghèo muốn hiến tóc từ thiện khiến Khải Đăng xúc động</t>
  </si>
  <si>
    <t>mai am gia dinh viet tap 185 co be benh hiem ngheo muon hien toc tu thien khien khai dang xuc dong</t>
  </si>
  <si>
    <t>2026-05-08T13:30:06.000Z</t>
  </si>
  <si>
    <t>9VPCArT2018</t>
  </si>
  <si>
    <t>https://www.youtube.com/watch?v=9VPCArT2018&amp;list=PLDNVHSVr-vVkKKgcJr--k4Dtplx8TwHmW&amp;index=20</t>
  </si>
  <si>
    <t>Mái Ấm Gia Đình Việt Tập 178 Nỗi sợ của cậu bé lùn ngắn tứ chi vào mỗi giờ ra chơi, Đỗ Thị Hà xót xa</t>
  </si>
  <si>
    <t>mai am gia dinh viet tap 178 noi so cua cau be lun ngan tu chi vao moi gio ra choi do thi ha xot xa</t>
  </si>
  <si>
    <t>2026-03-20T12:55:06.000Z</t>
  </si>
  <si>
    <t>wgzEVX4yG0M</t>
  </si>
  <si>
    <t>https://www.youtube.com/watch?v=wgzEVX4yG0M&amp;list=PLDNVHSVr-vVkKKgcJr--k4Dtplx8TwHmW&amp;index=22</t>
  </si>
  <si>
    <t>Mái Ấm Gia Đình Việt Tập 176: Hậu Hoàng nghẹn ngào cảnh người vợ làm trụ cột với công việc phụ hồ</t>
  </si>
  <si>
    <t>mai am gia dinh viet tap 176 hau hoang nghen ngao canh nguoi vo lam tru cot voi cong viec phu ho</t>
  </si>
  <si>
    <t>2026-03-06T12:55:06.000Z</t>
  </si>
  <si>
    <t>yx3TCwLDH8A</t>
  </si>
  <si>
    <t>https://www.youtube.com/watch?v=yx3TCwLDH8A&amp;list=PLDNVHSVr-vVkKKgcJr--k4Dtplx8TwHmW&amp;index=24</t>
  </si>
  <si>
    <t>Thành Trung, HuyR, Kiên Ứng, Hà Lê cảm phục nghị lực sống phi thường của những hoàn cảnh khó khăn</t>
  </si>
  <si>
    <t>thanh trung huyr kien ung ha le cam phuc nghi luc song phi thuong cua nhung hoan canh kho khan</t>
  </si>
  <si>
    <t>2026-02-21T12:55:01.000Z</t>
  </si>
  <si>
    <t>official_channel;official_full_playlist;plausible_duration;show_alias_missing</t>
  </si>
  <si>
    <t>Wh6SZ2EQT2Y</t>
  </si>
  <si>
    <t>https://www.youtube.com/watch?v=Wh6SZ2EQT2Y&amp;list=PLDNVHSVr-vVkKKgcJr--k4Dtplx8TwHmW&amp;index=17</t>
  </si>
  <si>
    <t>Mái Ấm Gia Đình Việt Tập 182: 10 năm nuôi con người dưng, Đại Nghĩa cảm phục tấm lòng "ngoại Hiền"</t>
  </si>
  <si>
    <t>mai am gia dinh viet tap 182 10 nam nuoi con nguoi dung dai nghia cam phuc tam long ngoai hien</t>
  </si>
  <si>
    <t>2026-04-17T13:30:07.000Z</t>
  </si>
  <si>
    <t>4g87MXCejDs</t>
  </si>
  <si>
    <t>https://www.youtube.com/watch?v=4g87MXCejDs&amp;list=PLDNVHSVr-vVkKKgcJr--k4Dtplx8TwHmW&amp;index=23</t>
  </si>
  <si>
    <t>Mái Ấm Gia Đình Việt Tập 175: Puka, Lê Nhân bật khóc trước lời nhắn gửi của cậu bé bị mẹ bỏ</t>
  </si>
  <si>
    <t>mai am gia dinh viet tap 175 puka le nhan bat khoc truoc loi nhan gui cua cau be bi me bo</t>
  </si>
  <si>
    <t>2026-02-27T12:55:06.000Z</t>
  </si>
  <si>
    <t>GFHc99KspjU</t>
  </si>
  <si>
    <t>https://www.youtube.com/watch?v=GFHc99KspjU&amp;list=PLDNVHSVr-vVkKKgcJr--k4Dtplx8TwHmW&amp;index=172</t>
  </si>
  <si>
    <t>Mái Ấm Gia Đình Việt | Tập 24 :Tăng Duy Tân SONG KIẾM HỢP BÍCH, "CHƠI TỚI BẾN" cùng MC Quỳnh Hoa</t>
  </si>
  <si>
    <t>mai am gia dinh viet tap 24 tang duy tan song kiem hop bich choi toi ben cung mc quynh hoa</t>
  </si>
  <si>
    <t>2023-03-15T14:00:10.000Z</t>
  </si>
  <si>
    <t>l263HH7K4lg</t>
  </si>
  <si>
    <t>https://www.youtube.com/watch?v=l263HH7K4lg&amp;list=PLDNVHSVr-vVkKKgcJr--k4Dtplx8TwHmW&amp;index=178</t>
  </si>
  <si>
    <t>Mái Ấm Gia Đình Việt|Tập18:MC Quyền Linh,Thanh Thanh Huyền QUẨY HẾT MÌNH,Quang Hà chơi game đỉnh cao</t>
  </si>
  <si>
    <t>mai am gia dinh viet tap18 mc quyen linh thanh thanh huyen quay het minh quang ha choi game dinh cao</t>
  </si>
  <si>
    <t>2023-02-03T09:59:16.000Z</t>
  </si>
  <si>
    <t>yZHqkNGv4do</t>
  </si>
  <si>
    <t>https://www.youtube.com/watch?v=yZHqkNGv4do&amp;list=PLDNVHSVr-vVkKKgcJr--k4Dtplx8TwHmW&amp;index=174</t>
  </si>
  <si>
    <t>Mái Ấm Gia Đình Việt | Tập 22: Hoàng Rapper bị hành tơi tả, Thanh Thảo Hugo bắn rap điêu luyện</t>
  </si>
  <si>
    <t>mai am gia dinh viet tap 22 hoang rapper bi hanh toi ta thanh thao hugo ban rap dieu luyen</t>
  </si>
  <si>
    <t>2023-03-01T14:00:08.000Z</t>
  </si>
  <si>
    <t>d9ARkVZNOAo</t>
  </si>
  <si>
    <t>https://www.youtube.com/watch?v=d9ARkVZNOAo&amp;list=PLDNVHSVr-vVkKKgcJr--k4Dtplx8TwHmW&amp;index=179</t>
  </si>
  <si>
    <t>Mái Ấm Gia Đình Việt | Tập 17 :Nhìn lại hành trình đã qua và tiết lộ những khoảnh khắc chưa công bố</t>
  </si>
  <si>
    <t>mai am gia dinh viet tap 17 nhin lai hanh trinh da qua va tiet lo nhung khoanh khac chua cong bo</t>
  </si>
  <si>
    <t>2023-01-25T14:00:08.000Z</t>
  </si>
  <si>
    <t>f59GR9r01pc</t>
  </si>
  <si>
    <t>https://www.youtube.com/watch?v=f59GR9r01pc&amp;list=PLDNVHSVr-vVkKKgcJr--k4Dtplx8TwHmW&amp;index=176</t>
  </si>
  <si>
    <t>Mái Ấm Gia Đình Việt|Tập 20: Phương Lan TIẾT LỘ ĐIỂM YẾU của Hứa Minh Đạt, quyết chơi HẾT GA HẾT SỐ</t>
  </si>
  <si>
    <t>mai am gia dinh viet tap 20 phuong lan tiet lo diem yeu cua hua minh dat quyet choi het ga het so</t>
  </si>
  <si>
    <t>2023-02-15T14:00:11.000Z</t>
  </si>
  <si>
    <t>Aa35IcUaopQ</t>
  </si>
  <si>
    <t>https://www.youtube.com/watch?v=Aa35IcUaopQ&amp;list=PLDNVHSVr-vVkKKgcJr--k4Dtplx8TwHmW&amp;index=171</t>
  </si>
  <si>
    <t>Mái Ấm Gia Đình Việt | Tập 25: Hoàng Thùy, Tuấn Dũng "ĐỔ MỒ HÔI, SÔI NƯỚC MẮT", cố gắng 100% sức lực</t>
  </si>
  <si>
    <t>mai am gia dinh viet tap 25 hoang thuy tuan dung do mo hoi soi nuoc mat co gang 100 suc luc</t>
  </si>
  <si>
    <t>2023-03-22T14:00:10.000Z</t>
  </si>
  <si>
    <t>gpoYmpp1bVk</t>
  </si>
  <si>
    <t>https://www.youtube.com/watch?v=gpoYmpp1bVk&amp;list=PLDNVHSVr-vVkKKgcJr--k4Dtplx8TwHmW&amp;index=186</t>
  </si>
  <si>
    <t>Mái Ấm Gia Đình Việt |Tập 10: Liên Bỉnh Phát "RỐI LOẠN TIỀN ĐÌNH", Thu Trang bất ngờ NGÃ NHÀO RA SÂN</t>
  </si>
  <si>
    <t>mai am gia dinh viet tap 10 lien binh phat roi loan tien dinh thu trang bat ngo nga nhao ra san</t>
  </si>
  <si>
    <t>2022-12-07T14:00:08.000Z</t>
  </si>
  <si>
    <t>1wqiL_lIocA</t>
  </si>
  <si>
    <t>https://www.youtube.com/watch?v=1wqiL_lIocA&amp;list=PLDNVHSVr-vVkKKgcJr--k4Dtplx8TwHmW&amp;index=182</t>
  </si>
  <si>
    <t>Mái Ấm Gia Đình Việt|Tập 14:"NAM VƯƠNG QUẬN 4" Quốc Khánh CHIẾN HẾT MÌNH cùng người đẹp Thái Thị Hoa</t>
  </si>
  <si>
    <t>mai am gia dinh viet tap 14 nam vuong quan 4 quoc khanh chien het minh cung nguoi dep thai thi hoa</t>
  </si>
  <si>
    <t>2023-01-04T14:00:08.000Z</t>
  </si>
  <si>
    <t>wE3qwz_6p2I</t>
  </si>
  <si>
    <t>https://www.youtube.com/watch?v=wE3qwz_6p2I&amp;list=PLDNVHSVr-vVkKKgcJr--k4Dtplx8TwHmW&amp;index=187</t>
  </si>
  <si>
    <t>Mái Ấm Gia Đình Việt|Tập 9:NS Thanh Hằng,NSƯT Đức Khuê LĂN XẢ HẾT MÌNH, bất chấp cái nắng như đổ lửa</t>
  </si>
  <si>
    <t>mai am gia dinh viet tap 9 ns thanh hang nsut duc khue lan xa het minh bat chap cai nang nhu do lua</t>
  </si>
  <si>
    <t>2022-11-30T14:00:10.000Z</t>
  </si>
  <si>
    <t>5JN4pyK124Q</t>
  </si>
  <si>
    <t>https://www.youtube.com/watch?v=5JN4pyK124Q&amp;list=PLDNVHSVr-vVkKKgcJr--k4Dtplx8TwHmW&amp;index=183</t>
  </si>
  <si>
    <t>Mái Ấm Gia Đình Việt|Tập 13:Á hậu Hà Thu LĂN,LÊ,BÒ,LẾT,Bùi Tấn Trường MỒ HÔI NHỄ NHẠI cố hết sức lực</t>
  </si>
  <si>
    <t>mai am gia dinh viet tap 13 a hau ha thu lan le bo let bui tan truong mo hoi nhe nhai co het suc luc</t>
  </si>
  <si>
    <t>2022-12-28T14:00:12.000Z</t>
  </si>
  <si>
    <t>khMOmSHBuOY</t>
  </si>
  <si>
    <t>https://www.youtube.com/watch?v=khMOmSHBuOY&amp;list=PLDNVHSVr-vVkKKgcJr--k4Dtplx8TwHmW&amp;index=185</t>
  </si>
  <si>
    <t>Mái Ấm Gia Đình Việt |Tập 11: Nhật Kim Anh ĐẪM MỒ HÔI, Danh thủ Hồng Sơn TUNG SKILL ĐÁ BÓNG đỉnh cao</t>
  </si>
  <si>
    <t>mai am gia dinh viet tap 11 nhat kim anh dam mo hoi danh thu hong son tung skill da bong dinh cao</t>
  </si>
  <si>
    <t>2022-12-14T14:00:09.000Z</t>
  </si>
  <si>
    <t>DNr_BKGjyGI</t>
  </si>
  <si>
    <t>https://www.youtube.com/watch?v=DNr_BKGjyGI&amp;list=PLDNVHSVr-vVkKKgcJr--k4Dtplx8TwHmW&amp;index=181</t>
  </si>
  <si>
    <t>Mái Ấm Gia Đình Việt|Tập 15:Hồ Quang Hiếu "QUẨY" Con Bướm Xuân cực sung,Kha Ly RUN BẦN BẬT phút cuối</t>
  </si>
  <si>
    <t>mai am gia dinh viet tap 15 ho quang hieu quay con buom xuan cuc sung kha ly run ban bat phut cuoi</t>
  </si>
  <si>
    <t>2023-01-11T14:00:10.000Z</t>
  </si>
  <si>
    <t>sEy5uwV0c8g</t>
  </si>
  <si>
    <t>https://www.youtube.com/watch?v=sEy5uwV0c8g&amp;list=PLDNVHSVr-vVkKKgcJr--k4Dtplx8TwHmW&amp;index=184</t>
  </si>
  <si>
    <t>Mái Ấm Gia Đình Việt | Tập 12: Kim Tử Long cân mọi thử thách, Cát Phượng CHIẾN ĐẤU hết mình</t>
  </si>
  <si>
    <t>mai am gia dinh viet tap 12 kim tu long can moi thu thach cat phuong chien dau het minh</t>
  </si>
  <si>
    <t>2022-12-21T14:00:11.000Z</t>
  </si>
  <si>
    <t>8_4n97cdD1c</t>
  </si>
  <si>
    <t>https://www.youtube.com/watch?v=8_4n97cdD1c&amp;list=PLDNVHSVr-vVkKKgcJr--k4Dtplx8TwHmW&amp;index=188</t>
  </si>
  <si>
    <t>Mái Ấm Gia Đình Việt | Tập 8: MC Đại Nghĩa giữ vững PHONG ĐỘ, Huỳnh Hồng Loan "CỨU NGUY" phút cuối</t>
  </si>
  <si>
    <t>mai am gia dinh viet tap 8 mc dai nghia giu vung phong do huynh hong loan cuu nguy phut cuoi</t>
  </si>
  <si>
    <t>2022-11-23T14:00:10.000Z</t>
  </si>
  <si>
    <t>Nbrk-GQGHtk</t>
  </si>
  <si>
    <t>https://www.youtube.com/watch?v=Nbrk-GQGHtk&amp;list=PLDNVHSVr-vVkKKgcJr--k4Dtplx8TwHmW&amp;index=101</t>
  </si>
  <si>
    <t>Mái Ấm Gia Đình Việt Tập 95:Anh trai Đức Phúc,Dương Hoàng Yến nức nở cảnh người mẹ câm điếc nuôi con</t>
  </si>
  <si>
    <t>mai am gia dinh viet tap 95 anh trai duc phuc duong hoang yen nuc no canh nguoi me cam diec nuoi con</t>
  </si>
  <si>
    <t>2024-08-09T13:45:08.000Z</t>
  </si>
  <si>
    <t>iTmLF9XuaHM</t>
  </si>
  <si>
    <t>https://www.youtube.com/watch?v=iTmLF9XuaHM&amp;list=PLDNVHSVr-vVkKKgcJr--k4Dtplx8TwHmW&amp;index=189</t>
  </si>
  <si>
    <t>Mái Ấm Gia Đình Việt | Tập 7: Lê Lộc NGHẸN NGÀO BẬT KHÓC, "HỐ ĐEN TRÒ CHƠI" gọi tên Trương Thế Vinh</t>
  </si>
  <si>
    <t>mai am gia dinh viet tap 7 le loc nghen ngao bat khoc ho den tro choi goi ten truong the vinh</t>
  </si>
  <si>
    <t>2022-11-16T14:00:08.000Z</t>
  </si>
  <si>
    <t>LEJL2WK8kiM</t>
  </si>
  <si>
    <t>https://www.youtube.com/watch?v=LEJL2WK8kiM&amp;list=PLDNVHSVr-vVkKKgcJr--k4Dtplx8TwHmW&amp;index=191</t>
  </si>
  <si>
    <t>Mái Ấm Gia Đình Việt | Tập 5:Quyền Linh CHỊU THUA trước sự "ĂN GIAN" của bộ đôi Tiến Luật, Lâm Vỹ Dạ</t>
  </si>
  <si>
    <t>mai am gia dinh viet tap 5 quyen linh chiu thua truoc su an gian cua bo doi tien luat lam vy da</t>
  </si>
  <si>
    <t>2022-11-02T14:00:06.000Z</t>
  </si>
  <si>
    <t>gLtePPnkaOc</t>
  </si>
  <si>
    <t>https://www.youtube.com/watch?v=gLtePPnkaOc&amp;list=PLDNVHSVr-vVkKKgcJr--k4Dtplx8TwHmW&amp;index=190</t>
  </si>
  <si>
    <t>Mái Ấm Gia Đình Việt | Tập 6: Khổng Tú Quỳnh KHÓC HẾT NƯỚC MẮT, Quyền Linh RA TAY TƯƠNG TRỢ Minh Dự</t>
  </si>
  <si>
    <t>mai am gia dinh viet tap 6 khong tu quynh khoc het nuoc mat quyen linh ra tay tuong tro minh du</t>
  </si>
  <si>
    <t>2022-11-09T14:00:08.000Z</t>
  </si>
  <si>
    <t>Q8T5XsFzv3A</t>
  </si>
  <si>
    <t>https://www.youtube.com/watch?v=Q8T5XsFzv3A&amp;list=PLDNVHSVr-vVkKKgcJr--k4Dtplx8TwHmW&amp;index=195</t>
  </si>
  <si>
    <t>MAGĐV | Tập 1: Quyền Linh, Quốc Thuận, Kyo York xót xa trước tâm sự đẫm nước mắt của các em nhỏ</t>
  </si>
  <si>
    <t>magdv tap 1 quyen linh quoc thuan kyo york xot xa truoc tam su dam nuoc mat cua cac em nho</t>
  </si>
  <si>
    <t>2022-10-05T14:00:11.000Z</t>
  </si>
  <si>
    <t>v1Swlh1jOuo</t>
  </si>
  <si>
    <t>https://www.youtube.com/watch?v=v1Swlh1jOuo&amp;list=PLDNVHSVr-vVkKKgcJr--k4Dtplx8TwHmW&amp;index=193</t>
  </si>
  <si>
    <t>Mái Ấm Gia Đình Việt|Tập 3:Thuận Nguyễn ĐỒNG CẢM với nỗi đau mất ba,Nam Thư chơi BẤT CHẤP HÌNH TƯỢNG</t>
  </si>
  <si>
    <t>mai am gia dinh viet tap 3 thuan nguyen dong cam voi noi dau mat ba nam thu choi bat chap hinh tuong</t>
  </si>
  <si>
    <t>2022-10-19T14:00:08.000Z</t>
  </si>
  <si>
    <t>gvWH0hIZiPk</t>
  </si>
  <si>
    <t>https://www.youtube.com/watch?v=gvWH0hIZiPk&amp;list=PLDNVHSVr-vVkKKgcJr--k4Dtplx8TwHmW&amp;index=102</t>
  </si>
  <si>
    <t>Mái ấm gia đình Việt | Tập 94: MC Quyền Linh "đau xé lòng" cảnh em nhỏ mất cha mẹ trong 2 ngày liền</t>
  </si>
  <si>
    <t>mai am gia dinh viet tap 94 mc quyen linh dau xe long canh em nho mat cha me trong 2 ngay lien</t>
  </si>
  <si>
    <t>2024-08-02T13:45:07.000Z</t>
  </si>
  <si>
    <t>YzAY33Q_B_s</t>
  </si>
  <si>
    <t>https://www.youtube.com/watch?v=YzAY33Q_B_s&amp;list=PLDNVHSVr-vVkKKgcJr--k4Dtplx8TwHmW&amp;index=104</t>
  </si>
  <si>
    <t>Mái Ấm Gia Đình Việt Tập 92: H'Hen Niê, Doãn Quốc Đam khóc nấc thương 2 chị em đi bộ 28km đến trường</t>
  </si>
  <si>
    <t>mai am gia dinh viet tap 92 h hen nie doan quoc dam khoc nac thuong 2 chi em di bo 28km den truong</t>
  </si>
  <si>
    <t>2024-07-12T13:45:07.000Z</t>
  </si>
  <si>
    <t>Sg4KvsSHkXc</t>
  </si>
  <si>
    <t>https://www.youtube.com/watch?v=Sg4KvsSHkXc&amp;list=PLDNVHSVr-vVkKKgcJr--k4Dtplx8TwHmW&amp;index=110</t>
  </si>
  <si>
    <t>Mái Ấm Gia Đình Việt Tập 86: Quang Đăng, Jang Mi khóc nghẹn với ước mơ được đi học của cô bé mất cha</t>
  </si>
  <si>
    <t>mai am gia dinh viet tap 86 quang dang jang mi khoc nghen voi uoc mo duoc di hoc cua co be mat cha</t>
  </si>
  <si>
    <t>2024-05-31T13:45:07.000Z</t>
  </si>
  <si>
    <t>SsHCI8sJoCc</t>
  </si>
  <si>
    <t>https://www.youtube.com/watch?v=SsHCI8sJoCc&amp;list=PLDNVHSVr-vVkKKgcJr--k4Dtplx8TwHmW&amp;index=109</t>
  </si>
  <si>
    <t>Mái Ấm Gia Đình Việt |Tập 87: Phương Anh Đào, Quốc Thuận xót xa trước em nhỏ ra mộ ba nằm vì quá nhớ</t>
  </si>
  <si>
    <t>mai am gia dinh viet tap 87 phuong anh dao quoc thuan xot xa truoc em nho ra mo ba nam vi qua nho</t>
  </si>
  <si>
    <t>2024-06-07T13:30:07.000Z</t>
  </si>
  <si>
    <t>wgO6-mJYsAQ</t>
  </si>
  <si>
    <t>https://www.youtube.com/watch?v=wgO6-mJYsAQ&amp;list=PLDNVHSVr-vVkKKgcJr--k4Dtplx8TwHmW&amp;index=105</t>
  </si>
  <si>
    <t>Mái Ấm Gia Đình Việt | Tập 91: Quyền Linh xót xa cảnh em nhỏ tự lập không dám xin tiền mẹ</t>
  </si>
  <si>
    <t>mai am gia dinh viet tap 91 quyen linh xot xa canh em nho tu lap khong dam xin tien me</t>
  </si>
  <si>
    <t>2024-07-05T13:45:07.000Z</t>
  </si>
  <si>
    <t>lHk4esU61B4</t>
  </si>
  <si>
    <t>https://www.youtube.com/watch?v=lHk4esU61B4&amp;list=PLDNVHSVr-vVkKKgcJr--k4Dtplx8TwHmW&amp;index=106</t>
  </si>
  <si>
    <t>Mái Ấm Gia Đình Việt Tập 90: Dương Ngọc Thái,Giang Hồng Ngọc xót xa cảnh ông U80 bán vé số nuôi cháu</t>
  </si>
  <si>
    <t>mai am gia dinh viet tap 90 duong ngoc thai giang hong ngoc xot xa canh ong u80 ban ve so nuoi chau</t>
  </si>
  <si>
    <t>2024-06-28T13:45:08.000Z</t>
  </si>
  <si>
    <t>0vk2VVEoYhI</t>
  </si>
  <si>
    <t>https://www.youtube.com/watch?v=0vk2VVEoYhI&amp;list=PLDNVHSVr-vVkKKgcJr--k4Dtplx8TwHmW&amp;index=107</t>
  </si>
  <si>
    <t>Mái Ấm Gia Đình Việt | Tập 89:Quyền Linh,NSND Trọng Trinh,Phạm Quỳnh Anh bức xúc người mẹ vứt bỏ con</t>
  </si>
  <si>
    <t>mai am gia dinh viet tap 89 quyen linh nsnd trong trinh pham quynh anh buc xuc nguoi me vut bo con</t>
  </si>
  <si>
    <t>2024-06-21T13:45:07.000Z</t>
  </si>
  <si>
    <t>WM8X7stUGFc</t>
  </si>
  <si>
    <t>https://www.youtube.com/watch?v=WM8X7stUGFc&amp;list=PLDNVHSVr-vVkKKgcJr--k4Dtplx8TwHmW&amp;index=111</t>
  </si>
  <si>
    <t>Mái Ấm Gia Đình Việt |Tập 85: Diệp Lâm Anh, Đức Phúc bật khóc, trao tặng 150 triệu đồng cho 3 em nhỏ</t>
  </si>
  <si>
    <t>mai am gia dinh viet tap 85 diep lam anh duc phuc bat khoc trao tang 150 trieu dong cho 3 em nho</t>
  </si>
  <si>
    <t>2024-05-24T13:45:08.000Z</t>
  </si>
  <si>
    <t>KDhJg9xJqZk</t>
  </si>
  <si>
    <t>https://www.youtube.com/watch?v=KDhJg9xJqZk&amp;list=PLDNVHSVr-vVkKKgcJr--k4Dtplx8TwHmW&amp;index=113</t>
  </si>
  <si>
    <t>Mái Ấm Gia Đình Việt | Tập 83: MC Quyền Linh đau xót cảnh người ông gần 70 tuổi nuôi 3 cháu mồ côi</t>
  </si>
  <si>
    <t>mai am gia dinh viet tap 83 mc quyen linh dau xot canh nguoi ong gan 70 tuoi nuoi 3 chau mo coi</t>
  </si>
  <si>
    <t>2024-05-10T13:45:07.000Z</t>
  </si>
  <si>
    <t>o1kQX4OQu68</t>
  </si>
  <si>
    <t>https://www.youtube.com/watch?v=o1kQX4OQu68&amp;list=PLDNVHSVr-vVkKKgcJr--k4Dtplx8TwHmW&amp;index=114</t>
  </si>
  <si>
    <t>Mái Ấm Gia Đình Việt | Tập 82: Phương Mỹ Chi, Duy Khánh xót xa với nỗi đau chồng chất của các em nhỏ</t>
  </si>
  <si>
    <t>mai am gia dinh viet tap 82 phuong my chi duy khanh xot xa voi noi dau chong chat cua cac em nho</t>
  </si>
  <si>
    <t>2024-05-03T13:45:08.000Z</t>
  </si>
  <si>
    <t>ZjMeTISC_Oo</t>
  </si>
  <si>
    <t>https://www.youtube.com/watch?v=ZjMeTISC_Oo&amp;list=PLDNVHSVr-vVkKKgcJr--k4Dtplx8TwHmW&amp;index=119</t>
  </si>
  <si>
    <t>Mái Ấm Gia Đình Việt Tập 77: Quốc Thiên, Bùi Xuân Hạnh đau xót với ước mơ bữa cơm có thịt của các em</t>
  </si>
  <si>
    <t>mai am gia dinh viet tap 77 quoc thien bui xuan hanh dau xot voi uoc mo bua com co thit cua cac em</t>
  </si>
  <si>
    <t>2024-03-29T13:45:07.000Z</t>
  </si>
  <si>
    <t>9hAvBeIdtLQ</t>
  </si>
  <si>
    <t>https://www.youtube.com/watch?v=9hAvBeIdtLQ&amp;list=PLDNVHSVr-vVkKKgcJr--k4Dtplx8TwHmW&amp;index=120</t>
  </si>
  <si>
    <t>Mái Ấm Gia Đình Việt Tập 76: NSND Thanh Lam, Ali Hoàng Dương bật khóc cảnh mẹ 1 mình vất vả nuôi con</t>
  </si>
  <si>
    <t>mai am gia dinh viet tap 76 nsnd thanh lam ali hoang duong bat khoc canh me 1 minh vat va nuoi con</t>
  </si>
  <si>
    <t>2024-03-22T13:45:07.000Z</t>
  </si>
  <si>
    <t>aKtz0idpEWs</t>
  </si>
  <si>
    <t>https://www.youtube.com/watch?v=aKtz0idpEWs&amp;list=PLDNVHSVr-vVkKKgcJr--k4Dtplx8TwHmW&amp;index=147</t>
  </si>
  <si>
    <t>Mái Ấm Gia Đình Việt |Tập 49:Quyền Linh,Chiến Thắng,Thu Hương xúc động vì người mẹ tâm thần nuôi con</t>
  </si>
  <si>
    <t>mai am gia dinh viet tap 49 quyen linh chien thang thu huong xuc dong vi nguoi me tam than nuoi con</t>
  </si>
  <si>
    <t>2023-09-08T13:45:09.000Z</t>
  </si>
  <si>
    <t>A7rzbPUI8pY</t>
  </si>
  <si>
    <t>https://www.youtube.com/watch?v=A7rzbPUI8pY&amp;list=PLDNVHSVr-vVkKKgcJr--k4Dtplx8TwHmW&amp;index=146</t>
  </si>
  <si>
    <t>Mái Ấm Gia Đình Việt |TẬP 50:Quyền Linh,Lâm Hùng, Mỹ Uyên xót xa cô bé nghỉ học đi làm lo cho em gái</t>
  </si>
  <si>
    <t>mai am gia dinh viet tap 50 quyen linh lam hung my uyen xot xa co be nghi hoc di lam lo cho em gai</t>
  </si>
  <si>
    <t>2023-09-15T13:45:08.000Z</t>
  </si>
  <si>
    <t>aQNu-VOumL4</t>
  </si>
  <si>
    <t>https://www.youtube.com/watch?v=aQNu-VOumL4&amp;list=PLDNVHSVr-vVkKKgcJr--k4Dtplx8TwHmW&amp;index=148</t>
  </si>
  <si>
    <t>Mái Ấm Gia Đình Việt |Tập 42:Quyền Linh nhập hội "ăn gian" cùng Thanh Phong, Ngọc Thúy tại Nghệ An</t>
  </si>
  <si>
    <t>mai am gia dinh viet tap 42 quyen linh nhap hoi an gian cung thanh phong ngoc thuy tai nghe an</t>
  </si>
  <si>
    <t>2023-09-05T13:30:02.000Z</t>
  </si>
  <si>
    <t>NPwhXqh8KMM</t>
  </si>
  <si>
    <t>https://www.youtube.com/watch?v=NPwhXqh8KMM&amp;list=PLDNVHSVr-vVkKKgcJr--k4Dtplx8TwHmW&amp;index=155</t>
  </si>
  <si>
    <t>Mái Ấm Gia Đình Việt |Tập 41:Tuấn Tú quặn lòng khóc nghẹn, Thanh Hương kiệt sức, quyết chơi đến cùng</t>
  </si>
  <si>
    <t>mai am gia dinh viet tap 41 tuan tu quan long khoc nghen thanh huong kiet suc quyet choi den cung</t>
  </si>
  <si>
    <t>2023-07-14T13:45:08.000Z</t>
  </si>
  <si>
    <t>uoMhbSprtQs</t>
  </si>
  <si>
    <t>https://www.youtube.com/watch?v=uoMhbSprtQs&amp;list=PLDNVHSVr-vVkKKgcJr--k4Dtplx8TwHmW&amp;index=152</t>
  </si>
  <si>
    <t>Mái Ấm Gia Đình Việt | Tập 45: Đào Vân Anh rối trí với MC Quyền Linh, Xuân Phúc lăn xả hết mình</t>
  </si>
  <si>
    <t>mai am gia dinh viet tap 45 dao van anh roi tri voi mc quyen linh xuan phuc lan xa het minh</t>
  </si>
  <si>
    <t>2023-08-11T13:45:08.000Z</t>
  </si>
  <si>
    <t>4rWZ7KTACNk</t>
  </si>
  <si>
    <t>https://www.youtube.com/watch?v=4rWZ7KTACNk&amp;list=PLDNVHSVr-vVkKKgcJr--k4Dtplx8TwHmW&amp;index=150</t>
  </si>
  <si>
    <t>Mái Ấm Gia Đình Việt | Tập 47: Quyền Linh, Anh Tú, Linh Hương bức xúc người cha, người mẹ vứt bỏ con</t>
  </si>
  <si>
    <t>mai am gia dinh viet tap 47 quyen linh anh tu linh huong buc xuc nguoi cha nguoi me vut bo con</t>
  </si>
  <si>
    <t>2023-08-25T13:45:10.000Z</t>
  </si>
  <si>
    <t>RIhOIyo16SU</t>
  </si>
  <si>
    <t>https://www.youtube.com/watch?v=RIhOIyo16SU&amp;list=PLDNVHSVr-vVkKKgcJr--k4Dtplx8TwHmW&amp;index=158</t>
  </si>
  <si>
    <t>Mái Ấm Gia Đình Việt | Tập 38: Ốc Thanh Vân xót xa bật khóc, "chiến thần gameshow" gọi tên Xuân Nghị</t>
  </si>
  <si>
    <t>mai am gia dinh viet tap 38 oc thanh van xot xa bat khoc chien than gameshow goi ten xuan nghi</t>
  </si>
  <si>
    <t>2023-06-23T13:45:10.000Z</t>
  </si>
  <si>
    <t>fZ9iKL0TsSs</t>
  </si>
  <si>
    <t>https://www.youtube.com/watch?v=fZ9iKL0TsSs&amp;list=PLDNVHSVr-vVkKKgcJr--k4Dtplx8TwHmW&amp;index=154</t>
  </si>
  <si>
    <t>Mái Ấm Gia Đình Việt | Tập 43:MC Quyền Linh, Quốc Thuận, Đàm Hằng xót xa cô bé viêm não sợ mất mẹ</t>
  </si>
  <si>
    <t>mai am gia dinh viet tap 43 mc quyen linh quoc thuan dam hang xot xa co be viem nao so mat me</t>
  </si>
  <si>
    <t>2023-07-28T13:45:07.000Z</t>
  </si>
  <si>
    <t>rH-BcF0ANDU</t>
  </si>
  <si>
    <t>https://www.youtube.com/watch?v=rH-BcF0ANDU&amp;list=PLDNVHSVr-vVkKKgcJr--k4Dtplx8TwHmW&amp;index=161</t>
  </si>
  <si>
    <t>MAGDV |Tập 35:Hoàng Oanh,Lê Minh khóc nghẹn cảnh mồ côi cha mẹ, bất lực gánh vác tương lai của 2 con</t>
  </si>
  <si>
    <t>magdv tap 35 hoang oanh le minh khoc nghen canh mo coi cha me bat luc ganh vac tuong lai cua 2 con</t>
  </si>
  <si>
    <t>2023-06-02T13:45:08.000Z</t>
  </si>
  <si>
    <t>a2a9CVNo0Jw</t>
  </si>
  <si>
    <t>https://www.youtube.com/watch?v=a2a9CVNo0Jw&amp;list=PLDNVHSVr-vVkKKgcJr--k4Dtplx8TwHmW&amp;index=162</t>
  </si>
  <si>
    <t>Mái Ấm Gia Đình Việt | Tập 34: Kim Tuyến bị kéo lê lết, "té sắp mặt",Võ Tấn Phát "suýt nôn" vì nghẹn</t>
  </si>
  <si>
    <t>mai am gia dinh viet tap 34 kim tuyen bi keo le let te sap mat vo tan phat suyt non vi nghen</t>
  </si>
  <si>
    <t>2023-05-26T13:45:08.000Z</t>
  </si>
  <si>
    <t>RzGsDiKz2H0</t>
  </si>
  <si>
    <t>https://www.youtube.com/watch?v=RzGsDiKz2H0&amp;list=PLDNVHSVr-vVkKKgcJr--k4Dtplx8TwHmW&amp;index=164</t>
  </si>
  <si>
    <t>Mái Ấm Gia Đình Việt|Tập 32:Khánh Phương bị "bóc phốt" ĂN GIAN,Quỳnh Trang trổ tài bắn gấu siêu đỉnh</t>
  </si>
  <si>
    <t>mai am gia dinh viet tap 32 khanh phuong bi boc phot an gian quynh trang tro tai ban gau sieu dinh</t>
  </si>
  <si>
    <t>2023-05-12T13:45:11.000Z</t>
  </si>
  <si>
    <t>BdkeXXHzDwc</t>
  </si>
  <si>
    <t>https://www.youtube.com/watch?v=BdkeXXHzDwc&amp;list=PLDNVHSVr-vVkKKgcJr--k4Dtplx8TwHmW&amp;index=167</t>
  </si>
  <si>
    <t>Mái Ấm Gia Đình Việt | Tập 29:Thanh Ngọc chơi "TRẦY DA TRÓC VẨY",Tiết Cương hóa xạ thủ "bắn máy bay"</t>
  </si>
  <si>
    <t>mai am gia dinh viet tap 29 thanh ngoc choi tray da troc vay tiet cuong hoa xa thu ban may bay</t>
  </si>
  <si>
    <t>2023-04-21T14:00:07.000Z</t>
  </si>
  <si>
    <t>fAYiV43lp4s</t>
  </si>
  <si>
    <t>https://www.youtube.com/watch?v=fAYiV43lp4s&amp;list=PLDNVHSVr-vVkKKgcJr--k4Dtplx8TwHmW&amp;index=123</t>
  </si>
  <si>
    <t>Mái Ấm Gia Đình Việt Tập 74: Thanh Thức, Diệp Bảo Ngọc khóc nấc trước nỗi đau mất cha của các em nhỏ</t>
  </si>
  <si>
    <t>mai am gia dinh viet tap 74 thanh thuc diep bao ngoc khoc nac truoc noi dau mat cha cua cac em nho</t>
  </si>
  <si>
    <t>2024-03-08T13:45:08.000Z</t>
  </si>
  <si>
    <t>5VKvSBshBf0</t>
  </si>
  <si>
    <t>https://www.youtube.com/watch?v=5VKvSBshBf0&amp;list=PLDNVHSVr-vVkKKgcJr--k4Dtplx8TwHmW&amp;index=168</t>
  </si>
  <si>
    <t>Mái Ấm Gia Đình Việt | Tập 28: Vân Trang ngại ngùng hát Duyên Phận, ST Sơn Thạch hóa "thánh ăn gian"</t>
  </si>
  <si>
    <t>mai am gia dinh viet tap 28 van trang ngai ngung hat duyen phan st son thach hoa thanh an gian</t>
  </si>
  <si>
    <t>2023-04-14T14:00:11.000Z</t>
  </si>
  <si>
    <t>dZpEpl_MdG0</t>
  </si>
  <si>
    <t>https://www.youtube.com/watch?v=dZpEpl_MdG0&amp;list=PLDNVHSVr-vVkKKgcJr--k4Dtplx8TwHmW&amp;index=169</t>
  </si>
  <si>
    <t>Mái Ấm Gia Đình Việt | Tập 27: Trung Dân HOẢNG LOẠN vì bị Phi Phụng hành lên bờ xuống ruộng</t>
  </si>
  <si>
    <t>mai am gia dinh viet tap 27 trung dan hoang loan vi bi phi phung hanh len bo xuong ruong</t>
  </si>
  <si>
    <t>2023-04-05T14:00:12.000Z</t>
  </si>
  <si>
    <t>5SZ9SR3CGJQ</t>
  </si>
  <si>
    <t>https://www.youtube.com/watch?v=5SZ9SR3CGJQ&amp;list=PLDNVHSVr-vVkKKgcJr--k4Dtplx8TwHmW&amp;index=166</t>
  </si>
  <si>
    <t>Mái Ấm Gia Đình Việt|Tập 30:Trương Quỳnh Anh nước mắt lưng tròng,Huy Khánh hốt hoảng vì ăn bột no nê</t>
  </si>
  <si>
    <t>mai am gia dinh viet tap 30 truong quynh anh nuoc mat lung trong huy khanh hot hoang vi an bot no ne</t>
  </si>
  <si>
    <t>2023-04-28T14:00:08.000Z</t>
  </si>
  <si>
    <t>FDlTIXf3sKw</t>
  </si>
  <si>
    <t>https://www.youtube.com/watch?v=FDlTIXf3sKw&amp;list=PLDNVHSVr-vVkKKgcJr--k4Dtplx8TwHmW&amp;index=124</t>
  </si>
  <si>
    <t>Mái Ấm Gia Đình Việt Tập 73: MC Quyền Linh xót xa cảnh mẹ mất vì tai nạn, cha tần tảo nuôi 2 con nhỏ</t>
  </si>
  <si>
    <t>mai am gia dinh viet tap 73 mc quyen linh xot xa canh me mat vi tai nan cha tan tao nuoi 2 con nho</t>
  </si>
  <si>
    <t>2024-03-01T13:45:08.000Z</t>
  </si>
  <si>
    <t>wk3IFqPDOPg</t>
  </si>
  <si>
    <t>https://www.youtube.com/watch?v=wk3IFqPDOPg&amp;list=PLDNVHSVr-vVkKKgcJr--k4Dtplx8TwHmW&amp;index=127</t>
  </si>
  <si>
    <t>Mái Ấm Gia Đình Việt |Tập 70:Vũ Ngọc Ánh,Hữu Quốc khóc nghẹn cảnh mẹ bệnh nặng làm chỗ dựa cho 2 con</t>
  </si>
  <si>
    <t>mai am gia dinh viet tap 70 vu ngoc anh huu quoc khoc nghen canh me benh nang lam cho dua cho 2 con</t>
  </si>
  <si>
    <t>2024-02-02T13:45:12.000Z</t>
  </si>
  <si>
    <t>nnKy9qY9T98</t>
  </si>
  <si>
    <t>https://www.youtube.com/watch?v=nnKy9qY9T98&amp;list=PLDNVHSVr-vVkKKgcJr--k4Dtplx8TwHmW&amp;index=125</t>
  </si>
  <si>
    <t>Mái Ấm Gia Đình Việt Tập 72: Vũ Thu Phương, Erik xót xa với cảnh 2 anh em côi cút nương nhau mà sống</t>
  </si>
  <si>
    <t>mai am gia dinh viet tap 72 vu thu phuong erik xot xa voi canh 2 anh em coi cut nuong nhau ma song</t>
  </si>
  <si>
    <t>2024-02-23T13:45:09.000Z</t>
  </si>
  <si>
    <t>l1psyYtK2Wc</t>
  </si>
  <si>
    <t>https://www.youtube.com/watch?v=l1psyYtK2Wc&amp;list=PLDNVHSVr-vVkKKgcJr--k4Dtplx8TwHmW&amp;index=135</t>
  </si>
  <si>
    <t>Mái Ấm Gia Đình Việt | Tập 61: Quyền Linh xót thương người mẹ chịu đau, nhịn ăn để con được đi học</t>
  </si>
  <si>
    <t>mai am gia dinh viet tap 61 quyen linh xot thuong nguoi me chiu dau nhin an de con duoc di hoc</t>
  </si>
  <si>
    <t>2023-12-01T13:45:09.000Z</t>
  </si>
  <si>
    <t>I2HqwU5LwrU</t>
  </si>
  <si>
    <t>https://www.youtube.com/watch?v=I2HqwU5LwrU&amp;list=PLDNVHSVr-vVkKKgcJr--k4Dtplx8TwHmW&amp;index=128</t>
  </si>
  <si>
    <t>Mái Ấm Gia Đình Việt |Tập 69:Hai em nhỏ khóc nức nở vì mẹ vừa mất khiến Quyền Linh không nói nên lời</t>
  </si>
  <si>
    <t>mai am gia dinh viet tap 69 hai em nho khoc nuc no vi me vua mat khien quyen linh khong noi nen loi</t>
  </si>
  <si>
    <t>2024-01-26T13:45:10.000Z</t>
  </si>
  <si>
    <t>t2GGJob9jUw</t>
  </si>
  <si>
    <t>https://www.youtube.com/watch?v=t2GGJob9jUw&amp;list=PLDNVHSVr-vVkKKgcJr--k4Dtplx8TwHmW&amp;index=136</t>
  </si>
  <si>
    <t>Mái Ấm Gia Đình Việt |Tập 60: Quyền Linh,Phượng Hằng,Hồ Việt Trung đau lòng cô bé uống nước thay cơm</t>
  </si>
  <si>
    <t>mai am gia dinh viet tap 60 quyen linh phuong hang ho viet trung dau long co be uong nuoc thay com</t>
  </si>
  <si>
    <t>2023-11-24T13:45:10.000Z</t>
  </si>
  <si>
    <t>F0jQmRTnLec</t>
  </si>
  <si>
    <t>https://www.youtube.com/watch?v=F0jQmRTnLec&amp;list=PLDNVHSVr-vVkKKgcJr--k4Dtplx8TwHmW&amp;index=138</t>
  </si>
  <si>
    <t>Mái Ấm Gia Đình Việt|Tập 58:Thanh Thuý,Mạc Văn Khoa phối hợp ăn ý đem tiền thưởng lớn cho 3 gia đình</t>
  </si>
  <si>
    <t>mai am gia dinh viet tap 58 thanh thuy mac van khoa phoi hop an y dem tien thuong lon cho 3 gia dinh</t>
  </si>
  <si>
    <t>2023-11-10T13:45:08.000Z</t>
  </si>
  <si>
    <t>VOCYjeh3xmw</t>
  </si>
  <si>
    <t>https://www.youtube.com/watch?v=VOCYjeh3xmw&amp;list=PLDNVHSVr-vVkKKgcJr--k4Dtplx8TwHmW&amp;index=132</t>
  </si>
  <si>
    <t>Mái Ấm Gia Đình Việt | Tập 64:Hồ Bích Trâm bật khóc, Quyền Linh xót xa người cha già nuôi con 1 mình</t>
  </si>
  <si>
    <t>mai am gia dinh viet tap 64 ho bich tram bat khoc quyen linh xot xa nguoi cha gia nuoi con 1 minh</t>
  </si>
  <si>
    <t>2023-12-22T13:45:07.000Z</t>
  </si>
  <si>
    <t>0XsDJ9tkx3Q</t>
  </si>
  <si>
    <t>https://www.youtube.com/watch?v=0XsDJ9tkx3Q&amp;list=PLDNVHSVr-vVkKKgcJr--k4Dtplx8TwHmW&amp;index=131</t>
  </si>
  <si>
    <t>Mái Ấm Gia Đình Việt |Tập 66: Cảnh nhà vệ sinh xập xệ, Quyền Linh tặng ngay 3 mẹ con nhà vệ sinh mới</t>
  </si>
  <si>
    <t>mai am gia dinh viet tap 66 canh nha ve sinh xap xe quyen linh tang ngay 3 me con nha ve sinh moi</t>
  </si>
  <si>
    <t>2024-01-05T13:45:10.000Z</t>
  </si>
  <si>
    <t>tGUA_GrQm0E</t>
  </si>
  <si>
    <t>https://www.youtube.com/watch?v=tGUA_GrQm0E&amp;list=PLDNVHSVr-vVkKKgcJr--k4Dtplx8TwHmW&amp;index=137</t>
  </si>
  <si>
    <t>Mái Ấm Gia Đình Việt |Tập 59: Kiều Linh, Thiên Vương đau xót người cha muốn con nghỉ học vì khó khăn</t>
  </si>
  <si>
    <t>mai am gia dinh viet tap 59 kieu linh thien vuong dau xot nguoi cha muon con nghi hoc vi kho khan</t>
  </si>
  <si>
    <t>2023-11-17T13:45:12.000Z</t>
  </si>
  <si>
    <t>N-GFbykXAYk</t>
  </si>
  <si>
    <t>https://www.youtube.com/watch?v=N-GFbykXAYk&amp;list=PLDNVHSVr-vVkKKgcJr--k4Dtplx8TwHmW&amp;index=143</t>
  </si>
  <si>
    <t>Mái Ấm Gia Đình Việt |Tập 53: Quyền Linh, Hoàng Bách, Lệ Hằng nghẹn lòng 4 anh em mất mẹ sống với bà</t>
  </si>
  <si>
    <t>mai am gia dinh viet tap 53 quyen linh hoang bach le hang nghen long 4 anh em mat me song voi ba</t>
  </si>
  <si>
    <t>2023-10-06T13:45:06.000Z</t>
  </si>
  <si>
    <t>BoHwSArMwe8</t>
  </si>
  <si>
    <t>https://www.youtube.com/watch?v=BoHwSArMwe8&amp;list=PLDNVHSVr-vVkKKgcJr--k4Dtplx8TwHmW&amp;index=36</t>
  </si>
  <si>
    <t>Mái Ấm Gia Đình Việt Tập 161: Chế Nguyễn Quỳnh Châu liên tục trích tiền túi gửi tặng 3 gia đình</t>
  </si>
  <si>
    <t>mai am gia dinh viet tap 161 che nguyen quynh chau lien tuc trich tien tui gui tang 3 gia dinh</t>
  </si>
  <si>
    <t>2025-11-21T12:55:06.000Z</t>
  </si>
  <si>
    <t>_rOrsXY4Imk</t>
  </si>
  <si>
    <t>https://www.youtube.com/watch?v=_rOrsXY4Imk&amp;list=PLDNVHSVr-vVkKKgcJr--k4Dtplx8TwHmW&amp;index=141</t>
  </si>
  <si>
    <t>Mái Ấm GIa Đình Việt | Tập 55: Hoa Hậu Ngọc Diễm, Quách Ngọc Tuyên xót xa cảnh cô bé mồ côi</t>
  </si>
  <si>
    <t>mai am gia dinh viet tap 55 hoa hau ngoc diem quach ngoc tuyen xot xa canh co be mo coi</t>
  </si>
  <si>
    <t>2023-10-20T13:45:08.000Z</t>
  </si>
  <si>
    <t>xi-1030nl7Y</t>
  </si>
  <si>
    <t>https://www.youtube.com/watch?v=xi-1030nl7Y&amp;list=PLDNVHSVr-vVkKKgcJr--k4Dtplx8TwHmW&amp;index=145</t>
  </si>
  <si>
    <t>Mái Ấm Gia Đình Việt| TẬP 51:Quyền Linh, Will, Việt Anh bức xúc người mẹ bỏ con chưa một lần về thăm</t>
  </si>
  <si>
    <t>mai am gia dinh viet tap 51 quyen linh will viet anh buc xuc nguoi me bo con chua mot lan ve tham</t>
  </si>
  <si>
    <t>2023-09-22T13:45:12.000Z</t>
  </si>
  <si>
    <t>goNnLc2D940</t>
  </si>
  <si>
    <t>https://www.youtube.com/watch?v=goNnLc2D940&amp;list=PLDNVHSVr-vVkKKgcJr--k4Dtplx8TwHmW&amp;index=45</t>
  </si>
  <si>
    <t>Mái Ấm Gia Đình Việt Tập 152: Lâm Vỹ Dạ bật khóc, "giận con trai" vì một lý do khiến ai cũng xót xa</t>
  </si>
  <si>
    <t>mai am gia dinh viet tap 152 lam vy da bat khoc gian con trai vi mot ly do khien ai cung xot xa</t>
  </si>
  <si>
    <t>2025-09-19T13:45:06.000Z</t>
  </si>
  <si>
    <t>mGRT-ELN9Pg</t>
  </si>
  <si>
    <t>https://www.youtube.com/watch?v=mGRT-ELN9Pg&amp;list=PLDNVHSVr-vVkKKgcJr--k4Dtplx8TwHmW&amp;index=48</t>
  </si>
  <si>
    <t>Mái Ấm Gia Đình Việt Tập 149: Cậu bé bị mẹ bỏ bật khóc "Đợi mỗi ngày nhưng con không thấy mẹ về"</t>
  </si>
  <si>
    <t>mai am gia dinh viet tap 149 cau be bi me bo bat khoc doi moi ngay nhung con khong thay me ve</t>
  </si>
  <si>
    <t>2025-08-29T13:45:06.000Z</t>
  </si>
  <si>
    <t>vQ_92PDY77A</t>
  </si>
  <si>
    <t>https://www.youtube.com/watch?v=vQ_92PDY77A&amp;list=PLDNVHSVr-vVkKKgcJr--k4Dtplx8TwHmW&amp;index=140</t>
  </si>
  <si>
    <t>MÁi Ấm Gia Đình Việt | Tập 56: Hiếu Hiền gặp chấn thương, MC Quyền Linh xuất hiện với vai trò mới</t>
  </si>
  <si>
    <t>mai am gia dinh viet tap 56 hieu hien gap chan thuong mc quyen linh xuat hien voi vai tro moi</t>
  </si>
  <si>
    <t>2023-10-27T13:45:07.000Z</t>
  </si>
  <si>
    <t>PrmxWHDLBFg</t>
  </si>
  <si>
    <t>https://www.youtube.com/watch?v=PrmxWHDLBFg&amp;list=PLDNVHSVr-vVkKKgcJr--k4Dtplx8TwHmW&amp;index=139</t>
  </si>
  <si>
    <t>Mái Ấm Gia Đình Việt | Tập 57: Quyền Linh, Hứa Vĩ Văn, Tố My xót xa cô bé bị bạn bè chọc không cha</t>
  </si>
  <si>
    <t>mai am gia dinh viet tap 57 quyen linh hua vi van to my xot xa co be bi ban be choc khong cha</t>
  </si>
  <si>
    <t>2023-11-03T13:45:12.000Z</t>
  </si>
  <si>
    <t>VO2EaG96rww</t>
  </si>
  <si>
    <t>https://www.youtube.com/watch?v=VO2EaG96rww&amp;list=PLDNVHSVr-vVkKKgcJr--k4Dtplx8TwHmW&amp;index=76</t>
  </si>
  <si>
    <t>Mái Ấm Gia Đình Việt |Tập 120: Khép lại 1 năm trọn vẹn cảm xúc và những câu chuyện chạm đến trái tim</t>
  </si>
  <si>
    <t>mai am gia dinh viet tap 120 khep lai 1 nam tron ven cam xuc va nhung cau chuyen cham den trai tim</t>
  </si>
  <si>
    <t>2025-02-07T13:45:06.000Z</t>
  </si>
  <si>
    <t>lryDqBZ0mFQ</t>
  </si>
  <si>
    <t>https://www.youtube.com/watch?v=lryDqBZ0mFQ&amp;list=PLDNVHSVr-vVkKKgcJr--k4Dtplx8TwHmW&amp;index=52</t>
  </si>
  <si>
    <t>Mái Ấm Gia Đình Việt Tập 145: Tiến Linh, Huỳnh Lập thương cậu bé lạy 108 lần cầu cho mẹ khỏi ung thư</t>
  </si>
  <si>
    <t>mai am gia dinh viet tap 145 tien linh huynh lap thuong cau be lay 108 lan cau cho me khoi ung thu</t>
  </si>
  <si>
    <t>2025-08-01T13:45:06.000Z</t>
  </si>
  <si>
    <t>j9wToWrBr00</t>
  </si>
  <si>
    <t>https://www.youtube.com/watch?v=j9wToWrBr00&amp;list=PLDNVHSVr-vVkKKgcJr--k4Dtplx8TwHmW&amp;index=75</t>
  </si>
  <si>
    <t>Mái Ấm Gia Đình Việt | Tập 121: Căn nhà đổ nát chôn vùi bố mẹ, 3 anh em chỉ còn lại ký ức đau thương</t>
  </si>
  <si>
    <t>mai am gia dinh viet tap 121 can nha do nat chon vui bo me 3 anh em chi con lai ky uc dau thuong</t>
  </si>
  <si>
    <t>2025-02-14T13:45:06.000Z</t>
  </si>
  <si>
    <t>pFoqR5ZEU0I</t>
  </si>
  <si>
    <t>https://www.youtube.com/watch?v=pFoqR5ZEU0I&amp;list=PLDNVHSVr-vVkKKgcJr--k4Dtplx8TwHmW&amp;index=69</t>
  </si>
  <si>
    <t>Mái Ấm Gia Đình Việt Tập 127: NTK Đỗ Long lặng người nhớ lại tuổi thơ khi nghe câu chuyện của cậu bé</t>
  </si>
  <si>
    <t>mai am gia dinh viet tap 127 ntk do long lang nguoi nho lai tuoi tho khi nghe cau chuyen cua cau be</t>
  </si>
  <si>
    <t>2025-03-28T13:45:07.000Z</t>
  </si>
  <si>
    <t>MP0WV6JVrsw</t>
  </si>
  <si>
    <t>https://www.youtube.com/watch?v=MP0WV6JVrsw&amp;list=PLDNVHSVr-vVkKKgcJr--k4Dtplx8TwHmW&amp;index=32</t>
  </si>
  <si>
    <t>Mái Ấm Gia Đình Việt 165: Người mẹ mù “nhìn” con trai bằng linh cảm khiến Hà Lê, Huỳnh Lập xúc động</t>
  </si>
  <si>
    <t>mai am gia dinh viet 165 nguoi me mu nhin con trai bang linh cam khien ha le huynh lap xuc dong</t>
  </si>
  <si>
    <t>2025-12-19T12:55:06.000Z</t>
  </si>
  <si>
    <t>aG6UhEcil70</t>
  </si>
  <si>
    <t>https://www.youtube.com/watch?v=aG6UhEcil70&amp;list=PLDNVHSVr-vVkKKgcJr--k4Dtplx8TwHmW&amp;index=61</t>
  </si>
  <si>
    <t>Mái Ấm Gia Đình Việt Tập 136: Kỷ vật cuối cùng của mẹ trong tay bé gái khiến Lâm Vỹ Dạ nghẹn ngào</t>
  </si>
  <si>
    <t>mai am gia dinh viet tap 136 ky vat cuoi cung cua me trong tay be gai khien lam vy da nghen ngao</t>
  </si>
  <si>
    <t>2025-05-30T13:45:06.000Z</t>
  </si>
  <si>
    <t>VPDf1SZMJtI</t>
  </si>
  <si>
    <t>https://www.youtube.com/watch?v=VPDf1SZMJtI&amp;list=PLDNVHSVr-vVkKKgcJr--k4Dtplx8TwHmW&amp;index=84</t>
  </si>
  <si>
    <t>Mái Ấm Gia Đình Việt Tập 112: Hải Nam, Jun Vũ xót xa khi đồng phục chị cả thành áo công nhân bạc màu</t>
  </si>
  <si>
    <t>mai am gia dinh viet tap 112 hai nam jun vu xot xa khi dong phuc chi ca thanh ao cong nhan bac mau</t>
  </si>
  <si>
    <t>2024-12-06T14:57:48.000Z</t>
  </si>
  <si>
    <t>ei-3mO6bYQw</t>
  </si>
  <si>
    <t>https://www.youtube.com/watch?v=ei-3mO6bYQw&amp;list=PLDNVHSVr-vVkKKgcJr--k4Dtplx8TwHmW&amp;index=64</t>
  </si>
  <si>
    <t>Mái Ấm Gia Đình Việt Tập 132: Cô bé nuôi ước mơ viết tiếp giấc mơ chưa trọn của người cha quá cố</t>
  </si>
  <si>
    <t>mai am gia dinh viet tap 132 co be nuoi uoc mo viet tiep giac mo chua tron cua nguoi cha qua co</t>
  </si>
  <si>
    <t>2025-05-02T13:45:06.000Z</t>
  </si>
  <si>
    <t>zQ2MTUTIjFU</t>
  </si>
  <si>
    <t>https://www.youtube.com/watch?v=zQ2MTUTIjFU&amp;list=PLDNVHSVr-vVkKKgcJr--k4Dtplx8TwHmW&amp;index=53</t>
  </si>
  <si>
    <t>Mái Ấm Gia Đình Việt Tập 144: Cô bé khiến Đại Nghĩa, Ma Ran Đô lặng người vì không nhớ nổi mặt mẹ</t>
  </si>
  <si>
    <t>mai am gia dinh viet tap 144 co be khien dai nghia ma ran do lang nguoi vi khong nho noi mat me</t>
  </si>
  <si>
    <t>2025-07-25T13:45:06.000Z</t>
  </si>
  <si>
    <t>X0OeFZpstwk</t>
  </si>
  <si>
    <t>https://www.youtube.com/watch?v=X0OeFZpstwk&amp;list=PLDNVHSVr-vVkKKgcJr--k4Dtplx8TwHmW&amp;index=89</t>
  </si>
  <si>
    <t>Mái Ấm Gia Đình Việt Tập 107: Đông Thiên Đức xót xa cô bé dặn lòng mạnh mẽ, không mít ướt khi mất ba</t>
  </si>
  <si>
    <t>mai am gia dinh viet tap 107 dong thien duc xot xa co be dan long manh me khong mit uot khi mat ba</t>
  </si>
  <si>
    <t>2024-11-01T13:45:06.000Z</t>
  </si>
  <si>
    <t>D29Idsnj_0Q</t>
  </si>
  <si>
    <t>https://www.youtube.com/watch?v=D29Idsnj_0Q&amp;list=PLDNVHSVr-vVkKKgcJr--k4Dtplx8TwHmW&amp;index=88</t>
  </si>
  <si>
    <t>Mái Ấm Gia Đình Việt Tập 108: Huỳnh Bảo Ngọc xúc động trước ước mơ gặp ba dù chỉ một lần của cô bé</t>
  </si>
  <si>
    <t>mai am gia dinh viet tap 108 huynh bao ngoc xuc dong truoc uoc mo gap ba du chi mot lan cua co be</t>
  </si>
  <si>
    <t>2024-11-08T13:45:06.000Z</t>
  </si>
  <si>
    <t>lYR4ro_Lv1Y</t>
  </si>
  <si>
    <t>https://www.youtube.com/watch?v=lYR4ro_Lv1Y&amp;list=PLDNVHSVr-vVkKKgcJr--k4Dtplx8TwHmW&amp;index=98</t>
  </si>
  <si>
    <t>Mái Ấm Gia Đình Việt Tập 98: Nguyệt Ánh, Bùi Anh Tuấn xót xa vì hai mẹ con phải vay mượn từng bữa ăn</t>
  </si>
  <si>
    <t>mai am gia dinh viet tap 98 nguyet anh bui anh tuan xot xa vi hai me con phai vay muon tung bua an</t>
  </si>
  <si>
    <t>2024-08-30T13:45:08.000Z</t>
  </si>
  <si>
    <t>oRbKEWCbwK8</t>
  </si>
  <si>
    <t>https://www.youtube.com/watch?v=oRbKEWCbwK8&amp;list=PLDNVHSVr-vVkKKgcJr--k4Dtplx8TwHmW&amp;index=5</t>
  </si>
  <si>
    <t>Mái Ấm Gia Đình Việt | Tập 194: Võ Điền Gia Huy siết chặt vạt áo khóc nức nở trước bi kịch gia đình</t>
  </si>
  <si>
    <t>mai am gia dinh viet tap 194 vo dien gia huy siet chat vat ao khoc nuc no truoc bi kich gia dinh</t>
  </si>
  <si>
    <t>2026-07-10T13:30:06.000Z</t>
  </si>
  <si>
    <t>vPba4Si-Wug</t>
  </si>
  <si>
    <t>https://www.youtube.com/watch?v=vPba4Si-Wug&amp;list=PLDNVHSVr-vVkKKgcJr--k4Dtplx8TwHmW&amp;index=4</t>
  </si>
  <si>
    <t>Mái Ấm Gia Đình Việt Tập 195: Quế Ngọc Hải thay người bố đã mất ôm chầm cô bé mắc dị tật bẩm sinh</t>
  </si>
  <si>
    <t>mai am gia dinh viet tap 195 que ngoc hai thay nguoi bo da mat om cham co be mac di tat bam sinh</t>
  </si>
  <si>
    <t>2026-07-17T13:30:06.000Z</t>
  </si>
  <si>
    <t>UpQvu2PAE84</t>
  </si>
  <si>
    <t>https://www.youtube.com/watch?v=UpQvu2PAE84&amp;list=PLDNVHSVr-vVkKKgcJr--k4Dtplx8TwHmW&amp;index=173</t>
  </si>
  <si>
    <t>Mái Ấm Gia Đình Việt | Tập 23: Quyền Linh xúc động BẬT KHÓC, Ngọc Lan, Huỳnh Lập XÂY XẨM MẶT MÀY</t>
  </si>
  <si>
    <t>mai am gia dinh viet tap 23 quyen linh xuc dong bat khoc ngoc lan huynh lap xay xam mat may</t>
  </si>
  <si>
    <t>2023-03-08T14:00:08.000Z</t>
  </si>
  <si>
    <t>cTsc3db9Ti0</t>
  </si>
  <si>
    <t>https://www.youtube.com/watch?v=cTsc3db9Ti0&amp;list=PLDNVHSVr-vVkKKgcJr--k4Dtplx8TwHmW&amp;index=19</t>
  </si>
  <si>
    <t>Mái Ấm Gia Đình Việt Tập 179: Lời hứa dang dở của cha và hình ảnh cô bé lớp 6 mang nỗi nhớ da diết</t>
  </si>
  <si>
    <t>mai am gia dinh viet tap 179 loi hua dang do cua cha va hinh anh co be lop 6 mang noi nho da diet</t>
  </si>
  <si>
    <t>2026-03-27T12:55:06.000Z</t>
  </si>
  <si>
    <t>tFWTWikJ5j4</t>
  </si>
  <si>
    <t>https://www.youtube.com/watch?v=tFWTWikJ5j4&amp;list=PLDNVHSVr-vVkKKgcJr--k4Dtplx8TwHmW&amp;index=175</t>
  </si>
  <si>
    <t>Mái Ấm Gia Đình Việt | Tập 21:Yến Trang nghẹn ngào KHÓC NỨC NỞ,Lý Hùng PHONG ĐỘ quyết chiến tới cùng</t>
  </si>
  <si>
    <t>mai am gia dinh viet tap 21 yen trang nghen ngao khoc nuc no ly hung phong do quyet chien toi cung</t>
  </si>
  <si>
    <t>2023-02-22T14:00:07.000Z</t>
  </si>
  <si>
    <t>L8X9R3k0Zh4</t>
  </si>
  <si>
    <t>https://www.youtube.com/watch?v=L8X9R3k0Zh4&amp;list=PLDNVHSVr-vVkKKgcJr--k4Dtplx8TwHmW&amp;index=21</t>
  </si>
  <si>
    <t>Mái Ấm Gia Đình Việt Tập 177 Suy nghĩ sợ "mẹ mất" của cậu bé ngay khoảnh khắc mẹ nằm trên xe cấp cứu</t>
  </si>
  <si>
    <t>mai am gia dinh viet tap 177 suy nghi so me mat cua cau be ngay khoanh khac me nam tren xe cap cuu</t>
  </si>
  <si>
    <t>2026-03-13T12:55:07.000Z</t>
  </si>
  <si>
    <t>nx7_UYVzRGo</t>
  </si>
  <si>
    <t>https://www.youtube.com/watch?v=nx7_UYVzRGo&amp;list=PLDNVHSVr-vVkKKgcJr--k4Dtplx8TwHmW&amp;index=16</t>
  </si>
  <si>
    <t>Mái Ấm Gia Đình Vi��t | Tập 183: VĐV Trương Đình Hoàng "yếu lòng" trước 3 chị em ghi hình một mình</t>
  </si>
  <si>
    <t>mai am gia dinh vi t tap 183 vdv truong dinh hoang yeu long truoc 3 chi em ghi hinh mot minh</t>
  </si>
  <si>
    <t>2026-04-24T13:30:07.000Z</t>
  </si>
  <si>
    <t>Jub1VU98C1Q</t>
  </si>
  <si>
    <t>https://www.youtube.com/watch?v=Jub1VU98C1Q&amp;list=PLDNVHSVr-vVkKKgcJr--k4Dtplx8TwHmW&amp;index=194</t>
  </si>
  <si>
    <t>MAGĐV | Tập 2:Võ Hoàng Yến,Hải Nam KHÓC NẤC trước cảnh mất cha lẫn mẹ,anh trai bươn chải nuôi cả nhà</t>
  </si>
  <si>
    <t>magdv tap 2 vo hoang yen hai nam khoc nac truoc canh mat cha lan me anh trai buon chai nuoi ca nha</t>
  </si>
  <si>
    <t>2022-10-12T14:00:09.000Z</t>
  </si>
  <si>
    <t>T2su0w9mvLk</t>
  </si>
  <si>
    <t>https://www.youtube.com/watch?v=T2su0w9mvLk&amp;list=PLDNVHSVr-vVkKKgcJr--k4Dtplx8TwHmW&amp;index=115</t>
  </si>
  <si>
    <t>Mái Ấm Gia Đình Việt Tập 81: Kiều Minh Tuấn,Hoà Minzy khóc nghẹn cảnh 2 đứa trẻ ăn rau sống qua ngày</t>
  </si>
  <si>
    <t>mai am gia dinh viet tap 81 kieu minh tuan hoa minzy khoc nghen canh 2 dua tre an rau song qua ngay</t>
  </si>
  <si>
    <t>2024-04-26T13:45:07.000Z</t>
  </si>
  <si>
    <t>M6n93d2I548</t>
  </si>
  <si>
    <t>https://www.youtube.com/watch?v=M6n93d2I548&amp;list=PLDNVHSVr-vVkKKgcJr--k4Dtplx8TwHmW&amp;index=116</t>
  </si>
  <si>
    <t>Mái Ấm Gia Đình Việt | Tập 80: MC Quyền Linh ứa nước mắt trước cô bé mồ côi chưa từng biết mặt cha</t>
  </si>
  <si>
    <t>mai am gia dinh viet tap 80 mc quyen linh ua nuoc mat truoc co be mo coi chua tung biet mat cha</t>
  </si>
  <si>
    <t>2024-04-19T13:45:07.000Z</t>
  </si>
  <si>
    <t>hJzaBa4xJB0</t>
  </si>
  <si>
    <t>https://www.youtube.com/watch?v=hJzaBa4xJB0&amp;list=PLDNVHSVr-vVkKKgcJr--k4Dtplx8TwHmW&amp;index=103</t>
  </si>
  <si>
    <t>Mái Ấm Gia Đình Việt | Tập 93:Anh tài Kay Trần, LyLy xót xa cảnh bà 80 tuổi bán rau vất vả nuôi cháu</t>
  </si>
  <si>
    <t>mai am gia dinh viet tap 93 anh tai kay tran lyly xot xa canh ba 80 tuoi ban rau vat va nuoi chau</t>
  </si>
  <si>
    <t>2024-07-19T13:45:07.000Z</t>
  </si>
  <si>
    <t>HDk1662p3D4</t>
  </si>
  <si>
    <t>https://www.youtube.com/watch?v=HDk1662p3D4&amp;list=PLDNVHSVr-vVkKKgcJr--k4Dtplx8TwHmW&amp;index=117</t>
  </si>
  <si>
    <t>Mái Ấm Gia Đình Việt Tập 79: Đứa trẻ mồ côi cha ước mơ đi học khiến Hiền Mai, Hamlet Trương bật khóc</t>
  </si>
  <si>
    <t>mai am gia dinh viet tap 79 dua tre mo coi cha uoc mo di hoc khien hien mai hamlet truong bat khoc</t>
  </si>
  <si>
    <t>2024-04-12T13:45:07.000Z</t>
  </si>
  <si>
    <t>s03wsqg8kH8</t>
  </si>
  <si>
    <t>https://www.youtube.com/watch?v=s03wsqg8kH8&amp;list=PLDNVHSVr-vVkKKgcJr--k4Dtplx8TwHmW&amp;index=153</t>
  </si>
  <si>
    <t>Mái Ấm Gia Đình Việt | Tập 44:Quyền Linh, Nguyễn Phi Hùng bức xúc người cha bỏ con đi sau khi vợ mất</t>
  </si>
  <si>
    <t>mai am gia dinh viet tap 44 quyen linh nguyen phi hung buc xuc nguoi cha bo con di sau khi vo mat</t>
  </si>
  <si>
    <t>2023-08-04T13:45:08.000Z</t>
  </si>
  <si>
    <t>mVRfra1pFbM</t>
  </si>
  <si>
    <t>https://www.youtube.com/watch?v=mVRfra1pFbM&amp;list=PLDNVHSVr-vVkKKgcJr--k4Dtplx8TwHmW&amp;index=118</t>
  </si>
  <si>
    <t>Mái Ấm Gia Đình Việt |Tập 78: Nỗi đau của những em nhỏ phải chịu sau tai nạn khiến Quyền Linh xót xa</t>
  </si>
  <si>
    <t>mai am gia dinh viet tap 78 noi dau cua nhung em nho phai chiu sau tai nan khien quyen linh xot xa</t>
  </si>
  <si>
    <t>2024-04-05T13:45:07.000Z</t>
  </si>
  <si>
    <t>rlqHacTDXyA</t>
  </si>
  <si>
    <t>https://www.youtube.com/watch?v=rlqHacTDXyA&amp;list=PLDNVHSVr-vVkKKgcJr--k4Dtplx8TwHmW&amp;index=149</t>
  </si>
  <si>
    <t>Mái Ấm Gia Đình Việt |Tập 48: Quốc Đại ,Cẩm Tiên xót lòng con trai chăm mẹ U70 bị bệnh tật hành hạ</t>
  </si>
  <si>
    <t>mai am gia dinh viet tap 48 quoc dai cam tien xot long con trai cham me u70 bi benh tat hanh ha</t>
  </si>
  <si>
    <t>2023-09-01T13:45:09.000Z</t>
  </si>
  <si>
    <t>G0mhHBoYfbw</t>
  </si>
  <si>
    <t>https://www.youtube.com/watch?v=G0mhHBoYfbw&amp;list=PLDNVHSVr-vVkKKgcJr--k4Dtplx8TwHmW&amp;index=156</t>
  </si>
  <si>
    <t>Mái Ấm Gia Đình Việt |Tập 40: Võ Minh Lâm, Mai Anh "chi mạnh" tiền , tài trợ học phí cho 3 bé mồ côi</t>
  </si>
  <si>
    <t>mai am gia dinh viet tap 40 vo minh lam mai anh chi manh tien tai tro hoc phi cho 3 be mo coi</t>
  </si>
  <si>
    <t>2023-07-07T13:45:09.000Z</t>
  </si>
  <si>
    <t>XKTQwzb9jj4</t>
  </si>
  <si>
    <t>https://www.youtube.com/watch?v=XKTQwzb9jj4&amp;list=PLDNVHSVr-vVkKKgcJr--k4Dtplx8TwHmW&amp;index=159</t>
  </si>
  <si>
    <t>MAGDV |Tập 37: VĐV Muay Thai Nguyễn Trần Duy Nhất văn võ song toàn, Mai Thanh Hà đau lòng bật khóc</t>
  </si>
  <si>
    <t>magdv tap 37 vdv muay thai nguyen tran duy nhat van vo song toan mai thanh ha dau long bat khoc</t>
  </si>
  <si>
    <t>2023-06-16T13:45:08.000Z</t>
  </si>
  <si>
    <t>kq2rv3Vn3zs</t>
  </si>
  <si>
    <t>https://www.youtube.com/watch?v=kq2rv3Vn3zs&amp;list=PLDNVHSVr-vVkKKgcJr--k4Dtplx8TwHmW&amp;index=170</t>
  </si>
  <si>
    <t>Mái Ấm Gia Đình Việt | Tập 26: Lê Khánh THẮT LÒNG KHÓC NGHẸN, Cao Minh Đạt QUÁ NHANH QUÁ NGUY HIỂM</t>
  </si>
  <si>
    <t>mai am gia dinh viet tap 26 le khanh that long khoc nghen cao minh dat qua nhanh qua nguy hiem</t>
  </si>
  <si>
    <t>2023-03-29T14:00:08.000Z</t>
  </si>
  <si>
    <t>lytFbrp6xHE</t>
  </si>
  <si>
    <t>https://www.youtube.com/watch?v=lytFbrp6xHE&amp;list=PLDNVHSVr-vVkKKgcJr--k4Dtplx8TwHmW&amp;index=122</t>
  </si>
  <si>
    <t>Mái Ấm Gia Đình Việt | Tập 65: Quyền Linh,Tự Long,Vân Hugo chạnh lòng trước câu nói "Con sợ mẹ mất"</t>
  </si>
  <si>
    <t>mai am gia dinh viet tap 65 quyen linh tu long van hugo chanh long truoc cau noi con so me mat</t>
  </si>
  <si>
    <t>2024-03-13T13:30:31.000Z</t>
  </si>
  <si>
    <t>KlowYruqBo8</t>
  </si>
  <si>
    <t>https://www.youtube.com/watch?v=KlowYruqBo8&amp;list=PLDNVHSVr-vVkKKgcJr--k4Dtplx8TwHmW&amp;index=134</t>
  </si>
  <si>
    <t>Mái Ấm Gia Đình Việt | Tập 62: Quyền Linh, Kiều Oanh thương xót cô bé sinh ra không biết mặt cha</t>
  </si>
  <si>
    <t>mai am gia dinh viet tap 62 quyen linh kieu oanh thuong xot co be sinh ra khong biet mat cha</t>
  </si>
  <si>
    <t>2023-12-08T13:45:07.000Z</t>
  </si>
  <si>
    <t>EOIXoT-FQ1s</t>
  </si>
  <si>
    <t>https://www.youtube.com/watch?v=EOIXoT-FQ1s&amp;list=PLDNVHSVr-vVkKKgcJr--k4Dtplx8TwHmW&amp;index=121</t>
  </si>
  <si>
    <t>Mái Ấm Gia Đình Việt Tập 75: NSƯT Vân Khánh, Anh Tài đau lòng với nỗi bất hạnh của đứa trẻ không cha</t>
  </si>
  <si>
    <t>mai am gia dinh viet tap 75 nsut van khanh anh tai dau long voi noi bat hanh cua dua tre khong cha</t>
  </si>
  <si>
    <t>2024-03-15T13:45:07.000Z</t>
  </si>
  <si>
    <t>r6DWdXpC5P4</t>
  </si>
  <si>
    <t>https://www.youtube.com/watch?v=r6DWdXpC5P4&amp;list=PLDNVHSVr-vVkKKgcJr--k4Dtplx8TwHmW&amp;index=165</t>
  </si>
  <si>
    <t>MAGDV Tập 31: Tú Vi đồng cảm với cô bé không biết mặt cha, Văn Anh bình tĩnh chinh phục thử thách</t>
  </si>
  <si>
    <t>magdv tap 31 tu vi dong cam voi co be khong biet mat cha van anh binh tinh chinh phuc thu thach</t>
  </si>
  <si>
    <t>2023-05-05T13:45:10.000Z</t>
  </si>
  <si>
    <t>2yeyKzMA3FY</t>
  </si>
  <si>
    <t>https://www.youtube.com/watch?v=2yeyKzMA3FY&amp;list=PLDNVHSVr-vVkKKgcJr--k4Dtplx8TwHmW&amp;index=157</t>
  </si>
  <si>
    <t>Mái Ấm Gia Đình Việt| Tập 39: Quách Tuấn Du đồng cảm nỗi đau mất cha, Ngọc Châu quyết chiến dưới mưa</t>
  </si>
  <si>
    <t>mai am gia dinh viet tap 39 quach tuan du dong cam noi dau mat cha ngoc chau quyet chien duoi mua</t>
  </si>
  <si>
    <t>2023-06-30T13:45:09.000Z</t>
  </si>
  <si>
    <t>1P1AWJhGyss</t>
  </si>
  <si>
    <t>https://www.youtube.com/watch?v=1P1AWJhGyss&amp;list=PLDNVHSVr-vVkKKgcJr--k4Dtplx8TwHmW&amp;index=133</t>
  </si>
  <si>
    <t>Mái Ấm Gia Đình Việt |Tập 63:Hương Giang,Trung Ruồi khiến Quyền Linh cúi đầu cảm ơn vì những món quà</t>
  </si>
  <si>
    <t>mai am gia dinh viet tap 63 huong giang trung ruoi khien quyen linh cui dau cam on vi nhung mon qua</t>
  </si>
  <si>
    <t>2023-12-15T13:45:09.000Z</t>
  </si>
  <si>
    <t>VrFg9kPtLAI</t>
  </si>
  <si>
    <t>https://www.youtube.com/watch?v=VrFg9kPtLAI&amp;list=PLDNVHSVr-vVkKKgcJr--k4Dtplx8TwHmW&amp;index=129</t>
  </si>
  <si>
    <t>Mái Ấm Gia Đình Việt |Tập 68:Hoàn cảnh khó khăn đủ đường khiến Quyền Linh, Bình An, Thu Phương "sốc"</t>
  </si>
  <si>
    <t>mai am gia dinh viet tap 68 hoan canh kho khan du duong khien quyen linh binh an thu phuong soc</t>
  </si>
  <si>
    <t>2024-01-19T13:45:08.000Z</t>
  </si>
  <si>
    <t>sVM4foJbiEM</t>
  </si>
  <si>
    <t>https://www.youtube.com/watch?v=sVM4foJbiEM&amp;list=PLDNVHSVr-vVkKKgcJr--k4Dtplx8TwHmW&amp;index=54</t>
  </si>
  <si>
    <t>Mái Ấm Gia Đình Việt Tập 143: Phương Oanh, Hoàng Tôn bật khóc hình ảnh cậu bé mồ côi ghi hình 1 mình</t>
  </si>
  <si>
    <t>mai am gia dinh viet tap 143 phuong oanh hoang ton bat khoc hinh anh cau be mo coi ghi hinh 1 minh</t>
  </si>
  <si>
    <t>2025-07-18T13:45:06.000Z</t>
  </si>
  <si>
    <t>KaiLwxOlWxw</t>
  </si>
  <si>
    <t>https://www.youtube.com/watch?v=KaiLwxOlWxw&amp;list=PLDNVHSVr-vVkKKgcJr--k4Dtplx8TwHmW&amp;index=130</t>
  </si>
  <si>
    <t>Mái Ấm Gia Đình Việt | Tập 67: Hứa Kim Tuyền, Thuý Diễm đem về tiền thưởng lớn dưới thời tiết bất ổn</t>
  </si>
  <si>
    <t>mai am gia dinh viet tap 67 hua kim tuyen thuy diem dem ve tien thuong lon duoi thoi tiet bat on</t>
  </si>
  <si>
    <t>2024-01-12T13:45:08.000Z</t>
  </si>
  <si>
    <t>_A02goSOl2Y</t>
  </si>
  <si>
    <t>https://www.youtube.com/watch?v=_A02goSOl2Y&amp;list=PLDNVHSVr-vVkKKgcJr--k4Dtplx8TwHmW&amp;index=44</t>
  </si>
  <si>
    <t>Mái Ấm Gia Đình Việt Tập 153: Dù gắng gồng đến mấy, em vẫn là 1 đứa trẻ cũng "ước mơ có mẹ"</t>
  </si>
  <si>
    <t>mai am gia dinh viet tap 153 du gang gong den may em van la 1 dua tre cung uoc mo co me</t>
  </si>
  <si>
    <t>2025-09-26T13:45:06.000Z</t>
  </si>
  <si>
    <t>eKOC9mZJIAQ</t>
  </si>
  <si>
    <t>https://www.youtube.com/watch?v=eKOC9mZJIAQ&amp;list=PLDNVHSVr-vVkKKgcJr--k4Dtplx8TwHmW&amp;index=144</t>
  </si>
  <si>
    <t>Mái Ấm Gia Đình Việt |Tập 52: Quyền Linh, Hạnh Thúy, Kyo York nhói lòng cảnh ông bà già yếu mưu sinh</t>
  </si>
  <si>
    <t>mai am gia dinh viet tap 52 quyen linh hanh thuy kyo york nhoi long canh ong ba gia yeu muu sinh</t>
  </si>
  <si>
    <t>2023-09-29T13:45:10.000Z</t>
  </si>
  <si>
    <t>8rI1fOk_sQs</t>
  </si>
  <si>
    <t>https://www.youtube.com/watch?v=8rI1fOk_sQs&amp;list=PLDNVHSVr-vVkKKgcJr--k4Dtplx8TwHmW&amp;index=26</t>
  </si>
  <si>
    <t>Mái Ấm Gia Đình Việt 171: Huy Khánh xắn tay bán vé số ngay tại trường quay và món quà từ Đức Phúc</t>
  </si>
  <si>
    <t>mai am gia dinh viet 171 huy khanh xan tay ban ve so ngay tai truong quay va mon qua tu duc phuc</t>
  </si>
  <si>
    <t>2026-01-30T12:55:06.000Z</t>
  </si>
  <si>
    <t>nR4y8Hi94V0</t>
  </si>
  <si>
    <t>https://www.youtube.com/watch?v=nR4y8Hi94V0&amp;list=PLDNVHSVr-vVkKKgcJr--k4Dtplx8TwHmW&amp;index=18</t>
  </si>
  <si>
    <t>Mái Ấm Gia Đình Việt Tập 180 Bùi Trường Linh: "Nếu là người có trách nhiệm thì sẽ không làm như vậy"</t>
  </si>
  <si>
    <t>mai am gia dinh viet tap 180 bui truong linh neu la nguoi co trach nhiem thi se khong lam nhu vay</t>
  </si>
  <si>
    <t>2026-04-03T13:30:06.000Z</t>
  </si>
  <si>
    <t>wMy1T2gsQ8Y</t>
  </si>
  <si>
    <t>https://www.youtube.com/watch?v=wMy1T2gsQ8Y&amp;list=PLDNVHSVr-vVkKKgcJr--k4Dtplx8TwHmW&amp;index=62</t>
  </si>
  <si>
    <t>Mái Ấm Gia Đình Việt Tập 134: Anh trai Quang Trung tài trợ học phí đến hết đại học cho 7 bé mồ côi</t>
  </si>
  <si>
    <t>mai am gia dinh viet tap 134 anh trai quang trung tai tro hoc phi den het dai hoc cho 7 be mo coi</t>
  </si>
  <si>
    <t>2025-05-16T13:45:06.000Z</t>
  </si>
  <si>
    <t>YlFDoHk2i8Y</t>
  </si>
  <si>
    <t>https://www.youtube.com/watch?v=YlFDoHk2i8Y&amp;list=PLDNVHSVr-vVkKKgcJr--k4Dtplx8TwHmW&amp;index=25</t>
  </si>
  <si>
    <t>Mái Ấm Gia Đình Việt 172: Lâm Bảo Ngọc tài trợ 3 cha con một chuyến xe khứ hồi về quê viếng mộ mẹ</t>
  </si>
  <si>
    <t>mai am gia dinh viet 172 lam bao ngoc tai tro 3 cha con mot chuyen xe khu hoi ve que vieng mo me</t>
  </si>
  <si>
    <t>2026-02-06T12:55:06.000Z</t>
  </si>
  <si>
    <t>ph2DxPDmE0c</t>
  </si>
  <si>
    <t>https://www.youtube.com/watch?v=ph2DxPDmE0c&amp;list=PLDNVHSVr-vVkKKgcJr--k4Dtplx8TwHmW&amp;index=180</t>
  </si>
  <si>
    <t>Mái Ấm Gia Đình Viêt | Tập 16 :Anh Ba Ngọc Sơn SƠ HỞ là hát, Diễm My 9x ĂN BẤT CHẤP HÌNH TƯỢNG</t>
  </si>
  <si>
    <t>mai am gia dinh viet tap 16 anh ba ngoc son so ho la hat diem my 9x an bat chap hinh tuong</t>
  </si>
  <si>
    <t>2023-01-18T14:00:06.000Z</t>
  </si>
  <si>
    <t>uhDVWr-wG-A</t>
  </si>
  <si>
    <t>https://www.youtube.com/watch?v=uhDVWr-wG-A&amp;list=PLDNVHSVr-vVkKKgcJr--k4Dtplx8TwHmW&amp;index=192</t>
  </si>
  <si>
    <t>Mái Ấm Gia Đình Việt|Tập 4:Ngọc Châu,Trần Anh Huy NHÓI LÒNG vì câu nói "CON THƯƠNG BA" quá muộn màng</t>
  </si>
  <si>
    <t>mai am gia dinh viet tap 4 ngoc chau tran anh huy nhoi long vi cau noi con thuong ba qua muon mang</t>
  </si>
  <si>
    <t>2022-10-26T14:00:12.000Z</t>
  </si>
  <si>
    <t>ArnvaZYvI00</t>
  </si>
  <si>
    <t>https://www.youtube.com/watch?v=ArnvaZYvI00&amp;list=PLDNVHSVr-vVkKKgcJr--k4Dtplx8TwHmW&amp;index=108</t>
  </si>
  <si>
    <t>Mái ấm gia đình Việt | Tập 88: Quyền Linh, Quốc Trường, Kỳ Duyên đau lòng cảnh em nhỏ bị mẹ bỏ rơi</t>
  </si>
  <si>
    <t>mai am gia dinh viet tap 88 quyen linh quoc truong ky duyen dau long canh em nho bi me bo roi</t>
  </si>
  <si>
    <t>2024-06-14T13:45:07.000Z</t>
  </si>
  <si>
    <t>vbvmfj3ilv0</t>
  </si>
  <si>
    <t>https://www.youtube.com/watch?v=vbvmfj3ilv0&amp;list=PLDNVHSVr-vVkKKgcJr--k4Dtplx8TwHmW&amp;index=112</t>
  </si>
  <si>
    <t>Mái Ấm Gia Đình Việt | Tập 84: MC Quyền Linh xót xa trước 2 anh em nhặt ve chai kiếm tiền đi học</t>
  </si>
  <si>
    <t>mai am gia dinh viet tap 84 mc quyen linh xot xa truoc 2 anh em nhat ve chai kiem tien di hoc</t>
  </si>
  <si>
    <t>2024-05-17T13:45:08.000Z</t>
  </si>
  <si>
    <t>p4IvC_ZbNrs</t>
  </si>
  <si>
    <t>https://www.youtube.com/watch?v=p4IvC_ZbNrs&amp;list=PLDNVHSVr-vVkKKgcJr--k4Dtplx8TwHmW&amp;index=177</t>
  </si>
  <si>
    <t>Mái Ấm Gia Đình Việt|Tập 19:Vũ Mạnh Cường,Anh Thi CHÂN TRẦN CHIẾN ĐẤU mặc dù bị hành "TE TUA TƠI TẢ"</t>
  </si>
  <si>
    <t>mai am gia dinh viet tap 19 vu manh cuong anh thi chan tran chien dau mac du bi hanh te tua toi ta</t>
  </si>
  <si>
    <t>2023-02-08T14:00:09.000Z</t>
  </si>
  <si>
    <t>34dBK3fB9D4</t>
  </si>
  <si>
    <t>https://www.youtube.com/watch?v=34dBK3fB9D4&amp;list=PLDNVHSVr-vVkKKgcJr--k4Dtplx8TwHmW&amp;index=151</t>
  </si>
  <si>
    <t>Mái Ấm Gia Đình Việt |Tập 46: Quyền Linh, Phương Thanh, Minh Luân "vượt gió, đội mưa" chiến hết mình</t>
  </si>
  <si>
    <t>mai am gia dinh viet tap 46 quyen linh phuong thanh minh luan vuot gio doi mua chien het minh</t>
  </si>
  <si>
    <t>2023-08-18T13:45:08.000Z</t>
  </si>
  <si>
    <t>OqAe-TYiNAM</t>
  </si>
  <si>
    <t>https://www.youtube.com/watch?v=OqAe-TYiNAM&amp;list=PLDNVHSVr-vVkKKgcJr--k4Dtplx8TwHmW&amp;index=163</t>
  </si>
  <si>
    <t>MAGDV Tập 33 : Thảo Trang hứng trọn "cơn mưa bột", Don Nguyễn đau xót cảnh anh trai bỏ học nuôi em</t>
  </si>
  <si>
    <t>magdv tap 33 thao trang hung tron con mua bot don nguyen dau xot canh anh trai bo hoc nuoi em</t>
  </si>
  <si>
    <t>2023-05-20T05:06:20.000Z</t>
  </si>
  <si>
    <t>Jfxbg-kmBh4</t>
  </si>
  <si>
    <t>https://www.youtube.com/watch?v=Jfxbg-kmBh4&amp;list=PLDNVHSVr-vVkKKgcJr--k4Dtplx8TwHmW&amp;index=126</t>
  </si>
  <si>
    <t>Mái Ấm Gia Đình Việt | Tập 71: Mặc gian nan thử thách các nghệ sĩ nỗ lực vì MÁI ẤM GIA ĐÌNH VIỆT</t>
  </si>
  <si>
    <t>mai am gia dinh viet tap 71 mac gian nan thu thach cac nghe si no luc vi mai am gia dinh viet</t>
  </si>
  <si>
    <t>2024-02-16T13:45:11.000Z</t>
  </si>
  <si>
    <t>vwvfiaHjdLM</t>
  </si>
  <si>
    <t>https://www.youtube.com/watch?v=vwvfiaHjdLM&amp;list=PLDNVHSVr-vVkKKgcJr--k4Dtplx8TwHmW&amp;index=57</t>
  </si>
  <si>
    <t>Mái Ấm Gia Đình Việt Tập 140: JayKii nghẹn lòng khi thấy 4 đứa trẻ suy dinh dưỡng, thiếu thốn đủ bề</t>
  </si>
  <si>
    <t>mai am gia dinh viet tap 140 jaykii nghen long khi thay 4 dua tre suy dinh duong thieu thon du be</t>
  </si>
  <si>
    <t>2025-06-27T13:45:06.000Z</t>
  </si>
  <si>
    <t>axgY8ERAHn8</t>
  </si>
  <si>
    <t>https://www.youtube.com/watch?v=axgY8ERAHn8&amp;list=PLDNVHSVr-vVkKKgcJr--k4Dtplx8TwHmW&amp;index=142</t>
  </si>
  <si>
    <t>Mái Ấm Gia Đình Việt | Tập 54: Lọ Lem, Hạt Dẻ bật khóc vì thương 3 hoàn cảnh, Tuấn Trần bắt cá u đầu</t>
  </si>
  <si>
    <t>mai am gia dinh viet tap 54 lo lem hat de bat khoc vi thuong 3 hoan canh tuan tran bat ca u dau</t>
  </si>
  <si>
    <t>2023-10-13T13:45:09.000Z</t>
  </si>
  <si>
    <t>zgwmE8JNwzo</t>
  </si>
  <si>
    <t>https://www.youtube.com/watch?v=zgwmE8JNwzo&amp;list=PLDNVHSVr-vVkKKgcJr--k4Dtplx8TwHmW&amp;index=10</t>
  </si>
  <si>
    <t>Mái Ấm Gia Đình Việt Tập 189: Đại Nghĩa gằn giọng với cậu bé sau lời tâm sự khiến ai cũng bàng hoàng</t>
  </si>
  <si>
    <t>mai am gia dinh viet tap 189 dai nghia gan giong voi cau be sau loi tam su khien ai cung bang hoang</t>
  </si>
  <si>
    <t>2026-06-05T13:30:07.000Z</t>
  </si>
  <si>
    <t>Fed5B8LUhtE</t>
  </si>
  <si>
    <t>https://www.youtube.com/watch?v=Fed5B8LUhtE&amp;list=PLDNVHSVr-vVkKKgcJr--k4Dtplx8TwHmW&amp;index=68</t>
  </si>
  <si>
    <t>Mái Ấm Gia Đình Việt Tập 128: Bé trai ôm chặt chiếc áo mẹ mua trước khi mất, không dám mặc vì sợ cũ</t>
  </si>
  <si>
    <t>mai am gia dinh viet tap 128 be trai om chat chiec ao me mua truoc khi mat khong dam mac vi so cu</t>
  </si>
  <si>
    <t>2025-04-04T13:45:06.000Z</t>
  </si>
  <si>
    <t>AGixMS3FM_Q</t>
  </si>
  <si>
    <t>https://www.youtube.com/watch?v=AGixMS3FM_Q&amp;list=PLDNVHSVr-vVkKKgcJr--k4Dtplx8TwHmW&amp;index=160</t>
  </si>
  <si>
    <t>MAGDV|Tập 36:Ưng Hoàng Phúc bật khóc,Thùy Trang đau xót cảnh mẹ bệnh nặng, con gái nghỉ học mưu sinh</t>
  </si>
  <si>
    <t>magdv tap 36 ung hoang phuc bat khoc thuy trang dau xot canh me benh nang con gai nghi hoc muu sinh</t>
  </si>
  <si>
    <t>2023-06-09T13:45:07.000Z</t>
  </si>
  <si>
    <t>BAIUdniPO-A</t>
  </si>
  <si>
    <t>https://www.youtube.com/watch?v=BAIUdniPO-A&amp;list=PLDNVHSVr-vVkKKgcJr--k4Dtplx8TwHmW&amp;index=65</t>
  </si>
  <si>
    <t>Mái Ấm Gia Đình Việt Tập 131: Lâm Vỹ Dạ nhẹ nhàng xin phép được chải tóc cho bé gái không có mẹ</t>
  </si>
  <si>
    <t>mai am gia dinh viet tap 131 lam vy da nhe nhang xin phep duoc chai toc cho be gai khong co me</t>
  </si>
  <si>
    <t>2025-04-25T14:30:27.000Z</t>
  </si>
  <si>
    <t>ATCDN</t>
  </si>
  <si>
    <t>Anh Trai &amp; Cái Đuôi Nhỏ</t>
  </si>
  <si>
    <t>ATCDN_2026</t>
  </si>
  <si>
    <t>FuAYbk9j0h0</t>
  </si>
  <si>
    <t>https://www.youtube.com/watch?v=FuAYbk9j0h0&amp;list=PLy_TpcUT2LZvcJAmF_eYxx195KpRGmzrB&amp;index=1</t>
  </si>
  <si>
    <t>Anh Trai Và Cái Đuôi Nhỏ - Tập 12: Lễ tốt nghiệp đầy cảm xúc, đuôi nhỏ bày tỏ tình cảm với các anh</t>
  </si>
  <si>
    <t>anh trai va cai duoi nho tap 12 le tot nghiep day cam xuc duoi nho bay to tinh cam voi cac anh</t>
  </si>
  <si>
    <t>PLy_TpcUT2LZvcJAmF_eYxx195KpRGmzrB</t>
  </si>
  <si>
    <t>2026-08-08T14:15:07.000Z</t>
  </si>
  <si>
    <t>2026-08-12T14:47:53.755155+07:00</t>
  </si>
  <si>
    <t>Uq5msuuKFBoJZJPWH</t>
  </si>
  <si>
    <t>KRef2BML-wc</t>
  </si>
  <si>
    <t>https://www.youtube.com/watch?v=KRef2BML-wc&amp;list=PLy_TpcUT2LZvcJAmF_eYxx195KpRGmzrB&amp;index=12</t>
  </si>
  <si>
    <t>Anh Trai Và Cái Đuôi Nhỏ  - Tập 1: ISAAC, CODY, JSOL, HURRYKNG "hoảng loạn" ngày đầu làm "bảo mẫu"</t>
  </si>
  <si>
    <t>anh trai va cai duoi nho tap 1 isaac cody jsol hurrykng hoang loan ngay dau lam bao mau</t>
  </si>
  <si>
    <t>2026-05-23T14:15:06.000Z</t>
  </si>
  <si>
    <t>TMzUSJvA608</t>
  </si>
  <si>
    <t>https://www.youtube.com/watch?v=TMzUSJvA608&amp;list=PLy_TpcUT2LZvcJAmF_eYxx195KpRGmzrB&amp;index=3</t>
  </si>
  <si>
    <t>Anh Trai Và Cái Đuôi Nhỏ - Tập 10: Yeolan kết nạp fan cứng, VƯƠNG BÌNH bối rối chăm 6 đuôi nhỏ</t>
  </si>
  <si>
    <t>anh trai va cai duoi nho tap 10 yeolan ket nap fan cung vuong binh boi roi cham 6 duoi nho</t>
  </si>
  <si>
    <t>2026-07-25T14:15:06.000Z</t>
  </si>
  <si>
    <t>DtfN79Bx1v4</t>
  </si>
  <si>
    <t>https://www.youtube.com/watch?v=DtfN79Bx1v4&amp;list=PLy_TpcUT2LZvcJAmF_eYxx195KpRGmzrB&amp;index=9</t>
  </si>
  <si>
    <t>Anh Trai Và Cái Đuôi Nhỏ - Tập 4: 6 sếp nhí "khuấy đảo" anh trai, "quậy tưng bừng" gian hàng hội chợ</t>
  </si>
  <si>
    <t>anh trai va cai duoi nho tap 4 6 sep nhi khuay dao anh trai quay tung bung gian hang hoi cho</t>
  </si>
  <si>
    <t>2026-06-13T14:15:06.000Z</t>
  </si>
  <si>
    <t>_K-rzxLEdRQ</t>
  </si>
  <si>
    <t>https://www.youtube.com/watch?v=_K-rzxLEdRQ&amp;list=PLy_TpcUT2LZvcJAmF_eYxx195KpRGmzrB&amp;index=6</t>
  </si>
  <si>
    <t>Anh Trai Và Cái Đuôi Nhỏ - Tập 7: ISAAC đón sinh nhật đặc biệt,4 anh trai "chật vật" dỗ đuôi nhỏ ngủ</t>
  </si>
  <si>
    <t>anh trai va cai duoi nho tap 7 isaac don sinh nhat dac biet 4 anh trai chat vat do duoi nho ngu</t>
  </si>
  <si>
    <t>2026-07-04T14:15:07.000Z</t>
  </si>
  <si>
    <t>au82t9S7-qw</t>
  </si>
  <si>
    <t>https://www.youtube.com/watch?v=au82t9S7-qw&amp;list=PLy_TpcUT2LZvcJAmF_eYxx195KpRGmzrB&amp;index=4</t>
  </si>
  <si>
    <t>Anh Trai Và Cái Đuôi Nhỏ - Tập 9: Jaysonlei gia nhập hội "đuôi nhỏ", khuấy động ngày hội đa văn hóa</t>
  </si>
  <si>
    <t>anh trai va cai duoi nho tap 9 jaysonlei gia nhap hoi duoi nho khuay dong ngay hoi da van hoa</t>
  </si>
  <si>
    <t>2026-07-18T14:15:06.000Z</t>
  </si>
  <si>
    <t>AuetpmE00eg</t>
  </si>
  <si>
    <t>https://www.youtube.com/watch?v=AuetpmE00eg&amp;list=PLy_TpcUT2LZvcJAmF_eYxx195KpRGmzrB&amp;index=8</t>
  </si>
  <si>
    <t>Anh Trai Và Cái Đuôi Nhỏ - Tập 5: Chấn động đại hội thể thao, CONGB, DILLAN, Bùi Duy Ngọc hòa tan</t>
  </si>
  <si>
    <t>anh trai va cai duoi nho tap 5 chan dong dai hoi the thao congb dillan bui duy ngoc hoa tan</t>
  </si>
  <si>
    <t>2026-06-20T14:15:07.000Z</t>
  </si>
  <si>
    <t>g2_QM5DFn8M</t>
  </si>
  <si>
    <t>https://www.youtube.com/watch?v=g2_QM5DFn8M&amp;list=PLy_TpcUT2LZvcJAmF_eYxx195KpRGmzrB&amp;index=5</t>
  </si>
  <si>
    <t>Anh Trai Và Cái Đuôi Nhỏ - Tập 8: NICKY, Muộii, Hải Nam bí mật đột nhập, cả nhà chung náo loạn</t>
  </si>
  <si>
    <t>anh trai va cai duoi nho tap 8 nicky muoii hai nam bi mat dot nhap ca nha chung nao loan</t>
  </si>
  <si>
    <t>2026-07-11T14:15:07.000Z</t>
  </si>
  <si>
    <t>8RTVnRrMV7A</t>
  </si>
  <si>
    <t>https://www.youtube.com/watch?v=8RTVnRrMV7A&amp;list=PLy_TpcUT2LZvcJAmF_eYxx195KpRGmzrB&amp;index=11</t>
  </si>
  <si>
    <t>Anh Trai Và Cái Đuôi Nhỏ - Tập 2: "Thầy" Sơn.K dần trống rỗng, tan chảy với khiếu hài hước của BÉ TƯ</t>
  </si>
  <si>
    <t>anh trai va cai duoi nho tap 2 thay son k dan trong rong tan chay voi khieu hai huoc cua be tu</t>
  </si>
  <si>
    <t>2026-05-30T14:15:07.000Z</t>
  </si>
  <si>
    <t>Nnjh_-6xpx4</t>
  </si>
  <si>
    <t>https://www.youtube.com/watch?v=Nnjh_-6xpx4&amp;list=PLy_TpcUT2LZvcJAmF_eYxx195KpRGmzrB&amp;index=10</t>
  </si>
  <si>
    <t>Anh Trai Và Cái Đuôi Nhỏ  - Tập 3: Dương Lâm, Ku Phin um sùm "nhà trẻ", CODY NAM VÕ "đầu bù tóc rối"</t>
  </si>
  <si>
    <t>anh trai va cai duoi nho tap 3 duong lam ku phin um sum nha tre cody nam vo dau bu toc roi</t>
  </si>
  <si>
    <t>2026-06-06T14:15:06.000Z</t>
  </si>
  <si>
    <t>WoMdyX5ikFw</t>
  </si>
  <si>
    <t>https://www.youtube.com/watch?v=WoMdyX5ikFw&amp;list=PLy_TpcUT2LZvcJAmF_eYxx195KpRGmzrB&amp;index=7</t>
  </si>
  <si>
    <t>Anh Trai Và Cái Đuôi Nhỏ - Tập 6: Gin Tuấn Kiệt "gáy to", các anh trai chao đảo tại "nhà chung"</t>
  </si>
  <si>
    <t>anh trai va cai duoi nho tap 6 gin tuan kiet gay to cac anh trai chao dao tai nha chung</t>
  </si>
  <si>
    <t>2026-06-27T14:15:06.000Z</t>
  </si>
  <si>
    <t>Duh6X7WJ4rw</t>
  </si>
  <si>
    <t>https://www.youtube.com/watch?v=Duh6X7WJ4rw&amp;list=PLy_TpcUT2LZvcJAmF_eYxx195KpRGmzrB&amp;index=2</t>
  </si>
  <si>
    <t>Anh Trai Và Cái Đuôi Nhỏ - Tập 11: DILLAN đứng hình,các anh trai xúc động nghe điều ước của đuôi nhỏ</t>
  </si>
  <si>
    <t>anh trai va cai duoi nho tap 11 dillan dung hinh cac anh trai xuc dong nghe dieu uoc cua duoi nho</t>
  </si>
  <si>
    <t>2026-08-01T14:15:06.000Z</t>
  </si>
  <si>
    <t>XHTDRLX</t>
  </si>
  <si>
    <t>Xuân Hạ Thu Đông, Rồi Lại Xuân</t>
  </si>
  <si>
    <t>XHTDRLX_S1</t>
  </si>
  <si>
    <t>EgHZ_HEoQRI</t>
  </si>
  <si>
    <t>https://www.youtube.com/watch?v=EgHZ_HEoQRI&amp;list=PLxNMBnO9F8FNxpfidsVyxNffOg_VhLOOa&amp;index=8</t>
  </si>
  <si>
    <t>[OFFICIAL] Tập 7 FULL Hoà Minzy song ca cực đỉnh cùng Văn Mai Hương - XUÂN HẠ THU ĐÔNG RỒI LẠI XUÂN</t>
  </si>
  <si>
    <t>official tap 7 full hoa minzy song ca cuc dinh cung van mai huong xuan ha thu dong roi lai xuan</t>
  </si>
  <si>
    <t>PLxNMBnO9F8FNxpfidsVyxNffOg_VhLOOa</t>
  </si>
  <si>
    <t>2021-03-04T14:30:15.000Z</t>
  </si>
  <si>
    <t>2026-08-12T14:49:09.890155+07:00</t>
  </si>
  <si>
    <t>cobKo5LIn2tTQiJeF</t>
  </si>
  <si>
    <t>HOCxJ0-KKos</t>
  </si>
  <si>
    <t>https://www.youtube.com/watch?v=HOCxJ0-KKos&amp;list=PLxNMBnO9F8FNxpfidsVyxNffOg_VhLOOa&amp;index=4</t>
  </si>
  <si>
    <t>[OFFICIAL] Tập 4 FULL XUÂN HẠ THU ĐÔNG RỒI LẠI XUÂN | XHTDRLX Hoà Minzy "liều" giả giọng ĐÊM LAO XAO</t>
  </si>
  <si>
    <t>official tap 4 full xuan ha thu dong roi lai xuan xhtdrlx hoa minzy lieu gia giong dem lao xao</t>
  </si>
  <si>
    <t>2021-01-28T14:30:10.000Z</t>
  </si>
  <si>
    <t>Bn6VL6nMx9U</t>
  </si>
  <si>
    <t>https://www.youtube.com/watch?v=Bn6VL6nMx9U&amp;list=PLxNMBnO9F8FNxpfidsVyxNffOg_VhLOOa&amp;index=5</t>
  </si>
  <si>
    <t>[OFFICIAL] Tập 5 XUÂN HẠ THU ĐÔNG RỒI LẠI XUÂN | XHTDRLX Ngày Mình Giận Nhau Hoà Minzy Rời Bỏ Anh Tú</t>
  </si>
  <si>
    <t>official tap 5 xuan ha thu dong roi lai xuan xhtdrlx ngay minh gian nhau hoa minzy roi bo anh tu</t>
  </si>
  <si>
    <t>2021-02-04T14:29:27.000Z</t>
  </si>
  <si>
    <t>aFaJcDCzlio</t>
  </si>
  <si>
    <t>https://www.youtube.com/watch?v=aFaJcDCzlio&amp;list=PLxNMBnO9F8FNxpfidsVyxNffOg_VhLOOa&amp;index=6</t>
  </si>
  <si>
    <t>[OFFICIAL] Tập ĐẶC BIỆT | Nửa chặng đường XUÂN HẠ THU ĐÔNG RỒI LẠI XUÂN</t>
  </si>
  <si>
    <t>official tap dac biet nua chang duong xuan ha thu dong roi lai xuan</t>
  </si>
  <si>
    <t>2021-02-18T14:30:25.000Z</t>
  </si>
  <si>
    <t>ZivmiVGS0e0</t>
  </si>
  <si>
    <t>https://www.youtube.com/watch?v=ZivmiVGS0e0&amp;list=PLxNMBnO9F8FNxpfidsVyxNffOg_VhLOOa&amp;index=3</t>
  </si>
  <si>
    <t>[OFFICIAL] Tập 3 FULL XUÂN HẠ THU ĐÔNG RỒI LẠI XUÂN | XHTDRLX Phạm Quỳnh Anh, Ali Hoàng Dương</t>
  </si>
  <si>
    <t>official tap 3 full xuan ha thu dong roi lai xuan xhtdrlx pham quynh anh ali hoang duong</t>
  </si>
  <si>
    <t>2021-01-21T14:30:11.000Z</t>
  </si>
  <si>
    <t>3Ap8mrCUyOA</t>
  </si>
  <si>
    <t>https://www.youtube.com/watch?v=3Ap8mrCUyOA&amp;list=PLxNMBnO9F8FNxpfidsVyxNffOg_VhLOOa&amp;index=1</t>
  </si>
  <si>
    <t>[OFFICIAL] Tập 1 FULL XUÂN HẠ THU ĐÔNG RỒI LẠI XUÂN | XHTDRLX Hoà Minzy, Anh Tú, Hứa Kim Tuyền</t>
  </si>
  <si>
    <t>official tap 1 full xuan ha thu dong roi lai xuan xhtdrlx hoa minzy anh tu hua kim tuyen</t>
  </si>
  <si>
    <t>2021-01-07T14:32:10.000Z</t>
  </si>
  <si>
    <t>EnKujWIIvhk</t>
  </si>
  <si>
    <t>https://www.youtube.com/watch?v=EnKujWIIvhk&amp;list=PLxNMBnO9F8FNxpfidsVyxNffOg_VhLOOa&amp;index=2</t>
  </si>
  <si>
    <t>[OFFICIAL] Tập 2 FULL XUÂN HẠ THU ĐÔNG RỒI LẠI XUÂN Hoà Minzy &amp; đồng đội "chèo kéo" khán giả</t>
  </si>
  <si>
    <t>official tap 2 full xuan ha thu dong roi lai xuan hoa minzy dong doi cheo keo khan gia</t>
  </si>
  <si>
    <t>2021-01-14T14:31:54.000Z</t>
  </si>
  <si>
    <t>g5Dwj29wR0E</t>
  </si>
  <si>
    <t>https://www.youtube.com/watch?v=g5Dwj29wR0E&amp;list=PLxNMBnO9F8FNxpfidsVyxNffOg_VhLOOa&amp;index=7</t>
  </si>
  <si>
    <t>[OFFICIAL] Tập 6 FULL XUÂN HẠ THU ĐÔNG RỒI LẠI XUÂN Hoà Minzy "căng thẳng" vì lần đầu hát Xin Lỗi</t>
  </si>
  <si>
    <t>official tap 6 full xuan ha thu dong roi lai xuan hoa minzy cang thang vi lan dau hat xin loi</t>
  </si>
  <si>
    <t>2021-02-25T14:30:11.000Z</t>
  </si>
  <si>
    <t>https://www.youtube.com/watch?v=-yacGjM9pgk&amp;list=PLxNMBnO9F8FNxpfidsVyxNffOg_VhLOOa&amp;index=11</t>
  </si>
  <si>
    <t>[OFFICIAL] FULL TẬP CUỐI XUÂN HẠ THU ĐÔNG RỒI LẠI XUÂN Uyên Linh, Hoà Minzy, Anh Tú, Hứa Kim Tuyền</t>
  </si>
  <si>
    <t>official full tap cuoi xuan ha thu dong roi lai xuan uyen linh hoa minzy anh tu hua kim tuyen</t>
  </si>
  <si>
    <t>2021-03-25T14:30:17.000Z</t>
  </si>
  <si>
    <t>iJ6R74ykf0Y</t>
  </si>
  <si>
    <t>https://www.youtube.com/watch?v=iJ6R74ykf0Y&amp;list=PLxNMBnO9F8FNxpfidsVyxNffOg_VhLOOa&amp;index=9</t>
  </si>
  <si>
    <t>[OFFICIAL] Tập 8 FULL XUÂN HẠ THU ĐÔNG RỒI LẠI XUÂN Hoà Minzy, Văn Mai Hương, Anh Tú</t>
  </si>
  <si>
    <t>official tap 8 full xuan ha thu dong roi lai xuan hoa minzy van mai huong anh tu</t>
  </si>
  <si>
    <t>2021-03-11T14:30:17.000Z</t>
  </si>
  <si>
    <t>ez8qdkQ7TTY</t>
  </si>
  <si>
    <t>https://www.youtube.com/watch?v=ez8qdkQ7TTY&amp;list=PLxNMBnO9F8FNxpfidsVyxNffOg_VhLOOa&amp;index=10</t>
  </si>
  <si>
    <t>[OFFICIAL] Tập 9 FULL XUÂN HẠ THU ĐÔNG RỒI LẠI XUÂN | Uyên Linh, Hoà Minzy, Anh Tú &amp; Hứa Kim Tuyền</t>
  </si>
  <si>
    <t>official tap 9 full xuan ha thu dong roi lai xuan uyen linh hoa minzy anh tu hua kim tuyen</t>
  </si>
  <si>
    <t>2021-03-18T14:30:14.000Z</t>
  </si>
  <si>
    <t>XHTDRLX_S2</t>
  </si>
  <si>
    <t>QCwidzupf8k</t>
  </si>
  <si>
    <t>https://www.youtube.com/watch?v=QCwidzupf8k&amp;list=PLxNMBnO9F8FNbuRLhE0V1dYdSqFfA129g&amp;index=3</t>
  </si>
  <si>
    <t>XHTDRLX2 | FULL Tập 1 XUÂN HẠ THU ĐÔNG RỒI LẠI XUÂN mùa 2 với sức nóng của hơn 3000 khán giả</t>
  </si>
  <si>
    <t>xhtdrlx2 full tap 1 xuan ha thu dong roi lai xuan mua 2 voi suc nong cua hon 3000 khan gia</t>
  </si>
  <si>
    <t>PLxNMBnO9F8FNbuRLhE0V1dYdSqFfA129g</t>
  </si>
  <si>
    <t>2022-09-23T13:00:13.000Z</t>
  </si>
  <si>
    <t>2026-08-12T14:50:04.547825+07:00</t>
  </si>
  <si>
    <t>cOLkqiE4QZDpmRDxY</t>
  </si>
  <si>
    <t>wiMXWg8Bs84</t>
  </si>
  <si>
    <t>https://www.youtube.com/watch?v=wiMXWg8Bs84&amp;list=PLxNMBnO9F8FNbuRLhE0V1dYdSqFfA129g&amp;index=14</t>
  </si>
  <si>
    <t>XHTDRLX2 | Tập ĐẶC BIỆT 2 - Chúng tôi là XUÂN HẠ THU ĐÔNG RỒI LẠI XUÂN 'on the road'</t>
  </si>
  <si>
    <t>xhtdrlx2 tap dac biet 2 chung toi la xuan ha thu dong roi lai xuan on the road</t>
  </si>
  <si>
    <t>2022-12-09T13:00:08.000Z</t>
  </si>
  <si>
    <t>FkXZu1PsmYQ</t>
  </si>
  <si>
    <t>https://www.youtube.com/watch?v=FkXZu1PsmYQ&amp;list=PLxNMBnO9F8FNbuRLhE0V1dYdSqFfA129g&amp;index=7</t>
  </si>
  <si>
    <t>XHTDRLX2 | FULL Tập 5 XUÂN HẠ THU ĐÔNG RỒI LẠI XUÂN mùa 2 - Xúc động mạnh với ca khúc về gia đình</t>
  </si>
  <si>
    <t>xhtdrlx2 full tap 5 xuan ha thu dong roi lai xuan mua 2 xuc dong manh voi ca khuc ve gia dinh</t>
  </si>
  <si>
    <t>2022-10-21T13:00:06.000Z</t>
  </si>
  <si>
    <t>P2c3aG24gMQ</t>
  </si>
  <si>
    <t>https://www.youtube.com/watch?v=P2c3aG24gMQ&amp;list=PLxNMBnO9F8FNbuRLhE0V1dYdSqFfA129g&amp;index=8</t>
  </si>
  <si>
    <t>XHTDRLX2 | FULL Tập 6 XUÂN HẠ THU ĐÔNG RỒI LẠI XUÂN mùa 2 - Vỡ òa bật khóc với câu chuyện của Orange</t>
  </si>
  <si>
    <t>xhtdrlx2 full tap 6 xuan ha thu dong roi lai xuan mua 2 vo oa bat khoc voi cau chuyen cua orange</t>
  </si>
  <si>
    <t>2022-10-28T14:45:09.000Z</t>
  </si>
  <si>
    <t>xVWKkiHdFvg</t>
  </si>
  <si>
    <t>https://www.youtube.com/watch?v=xVWKkiHdFvg&amp;list=PLxNMBnO9F8FNbuRLhE0V1dYdSqFfA129g&amp;index=12</t>
  </si>
  <si>
    <t>XHTDRLX2 | Trúc Nhân và Anh Tú 'chiến tranh lạnh' - FULL Tập 9 XUÂN HẠ THU ĐÔNG RỒI LẠI XUÂN mùa 2</t>
  </si>
  <si>
    <t>xhtdrlx2 truc nhan va anh tu chien tranh lanh full tap 9 xuan ha thu dong roi lai xuan mua 2</t>
  </si>
  <si>
    <t>2022-11-25T13:00:09.000Z</t>
  </si>
  <si>
    <t>29y5LWY2IEE</t>
  </si>
  <si>
    <t>https://www.youtube.com/watch?v=29y5LWY2IEE&amp;list=PLxNMBnO9F8FNbuRLhE0V1dYdSqFfA129g&amp;index=1</t>
  </si>
  <si>
    <t>XHTDRLX2 | MỞ ĐẦU #1: Orange gặp sự cố ngày đầu gặp mặt Trúc Nhân, Anh Tú, Hứa Kim Tuyền</t>
  </si>
  <si>
    <t>xhtdrlx2 mo dau 1 orange gap su co ngay dau gap mat truc nhan anh tu hua kim tuyen</t>
  </si>
  <si>
    <t>2022-09-13T13:35:19.000Z</t>
  </si>
  <si>
    <t>qGJkDZfNs2k</t>
  </si>
  <si>
    <t>https://www.youtube.com/watch?v=qGJkDZfNs2k&amp;list=PLxNMBnO9F8FNbuRLhE0V1dYdSqFfA129g&amp;index=10</t>
  </si>
  <si>
    <t>XHTDRLX2 | FULL Tập 7 XUÂN HẠ THU ĐÔNG RỒI LẠI XUÂN mùa 2 - Dàn nghệ sĩ 'đánh úp' bất ngờ tại Hội An</t>
  </si>
  <si>
    <t>xhtdrlx2 full tap 7 xuan ha thu dong roi lai xuan mua 2 dan nghe si danh up bat ngo tai hoi an</t>
  </si>
  <si>
    <t>2022-11-11T13:00:10.000Z</t>
  </si>
  <si>
    <t>J-RNLP3TQm4</t>
  </si>
  <si>
    <t>https://www.youtube.com/watch?v=J-RNLP3TQm4&amp;list=PLxNMBnO9F8FNbuRLhE0V1dYdSqFfA129g&amp;index=9</t>
  </si>
  <si>
    <t>XHTDRLX2 | Tập ĐẶC BIỆT 1 XUÂN HẠ THU ĐÔNG RỒI LẠI XUÂN mùa 2 - Những khoảnh khắc chưa hé lộ tại Huế</t>
  </si>
  <si>
    <t>xhtdrlx2 tap dac biet 1 xuan ha thu dong roi lai xuan mua 2 nhung khoanh khac chua he lo tai hue</t>
  </si>
  <si>
    <t>2022-11-04T13:00:07.000Z</t>
  </si>
  <si>
    <t>t5TIKnQThC8</t>
  </si>
  <si>
    <t>https://www.youtube.com/watch?v=t5TIKnQThC8&amp;list=PLxNMBnO9F8FNbuRLhE0V1dYdSqFfA129g&amp;index=11</t>
  </si>
  <si>
    <t>XHTDRLX2 | FULL Tập 8 XUÂN HẠ THU ĐÔNG RỒI LẠI XUÂN mùa 2 - Trúc Nhân 'cháy' cùng Thu Cạn</t>
  </si>
  <si>
    <t>xhtdrlx2 full tap 8 xuan ha thu dong roi lai xuan mua 2 truc nhan chay cung thu can</t>
  </si>
  <si>
    <t>2022-11-18T13:00:06.000Z</t>
  </si>
  <si>
    <t>zd0CAgpfsE0</t>
  </si>
  <si>
    <t>https://www.youtube.com/watch?v=zd0CAgpfsE0&amp;list=PLxNMBnO9F8FNbuRLhE0V1dYdSqFfA129g&amp;index=2</t>
  </si>
  <si>
    <t>XHTDRLX2 | MỞ ĐẦU #2: Chuyến tàu bất ổn cùng màn hát ngẫu hứng có 1 0 2 của các HOST XHTDRLX mùa 2</t>
  </si>
  <si>
    <t>xhtdrlx2 mo dau 2 chuyen tau bat on cung man hat ngau hung co 1 0 2 cua cac host xhtdrlx mua 2</t>
  </si>
  <si>
    <t>2022-09-16T13:00:11.000Z</t>
  </si>
  <si>
    <t>kla56DBpEDA</t>
  </si>
  <si>
    <t>https://www.youtube.com/watch?v=kla56DBpEDA&amp;list=PLxNMBnO9F8FNbuRLhE0V1dYdSqFfA129g&amp;index=13</t>
  </si>
  <si>
    <t>XHTDRLX2 | Khoảnh khắc nói lời tạm biệt - FULL Tập 10 XUÂN HẠ THU ĐÔNG RỒI LẠI XUÂN mùa 2</t>
  </si>
  <si>
    <t>xhtdrlx2 khoanh khac noi loi tam biet full tap 10 xuan ha thu dong roi lai xuan mua 2</t>
  </si>
  <si>
    <t>2022-12-02T13:00:07.000Z</t>
  </si>
  <si>
    <t>https://www.youtube.com/watch?v=-BEuO8zjIag&amp;list=PLxNMBnO9F8FNbuRLhE0V1dYdSqFfA129g&amp;index=6</t>
  </si>
  <si>
    <t>XHTDRLX2 | FULL Tập 4 XUÂN HẠ THU ĐÔNG RỒI LẠI XUÂN mùa 2 - Ấm áp tình cảm khán giả dưới cơn mưa lớn</t>
  </si>
  <si>
    <t>xhtdrlx2 full tap 4 xuan ha thu dong roi lai xuan mua 2 am ap tinh cam khan gia duoi con mua lon</t>
  </si>
  <si>
    <t>2022-10-14T13:00:13.000Z</t>
  </si>
  <si>
    <t>P0rwK_smjO8</t>
  </si>
  <si>
    <t>https://www.youtube.com/watch?v=P0rwK_smjO8&amp;list=PLxNMBnO9F8FNbuRLhE0V1dYdSqFfA129g&amp;index=4</t>
  </si>
  <si>
    <t>XHTDRLX2 | FULL Tập 2 XUÂN HẠ THU ĐÔNG RỒI LẠI XUÂN mùa 2 | Trúc Nhân diện áo dài hát về miền Trung</t>
  </si>
  <si>
    <t>xhtdrlx2 full tap 2 xuan ha thu dong roi lai xuan mua 2 truc nhan dien ao dai hat ve mien trung</t>
  </si>
  <si>
    <t>2022-09-30T13:00:13.000Z</t>
  </si>
  <si>
    <t>Xn8IwWfFvxs</t>
  </si>
  <si>
    <t>https://www.youtube.com/watch?v=Xn8IwWfFvxs&amp;list=PLxNMBnO9F8FNbuRLhE0V1dYdSqFfA129g&amp;index=5</t>
  </si>
  <si>
    <t>XHTDRLX2 | FULL Tập 3 XUÂN HẠ THU ĐÔNG RỒI LẠI XUÂN mùa 2 cùng MIN, Ali Hoàng Dương</t>
  </si>
  <si>
    <t>xhtdrlx2 full tap 3 xuan ha thu dong roi lai xuan mua 2 cung min ali hoang duong</t>
  </si>
  <si>
    <t>2022-10-07T13:00:12.000Z</t>
  </si>
  <si>
    <t>XHTDRLX_S3</t>
  </si>
  <si>
    <t>uO31tsiBwQM</t>
  </si>
  <si>
    <t>https://www.youtube.com/watch?v=uO31tsiBwQM&amp;list=PLxNMBnO9F8FMtG4_3bKxsshIs4cpaii3F&amp;index=12</t>
  </si>
  <si>
    <t>[FULL TẬP 7] XUÂN HẠ THU ĐÔNG RỒI LẠI XUÂN 3 | Mê mẩn giọng ca Reply 1988, suy cùng Lặng</t>
  </si>
  <si>
    <t>full tap 7 xuan ha thu dong roi lai xuan 3 me man giong ca reply 1988 suy cung lang</t>
  </si>
  <si>
    <t>PLxNMBnO9F8FMtG4_3bKxsshIs4cpaii3F</t>
  </si>
  <si>
    <t>2025-01-11T13:30:07.000Z</t>
  </si>
  <si>
    <t>2026-08-12T14:51:53.225057+07:00</t>
  </si>
  <si>
    <t>Nh4JqO4i7IRLb6s7d</t>
  </si>
  <si>
    <t>BXYcKJNiY1w</t>
  </si>
  <si>
    <t>https://www.youtube.com/watch?v=BXYcKJNiY1w&amp;list=PLxNMBnO9F8FMtG4_3bKxsshIs4cpaii3F&amp;index=6</t>
  </si>
  <si>
    <t>[FULL TẬP 12] XUÂN HẠ THU ĐÔNG RỒI LẠI XUÂN 3 | Lâm Bảo Ngọc tiết lộ câu chuyện về cha</t>
  </si>
  <si>
    <t>full tap 12 xuan ha thu dong roi lai xuan 3 lam bao ngoc tiet lo cau chuyen ve cha</t>
  </si>
  <si>
    <t>2025-02-22T13:30:07.000Z</t>
  </si>
  <si>
    <t>https://www.youtube.com/watch?v=-gZTTwO1vyQ&amp;list=PLxNMBnO9F8FMtG4_3bKxsshIs4cpaii3F&amp;index=9</t>
  </si>
  <si>
    <t>[FULL TẬP 10] XUÂN HẠ THU ĐÔNG RỒI LẠI XUÂN 3 | Bùi Công Nam khuấy đảo với Mashup nhạc Tết</t>
  </si>
  <si>
    <t>full tap 10 xuan ha thu dong roi lai xuan 3 bui cong nam khuay dao voi mashup nhac tet</t>
  </si>
  <si>
    <t>2025-01-28T13:30:07.000Z</t>
  </si>
  <si>
    <t>gWs3Xg3275w</t>
  </si>
  <si>
    <t>https://www.youtube.com/watch?v=gWs3Xg3275w&amp;list=PLxNMBnO9F8FMtG4_3bKxsshIs4cpaii3F&amp;index=1</t>
  </si>
  <si>
    <t>[NHÌN LẠI QUÃNG 2] XUÂN HẠ THU ĐÔNG RỒI LẠI XUÂN 3 | Lưu dấu những chặng đường đã qua</t>
  </si>
  <si>
    <t>nhin lai quang 2 xuan ha thu dong roi lai xuan 3 luu dau nhung chang duong da qua</t>
  </si>
  <si>
    <t>2025-03-29T13:30:07.000Z</t>
  </si>
  <si>
    <t>cwDAxBoQO40</t>
  </si>
  <si>
    <t>https://www.youtube.com/watch?v=cwDAxBoQO40&amp;list=PLxNMBnO9F8FMtG4_3bKxsshIs4cpaii3F&amp;index=11</t>
  </si>
  <si>
    <t>[FULL TẬP 8] XUÂN HẠ THU ĐÔNG RỒI LẠI XUÂN 3 | Anh Tú lột xác, Út Ngọc nức nở với Ngây Ngô</t>
  </si>
  <si>
    <t>full tap 8 xuan ha thu dong roi lai xuan 3 anh tu lot xac ut ngoc nuc no voi ngay ngo</t>
  </si>
  <si>
    <t>Aqu7d62Hn0o</t>
  </si>
  <si>
    <t>https://www.youtube.com/watch?v=Aqu7d62Hn0o&amp;list=PLxNMBnO9F8FMtG4_3bKxsshIs4cpaii3F&amp;index=5</t>
  </si>
  <si>
    <t>[FULL TẬP 13] XUÂN HẠ THU ĐÔNG RỒI LẠI XUÂN 3 | Hương Tràm trở lại, Út Ngọc trình làng I'm Sorry</t>
  </si>
  <si>
    <t>full tap 13 xuan ha thu dong roi lai xuan 3 huong tram tro lai ut ngoc trinh lang i m sorry</t>
  </si>
  <si>
    <t>2025-03-01T13:30:07.000Z</t>
  </si>
  <si>
    <t>xr47HrvQH5s</t>
  </si>
  <si>
    <t>https://www.youtube.com/watch?v=xr47HrvQH5s&amp;list=PLxNMBnO9F8FMtG4_3bKxsshIs4cpaii3F&amp;index=18</t>
  </si>
  <si>
    <t>[FULL TẬP 1] XUÂN HẠ THU ĐÔNG RỒI LẠI XUÂN 3 | Cùng Paul Kim đại náo xứ sở kim chi</t>
  </si>
  <si>
    <t>full tap 1 xuan ha thu dong roi lai xuan 3 cung paul kim dai nao xu so kim chi</t>
  </si>
  <si>
    <t>2024-11-30T13:30:08.000Z</t>
  </si>
  <si>
    <t>a6hg2GFfDto</t>
  </si>
  <si>
    <t>https://www.youtube.com/watch?v=a6hg2GFfDto&amp;list=PLxNMBnO9F8FMtG4_3bKxsshIs4cpaii3F&amp;index=13</t>
  </si>
  <si>
    <t>[FULL TẬP 6] XUÂN HẠ THU ĐÔNG RỒI LẠI XUÂN 3 | Anh Tú &amp; Dongwoon kết hợp, This Love gây sốt</t>
  </si>
  <si>
    <t>full tap 6 xuan ha thu dong roi lai xuan 3 anh tu dongwoon ket hop this love gay sot</t>
  </si>
  <si>
    <t>3cxHAhm0FJ4</t>
  </si>
  <si>
    <t>https://www.youtube.com/watch?v=3cxHAhm0FJ4&amp;list=PLxNMBnO9F8FMtG4_3bKxsshIs4cpaii3F&amp;index=14</t>
  </si>
  <si>
    <t>[FULL TẬP 5] XUÂN HẠ THU ĐÔNG RỒI LẠI XUÂN 3 | Em út nhóm HIGHLIGHT (BEAST) bùng nổ visual</t>
  </si>
  <si>
    <t>full tap 5 xuan ha thu dong roi lai xuan 3 em ut nhom highlight beast bung no visual</t>
  </si>
  <si>
    <t>2024-12-28T13:30:08.000Z</t>
  </si>
  <si>
    <t>cBu60RjaWIg</t>
  </si>
  <si>
    <t>https://www.youtube.com/watch?v=cBu60RjaWIg&amp;list=PLxNMBnO9F8FMtG4_3bKxsshIs4cpaii3F&amp;index=4</t>
  </si>
  <si>
    <t>[FULL TẬP 14] XUÂN HẠ THU ĐÔNG RỒI LẠI XUÂN 3 | Anh Tú bên Bùi Công Nam “chứng kiến” người yêu khóc</t>
  </si>
  <si>
    <t>full tap 14 xuan ha thu dong roi lai xuan 3 anh tu ben bui cong nam chung kien nguoi yeu khoc</t>
  </si>
  <si>
    <t>2025-03-08T13:30:08.000Z</t>
  </si>
  <si>
    <t>sckP4Xr-h8g</t>
  </si>
  <si>
    <t>https://www.youtube.com/watch?v=sckP4Xr-h8g&amp;list=PLxNMBnO9F8FMtG4_3bKxsshIs4cpaii3F&amp;index=17</t>
  </si>
  <si>
    <t>[FULL TẬP 2] XUÂN HẠ THU ĐÔNG RỒI LẠI XUÂN mùa 3 | Tan chảy trước BOYS OVER FLOWERS OST</t>
  </si>
  <si>
    <t>full tap 2 xuan ha thu dong roi lai xuan mua 3 tan chay truoc boys over flowers ost</t>
  </si>
  <si>
    <t>2024-12-07T13:30:08.000Z</t>
  </si>
  <si>
    <t>hAHaU7I3Teo</t>
  </si>
  <si>
    <t>https://www.youtube.com/watch?v=hAHaU7I3Teo&amp;list=PLxNMBnO9F8FMtG4_3bKxsshIs4cpaii3F&amp;index=15</t>
  </si>
  <si>
    <t>[FULL TẬP 4] XUÂN HẠ THU ĐÔNG RỒI LẠI XUÂN 3 | Bạn có hẹn để THẤT TÌNH cùng Bùi Công Nam</t>
  </si>
  <si>
    <t>full tap 4 xuan ha thu dong roi lai xuan 3 ban co hen de that tinh cung bui cong nam</t>
  </si>
  <si>
    <t>qcKyCXAKK4s</t>
  </si>
  <si>
    <t>https://www.youtube.com/watch?v=qcKyCXAKK4s&amp;list=PLxNMBnO9F8FMtG4_3bKxsshIs4cpaii3F&amp;index=7</t>
  </si>
  <si>
    <t>[FULL TẬP 11] XUÂN HẠ THU ĐÔNG RỒI LẠI XUÂN 3 | Cùng Mỹ Linh, Mỹ Anh tìm lại ký ức tuổi thơ</t>
  </si>
  <si>
    <t>full tap 11 xuan ha thu dong roi lai xuan 3 cung my linh my anh tim lai ky uc tuoi tho</t>
  </si>
  <si>
    <t>2025-02-15T13:30:07.000Z</t>
  </si>
  <si>
    <t>scoB7dvaepQ</t>
  </si>
  <si>
    <t>https://www.youtube.com/watch?v=scoB7dvaepQ&amp;list=PLxNMBnO9F8FMtG4_3bKxsshIs4cpaii3F&amp;index=3</t>
  </si>
  <si>
    <t>[FULL TẬP 15] XUÂN HẠ THU ĐÔNG RỒI LẠI XUÂN 3 | Noo Phước Thịnh "đánh úp" tại Bản hoà âm cuối cùng</t>
  </si>
  <si>
    <t>full tap 15 xuan ha thu dong roi lai xuan 3 noo phuoc thinh danh up tai ban hoa am cuoi cung</t>
  </si>
  <si>
    <t>2025-03-15T13:30:07.000Z</t>
  </si>
  <si>
    <t>spv4CK1G7nw</t>
  </si>
  <si>
    <t>https://www.youtube.com/watch?v=spv4CK1G7nw&amp;list=PLxNMBnO9F8FMtG4_3bKxsshIs4cpaii3F&amp;index=10</t>
  </si>
  <si>
    <t>[FULL TẬP 9] XUÂN HẠ THU ĐÔNG RỒI LẠI XUÂN 3 | Vỡ òa tình cảm khán giả Thủ đô ngày trở về</t>
  </si>
  <si>
    <t>full tap 9 xuan ha thu dong roi lai xuan 3 vo oa tinh cam khan gia thu do ngay tro ve</t>
  </si>
  <si>
    <t>2025-01-25T13:30:08.000Z</t>
  </si>
  <si>
    <t>Qirh20c6u-s</t>
  </si>
  <si>
    <t>https://www.youtube.com/watch?v=Qirh20c6u-s&amp;list=PLxNMBnO9F8FMtG4_3bKxsshIs4cpaii3F&amp;index=2</t>
  </si>
  <si>
    <t>[FULL TẬP 16] XUÂN HẠ THU ĐÔNG RỒI LẠI XUÂN 3 | Khép lại hành trình "Street's Harmony" đáng nhớ</t>
  </si>
  <si>
    <t>full tap 16 xuan ha thu dong roi lai xuan 3 khep lai hanh trinh street s harmony dang nho</t>
  </si>
  <si>
    <t>2025-03-22T13:30:07.000Z</t>
  </si>
  <si>
    <t>HoSsSc6zCwA</t>
  </si>
  <si>
    <t>https://www.youtube.com/watch?v=HoSsSc6zCwA&amp;list=PLxNMBnO9F8FMtG4_3bKxsshIs4cpaii3F&amp;index=16</t>
  </si>
  <si>
    <t>[FULL TẬP 3] XUÂN HẠ THU ĐÔNG RỒI LẠI XUÂN 3 | Mê đắm giọng ca 10CM, MIN cover My Old Story</t>
  </si>
  <si>
    <t>full tap 3 xuan ha thu dong roi lai xuan 3 me dam giong ca 10cm min cover my old story</t>
  </si>
  <si>
    <t>kIkwE9eZx2Q</t>
  </si>
  <si>
    <t>https://www.youtube.com/watch?v=kIkwE9eZx2Q&amp;list=PLxNMBnO9F8FMtG4_3bKxsshIs4cpaii3F&amp;index=8</t>
  </si>
  <si>
    <t>[TẬP ĐẶC BIỆT] XUÂN HẠ THU ĐÔNG RỒI LẠI XUÂN 3 | Dàn cast ghi dấu ấn mạnh mẽ tại Hàn Quốc</t>
  </si>
  <si>
    <t>tap dac biet xuan ha thu dong roi lai xuan 3 dan cast ghi dau an manh me tai han quoc</t>
  </si>
  <si>
    <t>2025-02-08T13:30:07.000Z</t>
  </si>
  <si>
    <t>SONG</t>
  </si>
  <si>
    <t>Sóng</t>
  </si>
  <si>
    <t>SONG_2018</t>
  </si>
  <si>
    <t>annual_special</t>
  </si>
  <si>
    <t>RTE6kR2rufk</t>
  </si>
  <si>
    <t>https://www.youtube.com/watch?v=RTE6kR2rufk&amp;list=PLxKLMN7WdG5BOtJOsSKTjxXWD_LVCYPYd&amp;index=18</t>
  </si>
  <si>
    <t>SÓNG 18: ĐÔNG NHI</t>
  </si>
  <si>
    <t>song 18 dong nhi</t>
  </si>
  <si>
    <t>PLxKLMN7WdG5BOtJOsSKTjxXWD_LVCYPYd</t>
  </si>
  <si>
    <t>2018-02-15T01:00:00.000Z</t>
  </si>
  <si>
    <t>2026-08-12T14:53:12.194507+07:00</t>
  </si>
  <si>
    <t>k1vmCWfsVnHkg5h1g</t>
  </si>
  <si>
    <t>CPsUmdS8Rx0</t>
  </si>
  <si>
    <t>https://www.youtube.com/watch?v=CPsUmdS8Rx0&amp;list=PLxKLMN7WdG5BOtJOsSKTjxXWD_LVCYPYd&amp;index=17</t>
  </si>
  <si>
    <t>SÓNG 18: HƯƠNG TRÀM</t>
  </si>
  <si>
    <t>song 18 huong tram</t>
  </si>
  <si>
    <t>2018-02-14T01:00:00.000Z</t>
  </si>
  <si>
    <t>TGh7SAazXHY</t>
  </si>
  <si>
    <t>https://www.youtube.com/watch?v=TGh7SAazXHY&amp;list=PLxKLMN7WdG5BOtJOsSKTjxXWD_LVCYPYd&amp;index=11</t>
  </si>
  <si>
    <t>SÓNG 18: SOOBIN HOÀNG SƠN VÀ LÊ HIẾU</t>
  </si>
  <si>
    <t>song 18 soobin hoang son va le hieu</t>
  </si>
  <si>
    <t>2018-02-07T03:16:26.000Z</t>
  </si>
  <si>
    <t>hQOGH-SYg0Y</t>
  </si>
  <si>
    <t>https://www.youtube.com/watch?v=hQOGH-SYg0Y&amp;list=PLxKLMN7WdG5BOtJOsSKTjxXWD_LVCYPYd&amp;index=14</t>
  </si>
  <si>
    <t>Teaser Sóng 18 (Phát sóng 21:30 Đêm giao thừa - 15/2/2017)</t>
  </si>
  <si>
    <t>teaser song 18 phat song 21 30 dem giao thua 15 2 2017</t>
  </si>
  <si>
    <t>2018-02-01T08:57:17.000Z</t>
  </si>
  <si>
    <t>KmmpJ0sacDQ</t>
  </si>
  <si>
    <t>https://www.youtube.com/watch?v=KmmpJ0sacDQ&amp;list=PLxKLMN7WdG5BOtJOsSKTjxXWD_LVCYPYd&amp;index=12</t>
  </si>
  <si>
    <t>Sóng 18: Ngôi sao của giới trẻ - Đông Nhi</t>
  </si>
  <si>
    <t>song 18 ngoi sao cua gioi tre dong nhi</t>
  </si>
  <si>
    <t>2018-02-06T10:28:07.000Z</t>
  </si>
  <si>
    <t>ztQ5KM0MLwI</t>
  </si>
  <si>
    <t>https://www.youtube.com/watch?v=ztQ5KM0MLwI&amp;list=PLxKLMN7WdG5BOtJOsSKTjxXWD_LVCYPYd&amp;index=19</t>
  </si>
  <si>
    <t>Trailer Khám phá Malaysia cùng Martin Yan - Phần 2 (Phát sóng 18:30 Chủ nhật, từ 17/12/2017)</t>
  </si>
  <si>
    <t>trailer kham pha malaysia cung martin yan phan 2 phat song 18 30 chu nhat tu 17 12 2017</t>
  </si>
  <si>
    <t>2017-12-11T02:12:33.000Z</t>
  </si>
  <si>
    <t>90PY5Sb3Ox8</t>
  </si>
  <si>
    <t>https://www.youtube.com/watch?v=90PY5Sb3Ox8&amp;list=PLxKLMN7WdG5BOtJOsSKTjxXWD_LVCYPYd&amp;index=7</t>
  </si>
  <si>
    <t>Sóng 18: Châu Đăng Khoa</t>
  </si>
  <si>
    <t>song 18 chau dang khoa</t>
  </si>
  <si>
    <t>2018-02-10T01:00:00.000Z</t>
  </si>
  <si>
    <t>iZRvAxgVwNg</t>
  </si>
  <si>
    <t>https://www.youtube.com/watch?v=iZRvAxgVwNg&amp;list=PLxKLMN7WdG5BOtJOsSKTjxXWD_LVCYPYd&amp;index=9</t>
  </si>
  <si>
    <t>Suni Hạ Linh - Thần tượng đa tài của giới trẻ</t>
  </si>
  <si>
    <t>suni ha linh than tuong da tai cua gioi tre</t>
  </si>
  <si>
    <t>2018-02-08T03:54:38.000Z</t>
  </si>
  <si>
    <t>RmO6VPboXZw</t>
  </si>
  <si>
    <t>https://www.youtube.com/watch?v=RmO6VPboXZw&amp;list=PLxKLMN7WdG5BOtJOsSKTjxXWD_LVCYPYd&amp;index=2</t>
  </si>
  <si>
    <t>Sóng 18: Rapper "quốc dân" - Karik</t>
  </si>
  <si>
    <t>song 18 rapper quoc dan karik</t>
  </si>
  <si>
    <t>2018-02-06T10:28:54.000Z</t>
  </si>
  <si>
    <t>12xVELNd4Zo</t>
  </si>
  <si>
    <t>https://www.youtube.com/watch?v=12xVELNd4Zo&amp;list=PLxKLMN7WdG5BOtJOsSKTjxXWD_LVCYPYd&amp;index=5</t>
  </si>
  <si>
    <t>Sóng 18: Suni Hạ Linh</t>
  </si>
  <si>
    <t>song 18 suni ha linh</t>
  </si>
  <si>
    <t>2018-02-11T01:00:01.000Z</t>
  </si>
  <si>
    <t>N35K-SRhZQ4</t>
  </si>
  <si>
    <t>https://www.youtube.com/watch?v=N35K-SRhZQ4&amp;list=PLxKLMN7WdG5BOtJOsSKTjxXWD_LVCYPYd&amp;index=16</t>
  </si>
  <si>
    <t>SÓNG 18: KARIK</t>
  </si>
  <si>
    <t>song 18 karik</t>
  </si>
  <si>
    <t>2018-02-13T01:00:01.000Z</t>
  </si>
  <si>
    <t>VDXYN0g38fc</t>
  </si>
  <si>
    <t>https://www.youtube.com/watch?v=VDXYN0g38fc&amp;list=PLxKLMN7WdG5BOtJOsSKTjxXWD_LVCYPYd&amp;index=1</t>
  </si>
  <si>
    <t>Sóng 18: Hiện tượng 2017 - BẢO ANH</t>
  </si>
  <si>
    <t>song 18 hien tuong 2017 bao anh</t>
  </si>
  <si>
    <t>2018-02-05T03:10:39.000Z</t>
  </si>
  <si>
    <t>3MikVPTV2n0</t>
  </si>
  <si>
    <t>https://www.youtube.com/watch?v=3MikVPTV2n0&amp;list=PLxKLMN7WdG5BOtJOsSKTjxXWD_LVCYPYd&amp;index=4</t>
  </si>
  <si>
    <t>Trailer Sóng 18 (Phát sóng 21:30 Đêm giao thừa)</t>
  </si>
  <si>
    <t>trailer song 18 phat song 21 30 dem giao thua</t>
  </si>
  <si>
    <t>2018-02-10T09:20:55.000Z</t>
  </si>
  <si>
    <t>oJfXDYSMbCo</t>
  </si>
  <si>
    <t>https://www.youtube.com/watch?v=oJfXDYSMbCo&amp;list=PLxKLMN7WdG5BOtJOsSKTjxXWD_LVCYPYd&amp;index=10</t>
  </si>
  <si>
    <t>SÓNG 18: DaLAB đại diện underground nổi bật</t>
  </si>
  <si>
    <t>song 18 dalab dai dien underground noi bat</t>
  </si>
  <si>
    <t>2018-02-07T11:50:44.000Z</t>
  </si>
  <si>
    <t>14NSFBcIFtM</t>
  </si>
  <si>
    <t>https://www.youtube.com/watch?v=14NSFBcIFtM&amp;list=PLxKLMN7WdG5BOtJOsSKTjxXWD_LVCYPYd&amp;index=3</t>
  </si>
  <si>
    <t>Sóng 18: Châu Đăng Khoa - Chủ Nhân Loạt Hit Triệu View</t>
  </si>
  <si>
    <t>song 18 chau dang khoa chu nhan loat hit trieu view</t>
  </si>
  <si>
    <t>2018-02-07T03:29:13.000Z</t>
  </si>
  <si>
    <t>LgAimfVDq5w</t>
  </si>
  <si>
    <t>https://www.youtube.com/watch?v=LgAimfVDq5w&amp;list=PLxKLMN7WdG5BOtJOsSKTjxXWD_LVCYPYd&amp;index=15</t>
  </si>
  <si>
    <t>SÓNG 18: DA LAB</t>
  </si>
  <si>
    <t>song 18 da lab</t>
  </si>
  <si>
    <t>2018-02-12T01:00:00.000Z</t>
  </si>
  <si>
    <t>KdlOfv2-HY4</t>
  </si>
  <si>
    <t>https://www.youtube.com/watch?v=KdlOfv2-HY4&amp;list=PLxKLMN7WdG5BOtJOsSKTjxXWD_LVCYPYd&amp;index=8</t>
  </si>
  <si>
    <t>Sóng 18: Hương Tràm - Nữ ca sĩ trẻ hàng đầu VN</t>
  </si>
  <si>
    <t>song 18 huong tram nu ca si tre hang dau vn</t>
  </si>
  <si>
    <t>2018-02-09T02:03:19.000Z</t>
  </si>
  <si>
    <t>oMRAIwku6e0</t>
  </si>
  <si>
    <t>https://www.youtube.com/watch?v=oMRAIwku6e0&amp;list=PLxKLMN7WdG5BOtJOsSKTjxXWD_LVCYPYd&amp;index=6</t>
  </si>
  <si>
    <t>Sóng 18: Soobin - Hoàng tử tình ca</t>
  </si>
  <si>
    <t>song 18 soobin hoang tu tinh ca</t>
  </si>
  <si>
    <t>2018-02-09T02:02:19.000Z</t>
  </si>
  <si>
    <t>KyXbK3T00t0</t>
  </si>
  <si>
    <t>https://www.youtube.com/watch?v=KyXbK3T00t0&amp;list=PLxKLMN7WdG5BOtJOsSKTjxXWD_LVCYPYd&amp;index=13</t>
  </si>
  <si>
    <t>Teaser 2: Sóng 18 (Phát sóng 21:30 Đêm giao thừa - 15/2/2017)</t>
  </si>
  <si>
    <t>teaser 2 song 18 phat song 21 30 dem giao thua 15 2 2017</t>
  </si>
  <si>
    <t>2018-02-03T13:41:29.000Z</t>
  </si>
  <si>
    <t>p_3XMLQtbio</t>
  </si>
  <si>
    <t>https://www.youtube.com/watch?v=p_3XMLQtbio&amp;list=PLxKLMN7WdG5BOtJOsSKTjxXWD_LVCYPYd&amp;index=20</t>
  </si>
  <si>
    <t>HTV2 - Trailer Muôn màu sắc Việt (Phát sóng 18:30 - Chủ nhật)</t>
  </si>
  <si>
    <t>htv2 trailer muon mau sac viet phat song 18 30 chu nhat</t>
  </si>
  <si>
    <t>2017-04-26T09:26:07.000Z</t>
  </si>
  <si>
    <t>SONG_2020</t>
  </si>
  <si>
    <t>jovFja8QNVM</t>
  </si>
  <si>
    <t>https://www.youtube.com/watch?v=jovFja8QNVM&amp;list=PLxKLMN7WdG5DWTxwel5hsaLSOlpzgayQ5&amp;index=2</t>
  </si>
  <si>
    <t>#2 Sóng VieON – Đêm nhạc giải trí đỉnh cao quy tụ hàng trăm nghệ sĩ hot nhất showbiz Việt hiện nay</t>
  </si>
  <si>
    <t>2 song vieon dem nhac giai tri dinh cao quy tu hang tram nghe si hot nhat showbiz viet hien nay</t>
  </si>
  <si>
    <t>PLxKLMN7WdG5DWTxwel5hsaLSOlpzgayQ5</t>
  </si>
  <si>
    <t>2020-06-19T13:00:30.000Z</t>
  </si>
  <si>
    <t>2026-08-12T14:53:42.428185+07:00</t>
  </si>
  <si>
    <t>VfvjyiLQHspIx2k0C</t>
  </si>
  <si>
    <t>agXFJH4kvCY</t>
  </si>
  <si>
    <t>https://www.youtube.com/watch?v=agXFJH4kvCY&amp;list=PLxKLMN7WdG5DWTxwel5hsaLSOlpzgayQ5&amp;index=3</t>
  </si>
  <si>
    <t>#3 Sóng VieON – Đêm nhạc giải trí đỉnh cao quy tụ hàng trăm nghệ sĩ hot nhất showbiz Việt hiện nay</t>
  </si>
  <si>
    <t>3 song vieon dem nhac giai tri dinh cao quy tu hang tram nghe si hot nhat showbiz viet hien nay</t>
  </si>
  <si>
    <t>2020-07-13T12:00:01.000Z</t>
  </si>
  <si>
    <t>bQ2RZ03fV8I</t>
  </si>
  <si>
    <t>https://www.youtube.com/watch?v=bQ2RZ03fV8I&amp;list=PLxKLMN7WdG5DWTxwel5hsaLSOlpzgayQ5&amp;index=1</t>
  </si>
  <si>
    <t>Sóng VieON – Đêm nhạc giải trí đỉnh cao quy tụ hàng trăm nghệ sĩ hot nhất showbiz Việt Nam hiện nay</t>
  </si>
  <si>
    <t>song vieon dem nhac giai tri dinh cao quy tu hang tram nghe si hot nhat showbiz viet nam hien nay</t>
  </si>
  <si>
    <t>2020-06-15T12:27:09.000Z</t>
  </si>
  <si>
    <t>SONG_2023</t>
  </si>
  <si>
    <t>l9DsGBrIhVc</t>
  </si>
  <si>
    <t>https://www.youtube.com/watch?v=l9DsGBrIhVc&amp;list=PLxKLMN7WdG5Ddu4T4qbzgUbixCkeS_A5y&amp;index=22</t>
  </si>
  <si>
    <t>Kiều Minh Tuấn đòi đánh đòn Cris Phan, vạch trần Dương Lâm, HIEUTHUHAI vì ván game | Sóng 23</t>
  </si>
  <si>
    <t>kieu minh tuan doi danh don cris phan vach tran duong lam hieuthuhai vi van game song 23</t>
  </si>
  <si>
    <t>PLxKLMN7WdG5Ddu4T4qbzgUbixCkeS_A5y</t>
  </si>
  <si>
    <t>2023-01-19T06:25:58.000Z</t>
  </si>
  <si>
    <t>2026-08-12T14:55:57.664214+07:00</t>
  </si>
  <si>
    <t>D3OFBCcaPPJHdWyMk</t>
  </si>
  <si>
    <t>m4pJxkMSldw</t>
  </si>
  <si>
    <t>https://www.youtube.com/watch?v=m4pJxkMSldw&amp;list=PLxKLMN7WdG5Ddu4T4qbzgUbixCkeS_A5y&amp;index=13</t>
  </si>
  <si>
    <t>Cris Phan tố Tiểu Vy ganh tị mình, Kiều Minh Tuấn xác nhận Giang Ca thương HIEUTHUHAI nhất | Sóng 23</t>
  </si>
  <si>
    <t>cris phan to tieu vy ganh ti minh kieu minh tuan xac nhan giang ca thuong hieuthuhai nhat song 23</t>
  </si>
  <si>
    <t>2023-01-16T05:00:30.000Z</t>
  </si>
  <si>
    <t>w1szqhCTAtQ</t>
  </si>
  <si>
    <t>https://www.youtube.com/watch?v=w1szqhCTAtQ&amp;list=PLxKLMN7WdG5Ddu4T4qbzgUbixCkeS_A5y&amp;index=15</t>
  </si>
  <si>
    <t>Vũ tự nhận là "agency" của Trang - Madihu, đang chờ ngày lành tháng tốt để collab lần nữa | Sóng 23</t>
  </si>
  <si>
    <t>vu tu nhan la agency cua trang madihu dang cho ngay lanh thang tot de collab lan nua song 23</t>
  </si>
  <si>
    <t>2023-01-17T05:00:19.000Z</t>
  </si>
  <si>
    <t>aVY8Lp5kees</t>
  </si>
  <si>
    <t>https://www.youtube.com/watch?v=aVY8Lp5kees&amp;list=PLxKLMN7WdG5Ddu4T4qbzgUbixCkeS_A5y&amp;index=6</t>
  </si>
  <si>
    <t>Bích Phương xin Trấn Thành cho được "sang mồm", Thúy Ngân chốt đơn người yêu năm 2023 | Sóng 23</t>
  </si>
  <si>
    <t>bich phuong xin tran thanh cho duoc sang mom thuy ngan chot don nguoi yeu nam 2023 song 23</t>
  </si>
  <si>
    <t>2023-01-11T14:00:00.000Z</t>
  </si>
  <si>
    <t>mRFJMrHiTeM</t>
  </si>
  <si>
    <t>https://www.youtube.com/watch?v=mRFJMrHiTeM&amp;list=PLxKLMN7WdG5Ddu4T4qbzgUbixCkeS_A5y&amp;index=11</t>
  </si>
  <si>
    <t>Myra Trần được A Xìn - Vũ khuyên phải buồn nhiều, Thúy Ngân đề nghị Trang hát bè cho mình | Sóng 23</t>
  </si>
  <si>
    <t>myra tran duoc a xin vu khuyen phai buon nhieu thuy ngan de nghi trang hat be cho minh song 23</t>
  </si>
  <si>
    <t>2023-01-13T14:00:23.000Z</t>
  </si>
  <si>
    <t>FjkWKmrKTck</t>
  </si>
  <si>
    <t>https://www.youtube.com/watch?v=FjkWKmrKTck&amp;list=PLxKLMN7WdG5Ddu4T4qbzgUbixCkeS_A5y&amp;index=16</t>
  </si>
  <si>
    <t>Quá trời Ngô Kiến Huy rồi, đã đẹp trai xin đừng "bẹo hình, bẹo dạng" khi phỏng vấn | Sóng 23</t>
  </si>
  <si>
    <t>qua troi ngo kien huy roi da dep trai xin dung beo hinh beo dang khi phong van song 23</t>
  </si>
  <si>
    <t>2023-01-17T14:00:06.000Z</t>
  </si>
  <si>
    <t>r1XggxeYnrk</t>
  </si>
  <si>
    <t>https://www.youtube.com/watch?v=r1XggxeYnrk&amp;list=PLxKLMN7WdG5Ddu4T4qbzgUbixCkeS_A5y&amp;index=9</t>
  </si>
  <si>
    <t>B Ray, Ricky Star, Lil'Wuyn đổ bộ, Rap Việt trở lại mùa 3. Bích Phương comeback | Sóng 23</t>
  </si>
  <si>
    <t>b ray ricky star lil wuyn do bo rap viet tro lai mua 3 bich phuong comeback song 23</t>
  </si>
  <si>
    <t>2023-01-09T14:00:23.000Z</t>
  </si>
  <si>
    <t>Z596bs-19lg</t>
  </si>
  <si>
    <t>https://www.youtube.com/watch?v=Z596bs-19lg&amp;list=PLxKLMN7WdG5Ddu4T4qbzgUbixCkeS_A5y&amp;index=7</t>
  </si>
  <si>
    <t>Dương Lâm, Kiều Minh Tuấn bốc mẽ Song Luân, HIEUTHUHAI tố A Bắp chuyên gia ăn chùa | Sóng 23</t>
  </si>
  <si>
    <t>duong lam kieu minh tuan boc me song luan hieuthuhai to a bap chuyen gia an chua song 23</t>
  </si>
  <si>
    <t>2023-01-10T13:00:27.000Z</t>
  </si>
  <si>
    <t>UuS8C-N80Kc</t>
  </si>
  <si>
    <t>https://www.youtube.com/watch?v=UuS8C-N80Kc&amp;list=PLxKLMN7WdG5Ddu4T4qbzgUbixCkeS_A5y&amp;index=18</t>
  </si>
  <si>
    <t>Kay Trần thường xuyên giấu kín sự yếu đuối, công khai danh tính người bạn nối khố | Sóng 23</t>
  </si>
  <si>
    <t>kay tran thuong xuyen giau kin su yeu duoi cong khai danh tinh nguoi ban noi kho song 23</t>
  </si>
  <si>
    <t>2023-01-18T05:00:08.000Z</t>
  </si>
  <si>
    <t>3t-kWAMJ0I4</t>
  </si>
  <si>
    <t>https://www.youtube.com/watch?v=3t-kWAMJ0I4&amp;list=PLxKLMN7WdG5Ddu4T4qbzgUbixCkeS_A5y&amp;index=25</t>
  </si>
  <si>
    <t>Hà Trần, Myra Trần, Thùy Chi, Mai Tiến Dũng và dàn Sao Việt cùng hòa giọng Xuân &amp; Tuổi Trẻ | Sóng 23</t>
  </si>
  <si>
    <t>ha tran myra tran thuy chi mai tien dung va dan sao viet cung hoa giong xuan tuoi tre song 23</t>
  </si>
  <si>
    <t>2023-01-25T15:00:02.000Z</t>
  </si>
  <si>
    <t>45zm3CqZ7YQ</t>
  </si>
  <si>
    <t>https://www.youtube.com/watch?v=45zm3CqZ7YQ&amp;list=PLxKLMN7WdG5Ddu4T4qbzgUbixCkeS_A5y&amp;index=26</t>
  </si>
  <si>
    <t>Nhân vật mới The Masked Singer - Mùa 2 Cô M23 trình diễn cực sung tại Sóng | Sóng 23</t>
  </si>
  <si>
    <t>nhan vat moi the masked singer mua 2 co m23 trinh dien cuc sung tai song song 23</t>
  </si>
  <si>
    <t>2023-01-22T12:00:05.000Z</t>
  </si>
  <si>
    <t>Zp5Gpp1pdcY</t>
  </si>
  <si>
    <t>https://www.youtube.com/watch?v=Zp5Gpp1pdcY&amp;list=PLxKLMN7WdG5Ddu4T4qbzgUbixCkeS_A5y&amp;index=17</t>
  </si>
  <si>
    <t>B Ray dù hệ "boy hướng nội" vẫn gài Ricky Star đến cùng, bật mí hay gặp nhiều may mắn | Sóng 23</t>
  </si>
  <si>
    <t>b ray du he boy huong noi van gai ricky star den cung bat mi hay gap nhieu may man song 23</t>
  </si>
  <si>
    <t>2023-01-18T13:00:22.000Z</t>
  </si>
  <si>
    <t>3CWxfmkpt0c</t>
  </si>
  <si>
    <t>https://www.youtube.com/watch?v=3CWxfmkpt0c&amp;list=PLxKLMN7WdG5Ddu4T4qbzgUbixCkeS_A5y&amp;index=24</t>
  </si>
  <si>
    <t>Trai đẹp HIEUTHUHAI, Trọng Hiếu bất ngờ kết hợp tại Liên Khúc Thú Vị Hơn Vậy – Vệ Tinh | Sóng 23</t>
  </si>
  <si>
    <t>trai dep hieuthuhai trong hieu bat ngo ket hop tai lien khuc thu vi hon vay ve tinh song 23</t>
  </si>
  <si>
    <t>2023-01-24T13:00:04.000Z</t>
  </si>
  <si>
    <t>Ddzw-OCra_E</t>
  </si>
  <si>
    <t>https://www.youtube.com/watch?v=Ddzw-OCra_E&amp;list=PLxKLMN7WdG5Ddu4T4qbzgUbixCkeS_A5y&amp;index=14</t>
  </si>
  <si>
    <t>Mascot Cô M23 gây náo loạn vì giọng lạ. Bích Phương, Hà Nhi, Hoàng Dũng tri ân tình cũ | Sóng 23</t>
  </si>
  <si>
    <t>mascot co m23 gay nao loan vi giong la bich phuong ha nhi hoang dung tri an tinh cu song 23</t>
  </si>
  <si>
    <t>2023-01-16T14:00:10.000Z</t>
  </si>
  <si>
    <t>BhIpdoPtYtU</t>
  </si>
  <si>
    <t>https://www.youtube.com/watch?v=BhIpdoPtYtU&amp;list=PLxKLMN7WdG5Ddu4T4qbzgUbixCkeS_A5y&amp;index=27</t>
  </si>
  <si>
    <t>Thùy Chi - Mai Tiến Dũng kết hợp cực mượt tại mashup Hơn Em Chỗ Nào và Người Như Anh | Sóng 23</t>
  </si>
  <si>
    <t>thuy chi mai tien dung ket hop cuc muot tai mashup hon em cho nao va nguoi nhu anh song 23</t>
  </si>
  <si>
    <t>2023-01-24T03:00:03.000Z</t>
  </si>
  <si>
    <t>Rf9qIU_fke4</t>
  </si>
  <si>
    <t>https://www.youtube.com/watch?v=Rf9qIU_fke4&amp;list=PLxKLMN7WdG5Ddu4T4qbzgUbixCkeS_A5y&amp;index=20</t>
  </si>
  <si>
    <t>Game thủ giải trí Bích Phương không làm fan thất vọng. Trấn Thành, Ngọc Mai đều chào thua| Sóng 23</t>
  </si>
  <si>
    <t>game thu giai tri bich phuong khong lam fan that vong tran thanh ngoc mai deu chao thua song 23</t>
  </si>
  <si>
    <t>2023-01-20T14:00:14.000Z</t>
  </si>
  <si>
    <t>ErsghXrDxuA</t>
  </si>
  <si>
    <t>https://www.youtube.com/watch?v=ErsghXrDxuA&amp;list=PLxKLMN7WdG5Ddu4T4qbzgUbixCkeS_A5y&amp;index=4</t>
  </si>
  <si>
    <t>Thúy Ngân tạo địa chấn nhờ hát chạm nốt cao, muốn có người yêu sau nhiều chuyện đau lòng | Sóng 23</t>
  </si>
  <si>
    <t>thuy ngan tao dia chan nho hat cham not cao muon co nguoi yeu sau nhieu chuyen dau long song 23</t>
  </si>
  <si>
    <t>2023-01-14T14:00:13.000Z</t>
  </si>
  <si>
    <t>sczv4FtsRNo</t>
  </si>
  <si>
    <t>https://www.youtube.com/watch?v=sczv4FtsRNo&amp;list=PLxKLMN7WdG5Ddu4T4qbzgUbixCkeS_A5y&amp;index=10</t>
  </si>
  <si>
    <t>HIEUTHUHAI toát mồ hôi khi bị hỏi về Tiểu Vy, Dương Lâm - Cris Phan cứu giá kịp thời | Sóng 23</t>
  </si>
  <si>
    <t>hieuthuhai toat mo hoi khi bi hoi ve tieu vy duong lam cris phan cuu gia kip thoi song 23</t>
  </si>
  <si>
    <t>2023-01-12T14:00:23.000Z</t>
  </si>
  <si>
    <t>rVFNzTLaIik</t>
  </si>
  <si>
    <t>https://www.youtube.com/watch?v=rVFNzTLaIik&amp;list=PLxKLMN7WdG5Ddu4T4qbzgUbixCkeS_A5y&amp;index=1</t>
  </si>
  <si>
    <t>Sóng 23 - Chương trình giải trí Đêm Giao Thừa 2023 hội tụ hơn 100 nghệ sĩ hàng đầu Việt Nam Tết 2023</t>
  </si>
  <si>
    <t>song 23 chuong trinh giai tri dem giao thua 2023 hoi tu hon 100 nghe si hang dau viet nam tet 2023</t>
  </si>
  <si>
    <t>2023-01-21T12:00:09.000Z</t>
  </si>
  <si>
    <t>Gs_lrVqVs4Y</t>
  </si>
  <si>
    <t>https://www.youtube.com/watch?v=Gs_lrVqVs4Y&amp;list=PLxKLMN7WdG5Ddu4T4qbzgUbixCkeS_A5y&amp;index=30</t>
  </si>
  <si>
    <t>Đã tai, đã mắt với màn trình diễn Là Do Em Xui Thôi của Sofia cùng Khói | Sóng 23</t>
  </si>
  <si>
    <t>da tai da mat voi man trinh dien la do em xui thoi cua sofia cung khoi song 23</t>
  </si>
  <si>
    <t>2023-01-23T13:00:07.000Z</t>
  </si>
  <si>
    <t>QoZJTFSZEkc</t>
  </si>
  <si>
    <t>https://www.youtube.com/watch?v=QoZJTFSZEkc&amp;list=PLxKLMN7WdG5Ddu4T4qbzgUbixCkeS_A5y&amp;index=5</t>
  </si>
  <si>
    <t>Bích Phương lăn tăn mạnh giữa tình yêu - sự nghiệp, quyết "rã đông" come back năm con Mèo | Sóng 23</t>
  </si>
  <si>
    <t>bich phuong lan tan manh giua tinh yeu su nghiep quyet ra dong come back nam con meo song 23</t>
  </si>
  <si>
    <t>2023-01-12T05:00:21.000Z</t>
  </si>
  <si>
    <t>F9JHV_2hiNA</t>
  </si>
  <si>
    <t>https://www.youtube.com/watch?v=F9JHV_2hiNA&amp;list=PLxKLMN7WdG5Ddu4T4qbzgUbixCkeS_A5y&amp;index=28</t>
  </si>
  <si>
    <t>Quân A.P bất ngờ kết hợp cùng Myra Trần tung bản mashup đốn tym triệu fan |Sóng 23</t>
  </si>
  <si>
    <t>quan a p bat ngo ket hop cung myra tran tung ban mashup don tym trieu fan song 23</t>
  </si>
  <si>
    <t>2023-01-22T13:00:11.000Z</t>
  </si>
  <si>
    <t>hmZlR83osvI</t>
  </si>
  <si>
    <t>https://www.youtube.com/watch?v=hmZlR83osvI&amp;list=PLxKLMN7WdG5Ddu4T4qbzgUbixCkeS_A5y&amp;index=2</t>
  </si>
  <si>
    <t>2023-01-21T12:00:06.000Z</t>
  </si>
  <si>
    <t>7Sp27Mo2w7o</t>
  </si>
  <si>
    <t>https://www.youtube.com/watch?v=7Sp27Mo2w7o&amp;list=PLxKLMN7WdG5Ddu4T4qbzgUbixCkeS_A5y&amp;index=23</t>
  </si>
  <si>
    <t>Hoàng Dũng nói rõ nỗi lòng làm nghề, hạnh phúc khi mẹ là người thầy đầu tiên ủng hộ mình| Sóng 23</t>
  </si>
  <si>
    <t>hoang dung noi ro noi long lam nghe hanh phuc khi me la nguoi thay dau tien ung ho minh song 23</t>
  </si>
  <si>
    <t>2023-01-19T13:00:07.000Z</t>
  </si>
  <si>
    <t>g504z4U7c_A</t>
  </si>
  <si>
    <t>https://www.youtube.com/watch?v=g504z4U7c_A&amp;list=PLxKLMN7WdG5Ddu4T4qbzgUbixCkeS_A5y&amp;index=3</t>
  </si>
  <si>
    <t>HIEUTHUHAI quá hư khi giấu kín hình tình cảm với A Bắp, say mê kể cú chạm môi Kiều Minh Tuấn|Sóng 23</t>
  </si>
  <si>
    <t>hieuthuhai qua hu khi giau kin hinh tinh cam voi a bap say me ke cu cham moi kieu minh tuan song 23</t>
  </si>
  <si>
    <t>2023-01-13T05:00:19.000Z</t>
  </si>
  <si>
    <t>JhyRCUjmvyA</t>
  </si>
  <si>
    <t>https://www.youtube.com/watch?v=JhyRCUjmvyA&amp;list=PLxKLMN7WdG5Ddu4T4qbzgUbixCkeS_A5y&amp;index=19</t>
  </si>
  <si>
    <t>A Bắp méc Trấn Thành bị Dương Lâm dạy hư, Kiều Minh Tuấn tố HIEUTHUHAI không lăng xê anh em |Sóng 23</t>
  </si>
  <si>
    <t>a bap mec tran thanh bi duong lam day hu kieu minh tuan to hieuthuhai khong lang xe anh em song 23</t>
  </si>
  <si>
    <t>2023-01-18T14:00:10.000Z</t>
  </si>
  <si>
    <t>GfVtagnzFGc</t>
  </si>
  <si>
    <t>https://www.youtube.com/watch?v=GfVtagnzFGc&amp;list=PLxKLMN7WdG5Ddu4T4qbzgUbixCkeS_A5y&amp;index=29</t>
  </si>
  <si>
    <t>Ngọc Mai lại dẫn fan cùng ngao du bằng giọng hát bay bổng tại Mùa Hoa Trở Lại | Sóng 23</t>
  </si>
  <si>
    <t>ngoc mai lai dan fan cung ngao du bang giong hat bay bong tai mua hoa tro lai song 23</t>
  </si>
  <si>
    <t>2023-01-25T14:00:09.000Z</t>
  </si>
  <si>
    <t>XDqZwQB4TEQ</t>
  </si>
  <si>
    <t>https://www.youtube.com/watch?v=XDqZwQB4TEQ&amp;list=PLxKLMN7WdG5Ddu4T4qbzgUbixCkeS_A5y&amp;index=12</t>
  </si>
  <si>
    <t>B Ray muốn chinh phục fan với cá tính riêng, nhận được tiếp sức thiết thực của Ricky Star | Sóng 23</t>
  </si>
  <si>
    <t>b ray muon chinh phuc fan voi ca tinh rieng nhan duoc tiep suc thiet thuc cua ricky star song 23</t>
  </si>
  <si>
    <t>2023-01-15T05:00:11.000Z</t>
  </si>
  <si>
    <t>N4c9ikpnuGc</t>
  </si>
  <si>
    <t>https://www.youtube.com/watch?v=N4c9ikpnuGc&amp;list=PLxKLMN7WdG5Ddu4T4qbzgUbixCkeS_A5y&amp;index=21</t>
  </si>
  <si>
    <t>B Ray, Ricky Star, Lil' Wuyn, Myra Trần tạo Hit tết Quý Mão với ca khúc Năm Nay Xin Hứa | Sóng 23</t>
  </si>
  <si>
    <t>b ray ricky star lil wuyn myra tran tao hit tet quy mao voi ca khuc nam nay xin hua song 23</t>
  </si>
  <si>
    <t>2023-01-22T05:00:08.000Z</t>
  </si>
  <si>
    <t>d7DPHCXqisY</t>
  </si>
  <si>
    <t>https://www.youtube.com/watch?v=d7DPHCXqisY&amp;list=PLxKLMN7WdG5Ddu4T4qbzgUbixCkeS_A5y&amp;index=8</t>
  </si>
  <si>
    <t>Trailer: Không gian âm nhạc độc bản &amp; mascot đầu tiên The Masked Singer Mùa 2 sắp xuất hiện| Sóng 23</t>
  </si>
  <si>
    <t>trailer khong gian am nhac doc ban mascot dau tien the masked singer mua 2 sap xuat hien song 23</t>
  </si>
  <si>
    <t>2023-01-07T13:00:31.000Z</t>
  </si>
  <si>
    <t>SONG_2024</t>
  </si>
  <si>
    <t>l9T6mnXK45U</t>
  </si>
  <si>
    <t>https://www.youtube.com/watch?v=l9T6mnXK45U&amp;list=PLxKLMN7WdG5DgQQKKUMdu2_ZOgfoSMPT7&amp;index=11</t>
  </si>
  <si>
    <t>Hài Độc Thoại: Cười đã đời với top chuyện nhức nhối ngày Tết cùng Phương Nam Saigon Tếu | Sóng 24</t>
  </si>
  <si>
    <t>hai doc thoai cuoi da doi voi top chuyen nhuc nhoi ngay tet cung phuong nam saigon teu song 24</t>
  </si>
  <si>
    <t>PLxKLMN7WdG5DgQQKKUMdu2_ZOgfoSMPT7</t>
  </si>
  <si>
    <t>2024-02-10T13:00:41.000Z</t>
  </si>
  <si>
    <t>2026-08-12T14:57:29.878685+07:00</t>
  </si>
  <si>
    <t>19BPcrDoEeNIg89PR</t>
  </si>
  <si>
    <t>y-SG6wyleYE</t>
  </si>
  <si>
    <t>https://www.youtube.com/watch?v=y-SG6wyleYE&amp;list=PLxKLMN7WdG5DgQQKKUMdu2_ZOgfoSMPT7&amp;index=12</t>
  </si>
  <si>
    <t>Rụng tim với giọng hát ngọt ngào Văn Mai Hương trong Đại Minh Tinh x Martini | Sóng 24</t>
  </si>
  <si>
    <t>rung tim voi giong hat ngot ngao van mai huong trong dai minh tinh x martini song 24</t>
  </si>
  <si>
    <t>2024-02-12T02:00:20.000Z</t>
  </si>
  <si>
    <t>W6TN7o80mTA</t>
  </si>
  <si>
    <t>https://www.youtube.com/watch?v=W6TN7o80mTA&amp;list=PLxKLMN7WdG5DgQQKKUMdu2_ZOgfoSMPT7&amp;index=9</t>
  </si>
  <si>
    <t>Karaoke Hoàng Hôn Nhớ - Anh Tú | Sóng 24</t>
  </si>
  <si>
    <t>karaoke hoang hon nho anh tu song 24</t>
  </si>
  <si>
    <t>2024-02-16T13:05:20.000Z</t>
  </si>
  <si>
    <t>wQj5CJoysCA</t>
  </si>
  <si>
    <t>https://www.youtube.com/watch?v=wQj5CJoysCA&amp;list=PLxKLMN7WdG5DgQQKKUMdu2_ZOgfoSMPT7&amp;index=14</t>
  </si>
  <si>
    <t>1 HOUR Mashup Những Lời Hứa Bỏ Quên, Hoàng Hôn Nhớ, Vừa Đi Vừa Khóc, Anh Tú x Vũ. x Gigi Hương Giang</t>
  </si>
  <si>
    <t>1 hour mashup nhung loi hua bo quen hoang hon nho vua di vua khoc anh tu x vu x gigi huong giang</t>
  </si>
  <si>
    <t>2024-02-11T05:00:22.000Z</t>
  </si>
  <si>
    <t>plausible_duration;show_alias_missing</t>
  </si>
  <si>
    <t>https://www.youtube.com/watch?v=JNSfZNYiimg&amp;list=PLxKLMN7WdG5DgQQKKUMdu2_ZOgfoSMPT7&amp;index=10</t>
  </si>
  <si>
    <t>tFt8WhuIsLY</t>
  </si>
  <si>
    <t>https://www.youtube.com/watch?v=tFt8WhuIsLY&amp;list=PLxKLMN7WdG5DgQQKKUMdu2_ZOgfoSMPT7&amp;index=13</t>
  </si>
  <si>
    <t>Hiếu Thị Hai đáp trả A Xìn cực mượt, tặng cho Diệu Lâm và A Bắp điều bất ngờ choáng váng | Sóng 24</t>
  </si>
  <si>
    <t>hieu thi hai dap tra a xin cuc muot tang cho dieu lam va a bap dieu bat ngo choang vang song 24</t>
  </si>
  <si>
    <t>2024-02-06T14:00:42.000Z</t>
  </si>
  <si>
    <t>N3N61dT-8FE</t>
  </si>
  <si>
    <t>https://www.youtube.com/watch?v=N3N61dT-8FE&amp;list=PLxKLMN7WdG5DgQQKKUMdu2_ZOgfoSMPT7&amp;index=15</t>
  </si>
  <si>
    <t>Rhyder x COOLKID khuấy đảo cùng hit triệu view Chịu Cách Mình Nói Thua | Sóng 24</t>
  </si>
  <si>
    <t>rhyder x coolkid khuay dao cung hit trieu view chiu cach minh noi thua song 24</t>
  </si>
  <si>
    <t>2024-02-14T12:29:04.000Z</t>
  </si>
  <si>
    <t>mrA8KPqWK7Y</t>
  </si>
  <si>
    <t>https://www.youtube.com/watch?v=mrA8KPqWK7Y&amp;list=PLxKLMN7WdG5DgQQKKUMdu2_ZOgfoSMPT7&amp;index=18</t>
  </si>
  <si>
    <t>HIEUTHUHAI lãnh trọn giải bóc phốt cuối năm nhờ sự nhiệt tình của Negav và Hurrykng | Sóng 24</t>
  </si>
  <si>
    <t>hieuthuhai lanh tron giai boc phot cuoi nam nho su nhiet tinh cua negav va hurrykng song 24</t>
  </si>
  <si>
    <t>2024-02-07T07:53:03.000Z</t>
  </si>
  <si>
    <t>y8TmCh1j1ns</t>
  </si>
  <si>
    <t>https://www.youtube.com/watch?v=y8TmCh1j1ns&amp;list=PLxKLMN7WdG5DgQQKKUMdu2_ZOgfoSMPT7&amp;index=19</t>
  </si>
  <si>
    <t>BTS: Rhyder - Negav khóc thét vì bị kiểm tra bài, "Học Sinh Giỏi" Captain sơ hở là trêu | Sóng 24</t>
  </si>
  <si>
    <t>bts rhyder negav khoc thet vi bi kiem tra bai hoc sinh gioi captain so ho la treu song 24</t>
  </si>
  <si>
    <t>2024-03-14T13:07:21.000Z</t>
  </si>
  <si>
    <t>pn6b1sPgLwo</t>
  </si>
  <si>
    <t>https://www.youtube.com/watch?v=pn6b1sPgLwo&amp;list=PLxKLMN7WdG5DgQQKKUMdu2_ZOgfoSMPT7&amp;index=8</t>
  </si>
  <si>
    <t>Sóng 24 - Chương trình giải trí âm nhạc Đêm Giao Thừa 2024 Trấn Thành Ngô Kiến Huy HIEUTHUHAI Anh Tú</t>
  </si>
  <si>
    <t>song 24 chuong trinh giai tri am nhac dem giao thua 2024 tran thanh ngo kien huy hieuthuhai anh tu</t>
  </si>
  <si>
    <t>2024-02-09T12:30:10.000Z</t>
  </si>
  <si>
    <t>8O3pWOKQHu0</t>
  </si>
  <si>
    <t>https://www.youtube.com/watch?v=8O3pWOKQHu0&amp;list=PLxKLMN7WdG5DgQQKKUMdu2_ZOgfoSMPT7&amp;index=7</t>
  </si>
  <si>
    <t>Top những bản ballad HAY NHẤT tại Sóng 24: Myra Trần, Trung Quân, Văn Mai Hương, Vũ., Anh Tú, Orange</t>
  </si>
  <si>
    <t>top nhung ban ballad hay nhat tai song 24 myra tran trung quan van mai huong vu anh tu orange</t>
  </si>
  <si>
    <t>2024-02-12T04:00:03.000Z</t>
  </si>
  <si>
    <t>0bgab4JXLlc</t>
  </si>
  <si>
    <t>https://www.youtube.com/watch?v=0bgab4JXLlc&amp;list=PLxKLMN7WdG5DgQQKKUMdu2_ZOgfoSMPT7&amp;index=21</t>
  </si>
  <si>
    <t>Dương Lâm từ mặt HIEUTHUHAI về bên Anh Tú, Orange xám hồn vì màn giới thiệu của Trấn Thành | Sóng 24</t>
  </si>
  <si>
    <t>duong lam tu mat hieuthuhai ve ben anh tu orange xam hon vi man gioi thieu cua tran thanh song 24</t>
  </si>
  <si>
    <t>2024-02-02T14:05:00.000Z</t>
  </si>
  <si>
    <t>VzEIRcx4EGQ</t>
  </si>
  <si>
    <t>https://www.youtube.com/watch?v=VzEIRcx4EGQ&amp;list=PLxKLMN7WdG5DgQQKKUMdu2_ZOgfoSMPT7&amp;index=24</t>
  </si>
  <si>
    <t>Những Câu Hỏi Khi Say x Dừng Yêu của Trung Quân x Myra [1 HOUR] chạm tim | Sóng 24</t>
  </si>
  <si>
    <t>nhung cau hoi khi say x dung yeu cua trung quan x myra 1 hour cham tim song 24</t>
  </si>
  <si>
    <t>2024-02-21T10:00:20.000Z</t>
  </si>
  <si>
    <t>j_iaMkWq5WU</t>
  </si>
  <si>
    <t>https://www.youtube.com/watch?v=j_iaMkWq5WU&amp;list=PLxKLMN7WdG5DgQQKKUMdu2_ZOgfoSMPT7&amp;index=6</t>
  </si>
  <si>
    <t>Vũ., Gigi Hương Giang, Anh Tú gây thương nhớ Những Lời Hứa Bỏ Quên, Hoàng Hôn Nhớ, Vừa Đi Vừa Khóc</t>
  </si>
  <si>
    <t>vu gigi huong giang anh tu gay thuong nho nhung loi hua bo quen hoang hon nho vua di vua khoc</t>
  </si>
  <si>
    <t>2024-02-11T03:00:27.000Z</t>
  </si>
  <si>
    <t>HnzWjgfkaNs</t>
  </si>
  <si>
    <t>https://www.youtube.com/watch?v=HnzWjgfkaNs&amp;list=PLxKLMN7WdG5DgQQKKUMdu2_ZOgfoSMPT7&amp;index=22</t>
  </si>
  <si>
    <t>BIGDADDY - B Ray hội ngộ tiết lộ về "Dư Thật", HIEUTHUHAI không ngại hơn thua với Anh Tú | Sóng 24</t>
  </si>
  <si>
    <t>bigdaddy b ray hoi ngo tiet lo ve du that hieuthuhai khong ngai hon thua voi anh tu song 24</t>
  </si>
  <si>
    <t>2024-02-06T13:15:01.000Z</t>
  </si>
  <si>
    <t>o0D2r2KnO_w</t>
  </si>
  <si>
    <t>https://www.youtube.com/watch?v=o0D2r2KnO_w&amp;list=PLxKLMN7WdG5DgQQKKUMdu2_ZOgfoSMPT7&amp;index=2</t>
  </si>
  <si>
    <t>1uiUMbz83Yw</t>
  </si>
  <si>
    <t>https://www.youtube.com/watch?v=1uiUMbz83Yw&amp;list=PLxKLMN7WdG5DgQQKKUMdu2_ZOgfoSMPT7&amp;index=1</t>
  </si>
  <si>
    <t>Cú bắt tay ngoạn mục của Orange x Sofia, gây bão với loạt bài hit đình đám | Sóng 24</t>
  </si>
  <si>
    <t>cu bat tay ngoan muc cua orange x sofia gay bao voi loat bai hit dinh dam song 24</t>
  </si>
  <si>
    <t>2024-02-11T03:00:02.000Z</t>
  </si>
  <si>
    <t>Iv5ntBE91T8</t>
  </si>
  <si>
    <t>https://www.youtube.com/watch?v=Iv5ntBE91T8&amp;list=PLxKLMN7WdG5DgQQKKUMdu2_ZOgfoSMPT7&amp;index=5</t>
  </si>
  <si>
    <t>2024-02-09T12:30:07.000Z</t>
  </si>
  <si>
    <t>MxFG03cESWs</t>
  </si>
  <si>
    <t>https://www.youtube.com/watch?v=MxFG03cESWs&amp;list=PLxKLMN7WdG5DgQQKKUMdu2_ZOgfoSMPT7&amp;index=28</t>
  </si>
  <si>
    <t>Trailer: Choáng với độ hoành tráng của Sóng 24, vô vàn màn kết hợp khiến triệu tim dậy sóng| Sóng 24</t>
  </si>
  <si>
    <t>trailer choang voi do hoanh trang cua song 24 vo van man ket hop khien trieu tim day song song 24</t>
  </si>
  <si>
    <t>2024-01-30T14:53:34.000Z</t>
  </si>
  <si>
    <t>G-9oYGalq2U</t>
  </si>
  <si>
    <t>https://www.youtube.com/watch?v=G-9oYGalq2U&amp;list=PLxKLMN7WdG5DgQQKKUMdu2_ZOgfoSMPT7&amp;index=16</t>
  </si>
  <si>
    <t>Hoàng Hôn Nhớ [1 HOUR] đầy nỗi niềm da diết với giọng hát Anh Tú | Sóng 24</t>
  </si>
  <si>
    <t>hoang hon nho 1 hour day noi niem da diet voi giong hat anh tu song 24</t>
  </si>
  <si>
    <t>2024-02-19T14:00:16.000Z</t>
  </si>
  <si>
    <t>w38qxVjMqpw</t>
  </si>
  <si>
    <t>https://www.youtube.com/watch?v=w38qxVjMqpw&amp;list=PLxKLMN7WdG5DgQQKKUMdu2_ZOgfoSMPT7&amp;index=30</t>
  </si>
  <si>
    <t>Vừa Đi Vừa Khóc x Hoàng Hôn Nhớ gấp đôi da diết với GiGi Hương Giang - Anh Tú [1 HOUR] | Sóng 24</t>
  </si>
  <si>
    <t>vua di vua khoc x hoang hon nho gap doi da diet voi gigi huong giang anh tu 1 hour song 24</t>
  </si>
  <si>
    <t>2024-02-20T12:00:50.000Z</t>
  </si>
  <si>
    <t>203Jk7yohFY</t>
  </si>
  <si>
    <t>https://www.youtube.com/watch?v=203Jk7yohFY&amp;list=PLxKLMN7WdG5DgQQKKUMdu2_ZOgfoSMPT7&amp;index=26</t>
  </si>
  <si>
    <t>Châu Đăng Khoa - Sofia - Orange hội ngộ, tlinh và Wren Evans nhận cơn mưa lời khen từ MC | Sóng 24</t>
  </si>
  <si>
    <t>chau dang khoa sofia orange hoi ngo tlinh va wren evans nhan con mua loi khen tu mc song 24</t>
  </si>
  <si>
    <t>2024-02-05T14:00:01.000Z</t>
  </si>
  <si>
    <t>ZjYMaSziZvA</t>
  </si>
  <si>
    <t>https://www.youtube.com/watch?v=ZjYMaSziZvA&amp;list=PLxKLMN7WdG5DgQQKKUMdu2_ZOgfoSMPT7&amp;index=27</t>
  </si>
  <si>
    <t>Đức Phúc cực duyên dáng, Tết này cùng nhau Đi Chùa Cầu Duyên | Sóng 24</t>
  </si>
  <si>
    <t>duc phuc cuc duyen dang tet nay cung nhau di chua cau duyen song 24</t>
  </si>
  <si>
    <t>2024-02-12T04:00:22.000Z</t>
  </si>
  <si>
    <t>https://www.youtube.com/watch?v=r-RUnz9gPbw&amp;list=PLxKLMN7WdG5DgQQKKUMdu2_ZOgfoSMPT7&amp;index=23</t>
  </si>
  <si>
    <t>KB01NPnXYjs</t>
  </si>
  <si>
    <t>https://www.youtube.com/watch?v=KB01NPnXYjs&amp;list=PLxKLMN7WdG5DgQQKKUMdu2_ZOgfoSMPT7&amp;index=29</t>
  </si>
  <si>
    <t>Andree và B Ray liên tục được trò cưng gọi tên, Rhyder - CoolKid - Captain mãi rớt miếng | Sóng 24</t>
  </si>
  <si>
    <t>andree va b ray lien tuc duoc tro cung goi ten rhyder coolkid captain mai rot mieng song 24</t>
  </si>
  <si>
    <t>2024-02-06T11:45:01.000Z</t>
  </si>
  <si>
    <t>YEkvhE2CFas</t>
  </si>
  <si>
    <t>https://www.youtube.com/watch?v=YEkvhE2CFas&amp;list=PLxKLMN7WdG5DgQQKKUMdu2_ZOgfoSMPT7&amp;index=20</t>
  </si>
  <si>
    <t>HIEUTHUHAI - A BẮP - ANH TÚ quằn quại hòa giọng sau màn lệch tone không hồi kết | Sóng 24</t>
  </si>
  <si>
    <t>hieuthuhai a bap anh tu quan quai hoa giong sau man lech tone khong hoi ket song 24</t>
  </si>
  <si>
    <t>2024-02-07T13:02:51.000Z</t>
  </si>
  <si>
    <t>jZsT6fCivMQ</t>
  </si>
  <si>
    <t>https://www.youtube.com/watch?v=jZsT6fCivMQ&amp;list=PLxKLMN7WdG5DgQQKKUMdu2_ZOgfoSMPT7&amp;index=4</t>
  </si>
  <si>
    <t>FULL Hài Sóng 24: Anh trai HIEUTHUHAI ứng biến cực mượt khiến Trấn Thành, Diệu Lâm bội phục |Sóng 24</t>
  </si>
  <si>
    <t>full hai song 24 anh trai hieuthuhai ung bien cuc muot khien tran thanh dieu lam boi phuc song 24</t>
  </si>
  <si>
    <t>2024-02-10T12:00:40.000Z</t>
  </si>
  <si>
    <t>8dq9UvBLE0A</t>
  </si>
  <si>
    <t>https://www.youtube.com/watch?v=8dq9UvBLE0A&amp;list=PLxKLMN7WdG5DgQQKKUMdu2_ZOgfoSMPT7&amp;index=25</t>
  </si>
  <si>
    <t>Bộ 3 anh trai "hạt nhài" A BẮP, HIEUTHUHAI, ANH TÚ thả miếng lạnh băng | Sóng 24</t>
  </si>
  <si>
    <t>bo 3 anh trai hat nhai a bap hieuthuhai anh tu tha mieng lanh bang song 24</t>
  </si>
  <si>
    <t>2024-02-01T14:10:00.000Z</t>
  </si>
  <si>
    <t>MM0hO7bGBXs</t>
  </si>
  <si>
    <t>https://www.youtube.com/watch?v=MM0hO7bGBXs&amp;list=PLxKLMN7WdG5DgQQKKUMdu2_ZOgfoSMPT7&amp;index=17</t>
  </si>
  <si>
    <t>BTS: Rhyder - CAPTAIN sơ hở là chọc ghẹo nhau, HURRYKNG - OgeNus sốc vì miếng của Negav | Sóng 24</t>
  </si>
  <si>
    <t>bts rhyder captain so ho la choc gheo nhau hurrykng ogenus soc vi mieng cua negav song 24</t>
  </si>
  <si>
    <t>2024-02-17T14:00:12.000Z</t>
  </si>
  <si>
    <t>HF82WC7mci8</t>
  </si>
  <si>
    <t>https://www.youtube.com/watch?v=HF82WC7mci8&amp;list=PLxKLMN7WdG5DgQQKKUMdu2_ZOgfoSMPT7&amp;index=3</t>
  </si>
  <si>
    <t>Bùng nổ cảm xúc với bản Mashup: Nếu lúc đó x Từng Quen của tlinh x Wren Evans | Sóng 24</t>
  </si>
  <si>
    <t>bung no cam xuc voi ban mashup neu luc do x tung quen cua tlinh x wren evans song 24</t>
  </si>
  <si>
    <t>2024-02-11T03:00:09.000Z</t>
  </si>
  <si>
    <t>SONG_2025</t>
  </si>
  <si>
    <t>c9j5j7JjO-Q</t>
  </si>
  <si>
    <t>https://www.youtube.com/watch?v=c9j5j7JjO-Q&amp;list=PLxKLMN7WdG5BIwNQgqYSWciQhg-Jtj8yQ&amp;index=5</t>
  </si>
  <si>
    <t>Ngáo Ngơ - HIEUTHUHAI, Jsol, Atus, Erik, Orange | Sóng 25 [Live Stage]</t>
  </si>
  <si>
    <t>ngao ngo hieuthuhai jsol atus erik orange song 25 live stage</t>
  </si>
  <si>
    <t>PLxKLMN7WdG5BIwNQgqYSWciQhg-Jtj8yQ</t>
  </si>
  <si>
    <t>2025-01-29T05:00:34.000Z</t>
  </si>
  <si>
    <t>2026-08-12T14:58:20.064472+07:00</t>
  </si>
  <si>
    <t>RiHp622Pu4b8mwTlr</t>
  </si>
  <si>
    <t>lM2kY7VGXEw</t>
  </si>
  <si>
    <t>https://www.youtube.com/watch?v=lM2kY7VGXEw&amp;list=PLxKLMN7WdG5BIwNQgqYSWciQhg-Jtj8yQ&amp;index=1</t>
  </si>
  <si>
    <t>Anh Đã Làm Gì Đâu? - Nhật Hoàng ft Thùy Chi | Sóng 25 [Live Stage]</t>
  </si>
  <si>
    <t>anh da lam gi dau nhat hoang ft thuy chi song 25 live stage</t>
  </si>
  <si>
    <t>2025-01-31T03:00:41.000Z</t>
  </si>
  <si>
    <t>viCOoqmu46k</t>
  </si>
  <si>
    <t>https://www.youtube.com/watch?v=viCOoqmu46k&amp;list=PLxKLMN7WdG5BIwNQgqYSWciQhg-Jtj8yQ&amp;index=4</t>
  </si>
  <si>
    <t>Đóa Hồng Chơi Vơi - Tội Cho Em - Rồi Em Sẽ Gặp Một Chàng Trai Khác: Anh Tú Hà Nhi Quân A.P | Sóng 25</t>
  </si>
  <si>
    <t>doa hong choi voi toi cho em roi em se gap mot chang trai khac anh tu ha nhi quan a p song 25</t>
  </si>
  <si>
    <t>2025-01-30T02:00:42.000Z</t>
  </si>
  <si>
    <t>vy61_EqnoKI</t>
  </si>
  <si>
    <t>https://www.youtube.com/watch?v=vy61_EqnoKI&amp;list=PLxKLMN7WdG5BIwNQgqYSWciQhg-Jtj8yQ&amp;index=2</t>
  </si>
  <si>
    <t>Thờ Ơ: WEAN - HURRYKNG | Sóng 25 [Live Stage]</t>
  </si>
  <si>
    <t>tho o wean hurrykng song 25 live stage</t>
  </si>
  <si>
    <t>2025-01-31T02:00:41.000Z</t>
  </si>
  <si>
    <t>5VQRR7om3tE</t>
  </si>
  <si>
    <t>https://www.youtube.com/watch?v=5VQRR7om3tE&amp;list=PLxKLMN7WdG5BIwNQgqYSWciQhg-Jtj8yQ&amp;index=7</t>
  </si>
  <si>
    <t>Kim Phút Kim Giờ - Hoàng Hải, Mai Tiến Dũng, Isaac, HURRYKNG, HIEUTHUHAI, Pháp Kiều, Negav |Sóng 25</t>
  </si>
  <si>
    <t>kim phut kim gio hoang hai mai tien dung isaac hurrykng hieuthuhai phap kieu negav song 25</t>
  </si>
  <si>
    <t>2025-01-29T03:00:04.000Z</t>
  </si>
  <si>
    <t>34h1TllevkM</t>
  </si>
  <si>
    <t>https://www.youtube.com/watch?v=34h1TllevkM&amp;list=PLxKLMN7WdG5BIwNQgqYSWciQhg-Jtj8yQ&amp;index=6</t>
  </si>
  <si>
    <t>Thắp Sáng Nơi Em - Hùng Huỳnh, Pháp Kiều, Đức Phúc, Captain Boy, Hải Đăng Doo,... | Sóng 25</t>
  </si>
  <si>
    <t>thap sang noi em hung huynh phap kieu duc phuc captain boy hai dang doo song 25</t>
  </si>
  <si>
    <t>2025-01-29T04:00:03.000Z</t>
  </si>
  <si>
    <t>UYkwXFR8Un4</t>
  </si>
  <si>
    <t>https://www.youtube.com/watch?v=UYkwXFR8Un4&amp;list=PLxKLMN7WdG5BIwNQgqYSWciQhg-Jtj8yQ&amp;index=8</t>
  </si>
  <si>
    <t>Bí Mật Gia Tộc: Dương Lâm, Lê Giang, Quang Hùng MasterD, Thuỳ Tiên, Võ Tấn Phát, Negav| Kịch Sóng 25</t>
  </si>
  <si>
    <t>bi mat gia toc duong lam le giang quang hung masterd thuy tien vo tan phat negav kich song 25</t>
  </si>
  <si>
    <t>2025-01-29T02:00:30.000Z</t>
  </si>
  <si>
    <t>GikA0wEe8Ls</t>
  </si>
  <si>
    <t>https://www.youtube.com/watch?v=GikA0wEe8Ls&amp;list=PLxKLMN7WdG5BIwNQgqYSWciQhg-Jtj8yQ&amp;index=3</t>
  </si>
  <si>
    <t>Ánh Mắt Biết Cười: Quang Hùng MasterD - Tăng Duy Tân | Sóng 25 [Live Stage]</t>
  </si>
  <si>
    <t>anh mat biet cuoi quang hung masterd tang duy tan song 25 live stage</t>
  </si>
  <si>
    <t>2025-01-30T03:00:20.000Z</t>
  </si>
  <si>
    <t>SONG_2026</t>
  </si>
  <si>
    <t>_2lh6rEwi8Y</t>
  </si>
  <si>
    <t>https://www.youtube.com/watch?v=_2lh6rEwi8Y&amp;list=PLxKLMN7WdG5CjEObleDT2wm09IizUC5I6&amp;index=9</t>
  </si>
  <si>
    <t>SAY SÓNG: LyHan hé lộ “góc khuất” 9 năm và MAIQUINN, Dương Domic thử thách chúc Tết cực vần |Sóng 26</t>
  </si>
  <si>
    <t>say song lyhan he lo goc khuat 9 nam va maiquinn duong domic thu thach chuc tet cuc van song 26</t>
  </si>
  <si>
    <t>PLxKLMN7WdG5CjEObleDT2wm09IizUC5I6</t>
  </si>
  <si>
    <t>2026-02-12T12:30:45.000Z</t>
  </si>
  <si>
    <t>2026-08-12T14:59:29.543287+07:00</t>
  </si>
  <si>
    <t>fBWvGtJdlYjsWdOpL</t>
  </si>
  <si>
    <t>uXkaPfje5Rw</t>
  </si>
  <si>
    <t>https://www.youtube.com/watch?v=uXkaPfje5Rw&amp;list=PLxKLMN7WdG5CjEObleDT2wm09IizUC5I6&amp;index=23</t>
  </si>
  <si>
    <t>SAY SÓNG: Thái Ngân CONGB bị anh em cô lập, LyHan Ngô Lan Hương “chị em keo sơn” | SÓNG 26</t>
  </si>
  <si>
    <t>say song thai ngan congb bi anh em co lap lyhan ngo lan huong chi em keo son song 26</t>
  </si>
  <si>
    <t>2026-02-18T05:00:58.000Z</t>
  </si>
  <si>
    <t>HHW1YjI6RsY</t>
  </si>
  <si>
    <t>https://www.youtube.com/watch?v=HHW1YjI6RsY&amp;list=PLxKLMN7WdG5CjEObleDT2wm09IizUC5I6&amp;index=22</t>
  </si>
  <si>
    <t>HIEUTHUHAI Marzuz tiết lộ thành tựu 2025 #hieuthuhai #marzuz #song26 #song</t>
  </si>
  <si>
    <t>hieuthuhai marzuz tiet lo thanh tuu 2025 hieuthuhai marzuz song26 song</t>
  </si>
  <si>
    <t>2026-02-16T10:30:10.000Z</t>
  </si>
  <si>
    <t>vZyjAag1_Xs</t>
  </si>
  <si>
    <t>https://www.youtube.com/watch?v=vZyjAag1_Xs&amp;list=PLxKLMN7WdG5CjEObleDT2wm09IizUC5I6&amp;index=12</t>
  </si>
  <si>
    <t>HIGHLIGHT: Quang Hùng HIEUTHUHAI buitruonglinh tiết lộ chấn động, LyHan Mỹ Mỹ tung hint | SÓNG 26</t>
  </si>
  <si>
    <t>highlight quang hung hieuthuhai buitruonglinh tiet lo chan dong lyhan my my tung hint song 26</t>
  </si>
  <si>
    <t>2026-02-13T13:01:41.000Z</t>
  </si>
  <si>
    <t>CIhiuHvCpOU</t>
  </si>
  <si>
    <t>https://www.youtube.com/watch?v=CIhiuHvCpOU&amp;list=PLxKLMN7WdG5CjEObleDT2wm09IizUC5I6&amp;index=10</t>
  </si>
  <si>
    <t>3 biểu cảm nhận lì xì của Ngô Kiến Huy #song26 #song #ngokienhuy</t>
  </si>
  <si>
    <t>3 bieu cam nhan li xi cua ngo kien huy song26 song ngokienhuy</t>
  </si>
  <si>
    <t>2026-02-14T03:15:00.000Z</t>
  </si>
  <si>
    <t>Q6dUvfG9al4</t>
  </si>
  <si>
    <t>https://www.youtube.com/watch?v=Q6dUvfG9al4&amp;list=PLxKLMN7WdG5CjEObleDT2wm09IizUC5I6&amp;index=28</t>
  </si>
  <si>
    <t>SAY SÓNG: Thái Ngân “cười khờ” khi nhắc đến B Ray, Vương Bình chia sẻ về thành tựu 2025 | SÓNG 26</t>
  </si>
  <si>
    <t>say song thai ngan cuoi kho khi nhac den b ray vuong binh chia se ve thanh tuu 2025 song 26</t>
  </si>
  <si>
    <t>2026-02-21T12:00:42.000Z</t>
  </si>
  <si>
    <t>74_exZCoH80</t>
  </si>
  <si>
    <t>https://www.youtube.com/watch?v=74_exZCoH80&amp;list=PLxKLMN7WdG5CjEObleDT2wm09IizUC5I6&amp;index=15</t>
  </si>
  <si>
    <t>SAY SÓNG: Negav bị B Ray “bắt bài”, Bảo Anh Sơn.K Nguyễn Hùng kết hợp ăn ý | SÓNG 26</t>
  </si>
  <si>
    <t>say song negav bi b ray bat bai bao anh son k nguyen hung ket hop an y song 26</t>
  </si>
  <si>
    <t>2026-02-17T13:00:16.000Z</t>
  </si>
  <si>
    <t>-0iAxwza3ss</t>
  </si>
  <si>
    <t>https://www.youtube.com/watch?v=-0iAxwza3ss&amp;list=PLxKLMN7WdG5CjEObleDT2wm09IizUC5I6&amp;index=16</t>
  </si>
  <si>
    <t>LÒ VI SÓNG - Quang Hùng MasterD cùng dàn Em Xinh mang đến sân khấu 1-0-2 Tại Sóng 26 [LiveStage]</t>
  </si>
  <si>
    <t>lo vi song quang hung masterd cung dan em xinh mang den san khau 1 0 2 tai song 26 livestage</t>
  </si>
  <si>
    <t>2026-02-17T02:00:00.000Z</t>
  </si>
  <si>
    <t>0QOhs3M4Dso</t>
  </si>
  <si>
    <t>https://www.youtube.com/watch?v=0QOhs3M4Dso&amp;list=PLxKLMN7WdG5CjEObleDT2wm09IizUC5I6&amp;index=14</t>
  </si>
  <si>
    <t>SAY SÓNG: Hải Nam Thầy Ngọc Lohan bất bình vì bị “phát hiện”, OgeNus Vương Bình bị gọi tên | Sóng 26</t>
  </si>
  <si>
    <t>say song hai nam thay ngoc lohan bat binh vi bi phat hien ogenus vuong binh bi goi ten song 26</t>
  </si>
  <si>
    <t>2026-02-15T05:01:13.000Z</t>
  </si>
  <si>
    <t>gYDAs2yEOJ4</t>
  </si>
  <si>
    <t>https://www.youtube.com/watch?v=gYDAs2yEOJ4&amp;list=PLxKLMN7WdG5CjEObleDT2wm09IizUC5I6&amp;index=3</t>
  </si>
  <si>
    <t>SÓNG 26:TƠ TƯỞNG VỚI THỜI GIAN| Đại tiệc thị giác tráng lệ:Âm nhạc ôm ấp ký ức bằng hơi thở điện ảnh</t>
  </si>
  <si>
    <t>song 26 to tuong voi thoi gian dai tiec thi giac trang le am nhac om ap ky uc bang hoi tho dien anh</t>
  </si>
  <si>
    <t>2026-02-16T14:00:08.000Z</t>
  </si>
  <si>
    <t>EwcdNbLc5wY</t>
  </si>
  <si>
    <t>https://www.youtube.com/watch?v=EwcdNbLc5wY&amp;list=PLxKLMN7WdG5CjEObleDT2wm09IizUC5I6&amp;index=29</t>
  </si>
  <si>
    <t>SAY SÓNG: Edenia “lục đục” vì gián điệp, Mỹ Mỹ Orange xôn xao tìm “sóng” yêu thích | SÓNG 26</t>
  </si>
  <si>
    <t>say song edenia luc duc vi gian diep my my orange xon xao tim song yeu thich song 26</t>
  </si>
  <si>
    <t>2026-02-21T05:00:16.000Z</t>
  </si>
  <si>
    <t>h7B7usCf-KE</t>
  </si>
  <si>
    <t>https://www.youtube.com/watch?v=h7B7usCf-KE&amp;list=PLxKLMN7WdG5CjEObleDT2wm09IizUC5I6&amp;index=8</t>
  </si>
  <si>
    <t>LyHan Dương Domic tiết lộ về 9 năm trước #song26 #song #lyhan #duongdomic</t>
  </si>
  <si>
    <t>lyhan duong domic tiet lo ve 9 nam truoc song26 song lyhan duongdomic</t>
  </si>
  <si>
    <t>2026-02-13T07:15:05.000Z</t>
  </si>
  <si>
    <t>Vez84EB04Ig</t>
  </si>
  <si>
    <t>https://www.youtube.com/watch?v=Vez84EB04Ig&amp;list=PLxKLMN7WdG5CjEObleDT2wm09IizUC5I6&amp;index=2</t>
  </si>
  <si>
    <t>2026-02-16T14:00:09.000Z</t>
  </si>
  <si>
    <t>d2F7yr9h3c4</t>
  </si>
  <si>
    <t>https://www.youtube.com/watch?v=d2F7yr9h3c4&amp;list=PLxKLMN7WdG5CjEObleDT2wm09IizUC5I6&amp;index=4</t>
  </si>
  <si>
    <t>THE MAKING OF SÓNG - TẬP 1: SÓNG - NHỮNG GIAO THỪA ĐÃ Ở LẠI | SÓNG 26</t>
  </si>
  <si>
    <t>the making of song tap 1 song nhung giao thua da o lai song 26</t>
  </si>
  <si>
    <t>2026-02-10T13:16:34.000Z</t>
  </si>
  <si>
    <t>RUbwl6iLwEo</t>
  </si>
  <si>
    <t>https://www.youtube.com/watch?v=RUbwl6iLwEo&amp;list=PLxKLMN7WdG5CjEObleDT2wm09IizUC5I6&amp;index=20</t>
  </si>
  <si>
    <t>Mashup Ballad gây nghiện nhất Sóng 26: Người Như Anh Xứng Đáng Cô Đơn, Không Đau Nữa Rồi,...</t>
  </si>
  <si>
    <t>mashup ballad gay nghien nhat song 26 nguoi nhu anh xung dang co don khong dau nua roi</t>
  </si>
  <si>
    <t>2026-02-17T04:00:15.000Z</t>
  </si>
  <si>
    <t>NFbzMPBaD2o</t>
  </si>
  <si>
    <t>https://www.youtube.com/watch?v=NFbzMPBaD2o&amp;list=PLxKLMN7WdG5CjEObleDT2wm09IizUC5I6&amp;index=5</t>
  </si>
  <si>
    <t>[TRAILER] SÓNG 26 - TƠ TƯỞNG VỚI THỜI GIAN</t>
  </si>
  <si>
    <t>trailer song 26 to tuong voi thoi gian</t>
  </si>
  <si>
    <t>2026-02-07T12:00:06.000Z</t>
  </si>
  <si>
    <t>b6InETzXYTY</t>
  </si>
  <si>
    <t>https://www.youtube.com/watch?v=b6InETzXYTY&amp;list=PLxKLMN7WdG5CjEObleDT2wm09IizUC5I6&amp;index=1</t>
  </si>
  <si>
    <t>z6te6EhobvM</t>
  </si>
  <si>
    <t>https://www.youtube.com/watch?v=z6te6EhobvM&amp;list=PLxKLMN7WdG5CjEObleDT2wm09IizUC5I6&amp;index=6</t>
  </si>
  <si>
    <t>[TEASER] The Making of SÓNG: HIEUTHUHAI, AMEE, Cody Nam Võ,... hé lộ nhiều secret tại SÓNG 26</t>
  </si>
  <si>
    <t>teaser the making of song hieuthuhai amee cody nam vo he lo nhieu secret tai song 26</t>
  </si>
  <si>
    <t>2026-02-10T05:15:07.000Z</t>
  </si>
  <si>
    <t>Kq5whFYsz5M</t>
  </si>
  <si>
    <t>https://www.youtube.com/watch?v=Kq5whFYsz5M&amp;list=PLxKLMN7WdG5CjEObleDT2wm09IizUC5I6&amp;index=18</t>
  </si>
  <si>
    <t>Đón chờ SÓNG 26 nhiều bất ngờ cùng Trấn Thành, Ngô Kiến Huy, buitruonglinh, Mỹ Mỹ</t>
  </si>
  <si>
    <t>don cho song 26 nhieu bat ngo cung tran thanh ngo kien huy buitruonglinh my my</t>
  </si>
  <si>
    <t>2026-02-16T04:00:30.000Z</t>
  </si>
  <si>
    <t>zRlTl085lUA</t>
  </si>
  <si>
    <t>https://www.youtube.com/watch?v=zRlTl085lUA&amp;list=PLxKLMN7WdG5CjEObleDT2wm09IizUC5I6&amp;index=19</t>
  </si>
  <si>
    <t>CŨNG MAY LÀ TẾT - Quẩy Tết Kiểu Độc Lạ Cùng Cody Nam Võ, Negav, B Ray, Gill | Sóng 26 [LiveStage]</t>
  </si>
  <si>
    <t>cung may la tet quay tet kieu doc la cung cody nam vo negav b ray gill song 26 livestage</t>
  </si>
  <si>
    <t>2026-02-17T06:00:50.000Z</t>
  </si>
  <si>
    <t>pA_mnMHmRik</t>
  </si>
  <si>
    <t>https://www.youtube.com/watch?v=pA_mnMHmRik&amp;list=PLxKLMN7WdG5CjEObleDT2wm09IizUC5I6&amp;index=30</t>
  </si>
  <si>
    <t>SAY SÓNG: Doo Moon thử thách sự ăn ý, LyHan Dương Domic “cơ cấu” bất thành | SÓNG 26</t>
  </si>
  <si>
    <t>say song doo moon thu thach su an y lyhan duong domic co cau bat thanh song 26</t>
  </si>
  <si>
    <t>2026-02-22T05:30:27.000Z</t>
  </si>
  <si>
    <t>KziI6WmjmeA</t>
  </si>
  <si>
    <t>https://www.youtube.com/watch?v=KziI6WmjmeA&amp;list=PLxKLMN7WdG5CjEObleDT2wm09IizUC5I6&amp;index=7</t>
  </si>
  <si>
    <t>Bảo Anh tiết lộ về 2 chàng trai với sự kết hợp đặc biệt #song26 #song #baoanh</t>
  </si>
  <si>
    <t>bao anh tiet lo ve 2 chang trai voi su ket hop dac biet song26 song baoanh</t>
  </si>
  <si>
    <t>2026-02-12T03:45:03.000Z</t>
  </si>
  <si>
    <t>nBflgnvZ9ec</t>
  </si>
  <si>
    <t>https://www.youtube.com/watch?v=nBflgnvZ9ec&amp;list=PLxKLMN7WdG5CjEObleDT2wm09IizUC5I6&amp;index=21</t>
  </si>
  <si>
    <t>HÀI TẾT 2026: Dương Lâm, Lê Khánh, Huỳnh Lập, Puka, Kim Xuân đối mặt khủng hoảng mùa Tết | Sóng 26</t>
  </si>
  <si>
    <t>hai tet 2026 duong lam le khanh huynh lap puka kim xuan doi mat khung hoang mua tet song 26</t>
  </si>
  <si>
    <t>2026-02-17T05:01:00.000Z</t>
  </si>
  <si>
    <t>TLCKuo-RUlk</t>
  </si>
  <si>
    <t>https://www.youtube.com/watch?v=TLCKuo-RUlk&amp;list=PLxKLMN7WdG5CjEObleDT2wm09IizUC5I6&amp;index=24</t>
  </si>
  <si>
    <t>SAY SÓNG: HIEUTHUHAI marzuz tiết lộ thành tựu, Jaysonlei liên khúc chúc Tết cực ngầu | SÓNG 26</t>
  </si>
  <si>
    <t>say song hieuthuhai marzuz tiet lo thanh tuu jaysonlei lien khuc chuc tet cuc ngau song 26</t>
  </si>
  <si>
    <t>2026-02-19T05:00:36.000Z</t>
  </si>
  <si>
    <t>GN3LjHNv6XE</t>
  </si>
  <si>
    <t>https://www.youtube.com/watch?v=GN3LjHNv6XE&amp;list=PLxKLMN7WdG5CjEObleDT2wm09IizUC5I6&amp;index=26</t>
  </si>
  <si>
    <t>SAY SÓNG: Jaysonlei “mắc cỡ” với người “sống chung” Negav, Hải Nam trầm tính U30 | SÓNG 26</t>
  </si>
  <si>
    <t>say song jaysonlei mac co voi nguoi song chung negav hai nam tram tinh u30 song 26</t>
  </si>
  <si>
    <t>2026-02-20T05:00:15.000Z</t>
  </si>
  <si>
    <t>nqGGuuAfYbU</t>
  </si>
  <si>
    <t>https://www.youtube.com/watch?v=nqGGuuAfYbU&amp;list=PLxKLMN7WdG5CjEObleDT2wm09IizUC5I6&amp;index=11</t>
  </si>
  <si>
    <t>Nhận cái ôm ấm áp từ Sơn.K #song26 #song#sonk</t>
  </si>
  <si>
    <t>nhan cai om am ap tu son k song26 song sonk</t>
  </si>
  <si>
    <t>2026-02-14T07:15:04.000Z</t>
  </si>
  <si>
    <t>KtzDreosgBg</t>
  </si>
  <si>
    <t>https://www.youtube.com/watch?v=KtzDreosgBg&amp;list=PLxKLMN7WdG5CjEObleDT2wm09IizUC5I6&amp;index=17</t>
  </si>
  <si>
    <t>Mashup tình ca ngọt ngào: Người Đầu Tiên, Giờ Thì, Giữ Anh Cho Ngày Hôm Qua | Sóng 26 [Live Stage]</t>
  </si>
  <si>
    <t>mashup tinh ca ngot ngao nguoi dau tien gio thi giu anh cho ngay hom qua song 26 live stage</t>
  </si>
  <si>
    <t>2026-02-17T03:00:32.000Z</t>
  </si>
  <si>
    <t>R58oI7z4Zg4</t>
  </si>
  <si>
    <t>https://www.youtube.com/watch?v=R58oI7z4Zg4&amp;list=PLxKLMN7WdG5CjEObleDT2wm09IizUC5I6&amp;index=27</t>
  </si>
  <si>
    <t>SAY SÓNG: JeyB tiết lộ về dự án mới, nhắn gửi đến Mẹ cực tình cảm | SÓNG 26</t>
  </si>
  <si>
    <t>say song jeyb tiet lo ve du an moi nhan gui den me cuc tinh cam song 26</t>
  </si>
  <si>
    <t>2026-02-23T12:00:42.000Z</t>
  </si>
  <si>
    <t>Yvs-kXuxzFw</t>
  </si>
  <si>
    <t>https://www.youtube.com/watch?v=Yvs-kXuxzFw&amp;list=PLxKLMN7WdG5CjEObleDT2wm09IizUC5I6&amp;index=13</t>
  </si>
  <si>
    <t>HIGHLIGHT: B Ray Sơn.K “cắm nến thành tựu”, RHYDER Juky San Dương Domic tiết lộ điều “đắm chìm”</t>
  </si>
  <si>
    <t>highlight b ray son k cam nen thanh tuu rhyder juky san duong domic tiet lo dieu dam chim</t>
  </si>
  <si>
    <t>2026-02-14T13:01:04.000Z</t>
  </si>
  <si>
    <t>yVThX5igmUA</t>
  </si>
  <si>
    <t>https://www.youtube.com/watch?v=yVThX5igmUA&amp;list=PLxKLMN7WdG5CjEObleDT2wm09IizUC5I6&amp;index=25</t>
  </si>
  <si>
    <t>SAY SÓNG: Vương Bình “nũng nịu” nhận lì xì, bắt trọn TONGTAI Quang Hùng reherasal Lò Vi Sóng|SÓNG 26</t>
  </si>
  <si>
    <t>say song vuong binh nung niu nhan li xi bat tron tongtai quang hung reherasal lo vi song song 26</t>
  </si>
  <si>
    <t>2026-02-19T12:01:42.000Z</t>
  </si>
  <si>
    <t>Episode Registry Dashboard</t>
  </si>
  <si>
    <t>Auto-updating summary from tblEpisodes — add new records directly beneath the source table.</t>
  </si>
  <si>
    <t>Total Records</t>
  </si>
  <si>
    <t>Included Episodes</t>
  </si>
  <si>
    <t>Include Rate</t>
  </si>
  <si>
    <t>Included Views</t>
  </si>
  <si>
    <t>Distinct Shows</t>
  </si>
  <si>
    <t>Distinct Seasons</t>
  </si>
  <si>
    <t>Avg Views / Included</t>
  </si>
  <si>
    <t>Needs Review</t>
  </si>
  <si>
    <t>Status &amp; Coverage</t>
  </si>
  <si>
    <t>Show Performance</t>
  </si>
  <si>
    <t>Top Included Episodes by Views</t>
  </si>
  <si>
    <t>Show</t>
  </si>
  <si>
    <t>Season Year</t>
  </si>
  <si>
    <t>Episode</t>
  </si>
  <si>
    <t>Title</t>
  </si>
  <si>
    <t>Views</t>
  </si>
  <si>
    <t>Views / Day</t>
  </si>
  <si>
    <t>Review Status</t>
  </si>
  <si>
    <t>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</si>
</sst>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,,,&quot;B&quot;"/>
    <numFmt numFmtId="166" formatCode="0.0,,&quot;M&quot;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222222"/>
      <name val="Aptos"/>
      <family val="2"/>
    </font>
    <font>
      <b/>
      <sz val="10"/>
      <color rgb="FFFFFFFF"/>
      <name val="Aptos"/>
      <family val="2"/>
    </font>
    <font>
      <b/>
      <sz val="18"/>
      <color rgb="FFFFFFFF"/>
      <name val="Aptos"/>
      <family val="2"/>
    </font>
    <font>
      <i/>
      <sz val="10"/>
      <color rgb="FF5B6573"/>
      <name val="Aptos"/>
      <family val="2"/>
    </font>
    <font>
      <b/>
      <sz val="11"/>
      <color rgb="FF44546A"/>
      <name val="Aptos"/>
      <family val="2"/>
    </font>
    <font>
      <b/>
      <sz val="20"/>
      <color rgb="FF1F1F1F"/>
      <name val="Aptos"/>
      <family val="2"/>
    </font>
    <font>
      <b/>
      <sz val="11"/>
      <color rgb="FFFFFFFF"/>
      <name val="Aptos"/>
      <family val="2"/>
    </font>
    <font>
      <sz val="9"/>
      <color rgb="FF222222"/>
      <name val="Aptos"/>
      <family val="2"/>
    </font>
    <font>
      <b/>
      <sz val="10"/>
      <color rgb="FF1F1F1F"/>
      <name val="Aptos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8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18" fillId="0" borderId="0" xfId="0" applyFont="1" applyAlignment="1">
      <alignment vertical="center"/>
    </xf>
    <xf numFmtId="0" fontId="20" fillId="33" borderId="0" xfId="0" applyFont="1" applyFill="1" applyAlignment="1">
      <alignment vertical="center"/>
    </xf>
    <xf numFmtId="0" fontId="21" fillId="34" borderId="0" xfId="0" applyFont="1" applyFill="1" applyAlignment="1">
      <alignment vertical="center"/>
    </xf>
    <xf numFmtId="0" fontId="21" fillId="34" borderId="0" xfId="0" applyFont="1" applyFill="1" applyAlignment="1">
      <alignment horizontal="right" vertical="center"/>
    </xf>
    <xf numFmtId="0" fontId="18" fillId="35" borderId="0" xfId="0" applyFont="1" applyFill="1" applyAlignment="1">
      <alignment vertical="center"/>
    </xf>
    <xf numFmtId="0" fontId="18" fillId="36" borderId="0" xfId="0" applyFont="1" applyFill="1" applyAlignment="1">
      <alignment vertical="center"/>
    </xf>
    <xf numFmtId="0" fontId="18" fillId="37" borderId="0" xfId="0" applyFont="1" applyFill="1" applyAlignment="1">
      <alignment vertical="center"/>
    </xf>
    <xf numFmtId="0" fontId="18" fillId="38" borderId="0" xfId="0" applyFont="1" applyFill="1" applyAlignment="1">
      <alignment vertical="center"/>
    </xf>
    <xf numFmtId="0" fontId="18" fillId="39" borderId="0" xfId="0" applyFont="1" applyFill="1" applyAlignment="1">
      <alignment vertical="center"/>
    </xf>
    <xf numFmtId="0" fontId="18" fillId="40" borderId="0" xfId="0" applyFont="1" applyFill="1" applyAlignment="1">
      <alignment vertical="center"/>
    </xf>
    <xf numFmtId="0" fontId="22" fillId="35" borderId="0" xfId="0" applyFont="1" applyFill="1" applyAlignment="1">
      <alignment vertical="center"/>
    </xf>
    <xf numFmtId="0" fontId="22" fillId="36" borderId="0" xfId="0" applyFont="1" applyFill="1" applyAlignment="1">
      <alignment vertical="center"/>
    </xf>
    <xf numFmtId="0" fontId="22" fillId="37" borderId="0" xfId="0" applyFont="1" applyFill="1" applyAlignment="1">
      <alignment vertical="center"/>
    </xf>
    <xf numFmtId="0" fontId="22" fillId="38" borderId="0" xfId="0" applyFont="1" applyFill="1" applyAlignment="1">
      <alignment vertical="center"/>
    </xf>
    <xf numFmtId="0" fontId="22" fillId="39" borderId="0" xfId="0" applyFont="1" applyFill="1" applyAlignment="1">
      <alignment vertical="center"/>
    </xf>
    <xf numFmtId="0" fontId="22" fillId="40" borderId="0" xfId="0" applyFont="1" applyFill="1" applyAlignment="1">
      <alignment vertical="center"/>
    </xf>
    <xf numFmtId="3" fontId="23" fillId="35" borderId="0" xfId="0" applyNumberFormat="1" applyFont="1" applyFill="1" applyAlignment="1">
      <alignment vertical="center"/>
    </xf>
    <xf numFmtId="3" fontId="23" fillId="36" borderId="0" xfId="0" applyNumberFormat="1" applyFont="1" applyFill="1" applyAlignment="1">
      <alignment vertical="center"/>
    </xf>
    <xf numFmtId="164" fontId="23" fillId="37" borderId="0" xfId="0" applyNumberFormat="1" applyFont="1" applyFill="1" applyAlignment="1">
      <alignment vertical="center"/>
    </xf>
    <xf numFmtId="165" fontId="23" fillId="38" borderId="0" xfId="0" applyNumberFormat="1" applyFont="1" applyFill="1" applyAlignment="1">
      <alignment vertical="center"/>
    </xf>
    <xf numFmtId="3" fontId="23" fillId="39" borderId="0" xfId="0" applyNumberFormat="1" applyFont="1" applyFill="1" applyAlignment="1">
      <alignment vertical="center"/>
    </xf>
    <xf numFmtId="166" fontId="23" fillId="36" borderId="0" xfId="0" applyNumberFormat="1" applyFont="1" applyFill="1" applyAlignment="1">
      <alignment vertical="center"/>
    </xf>
    <xf numFmtId="3" fontId="23" fillId="40" borderId="0" xfId="0" applyNumberFormat="1" applyFont="1" applyFill="1" applyAlignment="1">
      <alignment vertical="center"/>
    </xf>
    <xf numFmtId="0" fontId="19" fillId="42" borderId="0" xfId="0" applyFont="1" applyFill="1" applyAlignment="1">
      <alignment horizontal="center" vertic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3" fontId="25" fillId="0" borderId="0" xfId="0" applyNumberFormat="1" applyFont="1" applyAlignment="1">
      <alignment horizontal="right" vertical="center"/>
    </xf>
    <xf numFmtId="0" fontId="26" fillId="43" borderId="0" xfId="0" applyFont="1" applyFill="1" applyAlignment="1">
      <alignment vertical="center"/>
    </xf>
    <xf numFmtId="3" fontId="18" fillId="0" borderId="0" xfId="0" applyNumberFormat="1" applyFont="1" applyAlignment="1">
      <alignment vertical="center"/>
    </xf>
    <xf numFmtId="0" fontId="24" fillId="41" borderId="0" xfId="0" applyFont="1" applyFill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Shows by Included Views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Dashboard!$K$65</c:f>
              <c:strCache>
                <c:ptCount val="1"/>
                <c:pt idx="0">
                  <c:v>Included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Dashboard!$J$66:$J$75</c:f>
              <c:strCache>
                <c:ptCount val="10"/>
                <c:pt idx="0">
                  <c:v>2 Ngày 1 Đêm</c:v>
                </c:pt>
                <c:pt idx="1">
                  <c:v>Sao Nhập Ngũ</c:v>
                </c:pt>
                <c:pt idx="2">
                  <c:v>Running Man Vietnam</c:v>
                </c:pt>
                <c:pt idx="3">
                  <c:v>Anh Trai "Say Hi"</c:v>
                </c:pt>
                <c:pt idx="4">
                  <c:v>Hành Trình Rực Rỡ</c:v>
                </c:pt>
                <c:pt idx="5">
                  <c:v>Rap Việt</c:v>
                </c:pt>
                <c:pt idx="6">
                  <c:v>Em Xinh "Say Hi"</c:v>
                </c:pt>
                <c:pt idx="7">
                  <c:v>Chị Đẹp Đạp Gió</c:v>
                </c:pt>
                <c:pt idx="8">
                  <c:v>Anh Trai Vượt Ngàn Chông Gai</c:v>
                </c:pt>
                <c:pt idx="9">
                  <c:v>Tân Binh Toàn Năng</c:v>
                </c:pt>
              </c:strCache>
            </c:strRef>
          </c:cat>
          <c:val>
            <c:numRef>
              <c:f>Dashboard!$K$66:$K$75</c:f>
              <c:numCache>
                <c:formatCode>#,##0</c:formatCode>
                <c:ptCount val="10"/>
                <c:pt idx="0">
                  <c:v>650157367</c:v>
                </c:pt>
                <c:pt idx="1">
                  <c:v>453881943</c:v>
                </c:pt>
                <c:pt idx="2">
                  <c:v>327133338</c:v>
                </c:pt>
                <c:pt idx="3">
                  <c:v>319204882</c:v>
                </c:pt>
                <c:pt idx="4">
                  <c:v>160120477</c:v>
                </c:pt>
                <c:pt idx="5">
                  <c:v>144069314</c:v>
                </c:pt>
                <c:pt idx="6">
                  <c:v>120605993</c:v>
                </c:pt>
                <c:pt idx="7">
                  <c:v>101075172</c:v>
                </c:pt>
                <c:pt idx="8">
                  <c:v>93609748</c:v>
                </c:pt>
                <c:pt idx="9">
                  <c:v>71120478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A-47CC-AEB2-EC77D97EC8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490271"/>
        <c:axId val="617299855"/>
      </c:barChart>
      <c:catAx>
        <c:axId val="545490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99855"/>
        <c:crosses val="autoZero"/>
        <c:auto val="1"/>
        <c:lblAlgn val="ctr"/>
        <c:lblOffset val="100"/>
        <c:noMultiLvlLbl val="0"/>
      </c:catAx>
      <c:valAx>
        <c:axId val="617299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Views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49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Registry Records by Season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Dashboard!$D$65</c:f>
              <c:strCache>
                <c:ptCount val="1"/>
                <c:pt idx="0">
                  <c:v>Season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Dashboard!$D$66:$D$80</c:f>
              <c:numCache>
                <c:formatCode>General</c:formatCode>
                <c:ptCount val="15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A-4002-8E15-6EEE768ECCD6}"/>
            </c:ext>
          </c:extLst>
        </c:ser>
        <c:ser>
          <c:idx val="1"/>
          <c:order val="1"/>
          <c:tx>
            <c:strRef>
              <c:f>Dashboard!$E$65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Dashboard!$E$66:$E$80</c:f>
              <c:numCache>
                <c:formatCode>#,##0</c:formatCode>
                <c:ptCount val="15"/>
                <c:pt idx="0">
                  <c:v>37</c:v>
                </c:pt>
                <c:pt idx="1">
                  <c:v>48</c:v>
                </c:pt>
                <c:pt idx="2">
                  <c:v>19</c:v>
                </c:pt>
                <c:pt idx="3">
                  <c:v>39</c:v>
                </c:pt>
                <c:pt idx="4">
                  <c:v>42</c:v>
                </c:pt>
                <c:pt idx="5">
                  <c:v>257</c:v>
                </c:pt>
                <c:pt idx="6">
                  <c:v>214</c:v>
                </c:pt>
                <c:pt idx="7">
                  <c:v>296</c:v>
                </c:pt>
                <c:pt idx="8">
                  <c:v>304</c:v>
                </c:pt>
                <c:pt idx="9">
                  <c:v>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3A-4002-8E15-6EEE768E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5510687"/>
        <c:axId val="617296975"/>
      </c:barChart>
      <c:catAx>
        <c:axId val="5455106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96975"/>
        <c:crosses val="autoZero"/>
        <c:auto val="1"/>
        <c:lblAlgn val="ctr"/>
        <c:lblOffset val="100"/>
        <c:noMultiLvlLbl val="0"/>
      </c:catAx>
      <c:valAx>
        <c:axId val="6172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10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Shows by Included Episodes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Dashboard!$H$65</c:f>
              <c:strCache>
                <c:ptCount val="1"/>
                <c:pt idx="0">
                  <c:v>Included Episodes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Dashboard!$G$66:$G$75</c:f>
              <c:strCache>
                <c:ptCount val="10"/>
                <c:pt idx="0">
                  <c:v>Mái Ấm Gia Đình Việt</c:v>
                </c:pt>
                <c:pt idx="1">
                  <c:v>Sao Nhập Ngũ</c:v>
                </c:pt>
                <c:pt idx="2">
                  <c:v>2 Ngày 1 Đêm</c:v>
                </c:pt>
                <c:pt idx="3">
                  <c:v>Xuân Hạ Thu Đông, Rồi Lại Xuân</c:v>
                </c:pt>
                <c:pt idx="4">
                  <c:v>Running Man Vietnam</c:v>
                </c:pt>
                <c:pt idx="5">
                  <c:v>Chị Đẹp Đạp Gió</c:v>
                </c:pt>
                <c:pt idx="6">
                  <c:v>Anh Trai "Say Hi"</c:v>
                </c:pt>
                <c:pt idx="7">
                  <c:v>Anh Trai Vượt Ngàn Chông Gai</c:v>
                </c:pt>
                <c:pt idx="8">
                  <c:v>Hành Trình Rực Rỡ</c:v>
                </c:pt>
                <c:pt idx="9">
                  <c:v>Rap Việt</c:v>
                </c:pt>
              </c:strCache>
            </c:strRef>
          </c:cat>
          <c:val>
            <c:numRef>
              <c:f>Dashboard!$H$66:$H$75</c:f>
              <c:numCache>
                <c:formatCode>#,##0</c:formatCode>
                <c:ptCount val="10"/>
                <c:pt idx="0">
                  <c:v>175</c:v>
                </c:pt>
                <c:pt idx="1">
                  <c:v>141</c:v>
                </c:pt>
                <c:pt idx="2">
                  <c:v>96</c:v>
                </c:pt>
                <c:pt idx="3">
                  <c:v>35</c:v>
                </c:pt>
                <c:pt idx="4">
                  <c:v>31</c:v>
                </c:pt>
                <c:pt idx="5">
                  <c:v>30</c:v>
                </c:pt>
                <c:pt idx="6">
                  <c:v>28</c:v>
                </c:pt>
                <c:pt idx="7">
                  <c:v>21</c:v>
                </c:pt>
                <c:pt idx="8">
                  <c:v>21</c:v>
                </c:pt>
                <c:pt idx="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D-43DD-B43E-6CC212899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5598847"/>
        <c:axId val="617323375"/>
      </c:barChart>
      <c:catAx>
        <c:axId val="545598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23375"/>
        <c:crosses val="autoZero"/>
        <c:auto val="1"/>
        <c:lblAlgn val="ctr"/>
        <c:lblOffset val="100"/>
        <c:noMultiLvlLbl val="0"/>
      </c:catAx>
      <c:valAx>
        <c:axId val="61732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Episodes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98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Review Status Mix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Dashboard!$B$65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Dashboard!$A$66:$A$68</c:f>
              <c:strCache>
                <c:ptCount val="3"/>
                <c:pt idx="0">
                  <c:v>INCLUDE</c:v>
                </c:pt>
                <c:pt idx="1">
                  <c:v>EXCLUDE</c:v>
                </c:pt>
                <c:pt idx="2">
                  <c:v>REVIEW</c:v>
                </c:pt>
              </c:strCache>
            </c:strRef>
          </c:cat>
          <c:val>
            <c:numRef>
              <c:f>Dashboard!$B$66:$B$68</c:f>
              <c:numCache>
                <c:formatCode>#,##0</c:formatCode>
                <c:ptCount val="3"/>
                <c:pt idx="0">
                  <c:v>759</c:v>
                </c:pt>
                <c:pt idx="1">
                  <c:v>559</c:v>
                </c:pt>
                <c:pt idx="2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6-4855-A5D1-07EFEE72C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45553375"/>
        <c:axId val="617324815"/>
      </c:barChart>
      <c:catAx>
        <c:axId val="545553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24815"/>
        <c:crosses val="autoZero"/>
        <c:auto val="1"/>
        <c:lblAlgn val="ctr"/>
        <c:lblOffset val="100"/>
        <c:noMultiLvlLbl val="0"/>
      </c:catAx>
      <c:valAx>
        <c:axId val="61732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Records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53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3" name="chtTopShowsViews">
          <a:extLst>
            <a:ext uri="{FF2B5EF4-FFF2-40B4-BE49-F238E27FC236}">
              <a16:creationId xmlns:a16="http://schemas.microsoft.com/office/drawing/2014/main" id="{870DEC2A-12ED-61C3-13A2-2698E2C8E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0</xdr:colOff>
      <xdr:row>45</xdr:row>
      <xdr:rowOff>0</xdr:rowOff>
    </xdr:to>
    <xdr:graphicFrame macro="">
      <xdr:nvGraphicFramePr>
        <xdr:cNvPr id="4" name="chtSeasonYears">
          <a:extLst>
            <a:ext uri="{FF2B5EF4-FFF2-40B4-BE49-F238E27FC236}">
              <a16:creationId xmlns:a16="http://schemas.microsoft.com/office/drawing/2014/main" id="{E7F4EF4A-1EFD-C687-524C-DC710502E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5" name="chtTopShowsCount">
          <a:extLst>
            <a:ext uri="{FF2B5EF4-FFF2-40B4-BE49-F238E27FC236}">
              <a16:creationId xmlns:a16="http://schemas.microsoft.com/office/drawing/2014/main" id="{7AA4B26E-A1E8-6B84-3151-F6252F946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6" name="chtReviewStatus">
          <a:extLst>
            <a:ext uri="{FF2B5EF4-FFF2-40B4-BE49-F238E27FC236}">
              <a16:creationId xmlns:a16="http://schemas.microsoft.com/office/drawing/2014/main" id="{60A11860-FDA8-B384-4C86-D386F8ADC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9CF81F-B5EB-4FF7-A5E6-F99483AB92B6}" name="tblEpisodes" displayName="tblEpisodes" ref="A1:AP1391" totalsRowShown="0">
  <autoFilter ref="A1:AP1391" xr:uid="{C99CF81F-B5EB-4FF7-A5E6-F99483AB92B6}"/>
  <tableColumns count="42">
    <tableColumn id="1" xr3:uid="{E22C8706-6FBB-4ECE-8CB6-71A87BB36AC9}" name="show_id"/>
    <tableColumn id="2" xr3:uid="{F3C4716C-3C2B-42AC-B4AB-9E74E5FB6D9D}" name="show_name"/>
    <tableColumn id="3" xr3:uid="{E7F67AFE-8D88-4C8C-8480-17CDB6B12BDE}" name="season_id"/>
    <tableColumn id="4" xr3:uid="{7E2ED1CA-4ED0-4E54-A0DD-0178FA5E41B1}" name="season_year"/>
    <tableColumn id="5" xr3:uid="{10D82C2C-8899-43B5-89E4-D60F99F1A857}" name="season_status"/>
    <tableColumn id="6" xr3:uid="{13B562A0-94D8-4D60-81FF-4B609B7B5323}" name="format_type"/>
    <tableColumn id="7" xr3:uid="{2BA1C9AA-26F3-4B63-AB6B-B2B15DC57126}" name="episode_no"/>
    <tableColumn id="8" xr3:uid="{A7729C03-1F5B-4F88-BE18-DEB2D6C07078}" name="episode_label"/>
    <tableColumn id="9" xr3:uid="{6A1F3917-5876-4C38-9920-1B0B4FF087A8}" name="part_no"/>
    <tableColumn id="10" xr3:uid="{3561D5D3-8037-4C0A-A038-86EC66EB0087}" name="video_id"/>
    <tableColumn id="11" xr3:uid="{E80E5E0E-67CA-4304-A6DC-2A03BD7F50F9}" name="video_url"/>
    <tableColumn id="12" xr3:uid="{A49DFD41-A26E-42A1-ACF7-105A5536DD99}" name="title"/>
    <tableColumn id="13" xr3:uid="{B8709437-49CC-4D14-A889-4556DA67D949}" name="normalized_title"/>
    <tableColumn id="14" xr3:uid="{82E5C912-B04B-4F59-8F22-EC23FCD44DB7}" name="channel_id"/>
    <tableColumn id="15" xr3:uid="{6B0FD39E-BB51-4282-AAFD-F6EBCFE84651}" name="channel_name"/>
    <tableColumn id="16" xr3:uid="{9F66DE2B-AD71-4738-9A37-27B3C0207585}" name="channel_authority"/>
    <tableColumn id="17" xr3:uid="{63293895-75A9-49FF-BC9A-6B4BA8FABA7F}" name="playlist_id"/>
    <tableColumn id="18" xr3:uid="{2BD2B2FB-1FFB-4C0D-AD98-9D2CE3516EB0}" name="playlist_name"/>
    <tableColumn id="19" xr3:uid="{673B94F2-10E0-4437-9F25-BBACCFB2CC22}" name="playlist_position"/>
    <tableColumn id="20" xr3:uid="{F52834B1-BB27-4977-8BBD-53955BA6198D}" name="published_at"/>
    <tableColumn id="21" xr3:uid="{58864AF7-669D-4877-B545-A2753548D6E4}" name="duration_seconds"/>
    <tableColumn id="22" xr3:uid="{57BD05ED-DFF8-4154-9D90-D0715696AA9A}" name="season_median_duration"/>
    <tableColumn id="23" xr3:uid="{DE2A18A5-22C6-4909-BEAA-4AF9FC292D3C}" name="duration_ratio"/>
    <tableColumn id="24" xr3:uid="{3643703F-C461-42A6-808C-87D9802196EB}" name="duration_flag"/>
    <tableColumn id="25" xr3:uid="{7D2BBFFB-7E38-4C2E-B15C-60A2D038D775}" name="snapshot_at"/>
    <tableColumn id="26" xr3:uid="{62AC1567-CDDC-47BA-874D-8610D05288C2}" name="age_days"/>
    <tableColumn id="27" xr3:uid="{003E97C6-1536-47EE-9937-62C0FDF9E229}" name="lifetime_views_per_day"/>
    <tableColumn id="28" xr3:uid="{F5EDBD67-E467-475B-A144-54043CC35244}" name="view_count"/>
    <tableColumn id="29" xr3:uid="{52A6C751-6331-4BA8-98DF-161BB7CE1D07}" name="mainshow_flag"/>
    <tableColumn id="30" xr3:uid="{754307AE-E617-4E3A-9FBD-AD37E43B8CF5}" name="canonical_flag"/>
    <tableColumn id="31" xr3:uid="{AAB5740F-B7D9-49D1-A4DE-11578885CB36}" name="split_episode_flag"/>
    <tableColumn id="32" xr3:uid="{996EEC49-4D59-4D9C-B361-2B9FEEE5366E}" name="reupload_flag"/>
    <tableColumn id="33" xr3:uid="{E48F0252-13B1-4A4A-8642-F8D0DB1CF11E}" name="availability_status"/>
    <tableColumn id="34" xr3:uid="{95B7404D-F087-46D1-BC27-BF2923819E80}" name="classifier_score"/>
    <tableColumn id="35" xr3:uid="{BFC6252B-3FC5-49D1-851B-5EB4ECD5BEF8}" name="classifier_confidence"/>
    <tableColumn id="36" xr3:uid="{DDC22D03-6EBF-4E0E-8DBF-CF13E074A89C}" name="review_status"/>
    <tableColumn id="37" xr3:uid="{5E45516D-470F-4F00-8AF8-78A9A37A90AB}" name="exclusion_reason"/>
    <tableColumn id="38" xr3:uid="{91C06C87-7351-4964-BDAC-362C0F5D17FD}" name="notes"/>
    <tableColumn id="39" xr3:uid="{B79F2E31-4187-4254-9E43-F6CD043020E2}" name="discovery_method"/>
    <tableColumn id="40" xr3:uid="{861C1D58-4105-4555-A210-068CB622B981}" name="actor_name"/>
    <tableColumn id="41" xr3:uid="{C490B0CC-2D6E-4248-9E0E-EBED1E62752F}" name="actor_run_id"/>
    <tableColumn id="42" xr3:uid="{F7DE5B32-E764-43E9-A998-266C3F64F59C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6DF21ED-9D60-4F88-B16E-5C9CF197C123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f5030242-fc6a-4b90-b96b-34b62abd63c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00318-8DC1-466C-97F3-34515ABD813B}">
  <dimension ref="A1:AP139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2" max="2" width="12.06640625" customWidth="1"/>
    <col min="3" max="3" width="10.53125" customWidth="1"/>
    <col min="4" max="4" width="12.53125" customWidth="1"/>
    <col min="5" max="5" width="13.9296875" customWidth="1"/>
    <col min="6" max="6" width="12.19921875" customWidth="1"/>
    <col min="7" max="7" width="11.73046875" customWidth="1"/>
    <col min="8" max="8" width="13.73046875" customWidth="1"/>
    <col min="10" max="10" width="9.19921875" customWidth="1"/>
    <col min="11" max="11" width="9.9296875" customWidth="1"/>
    <col min="13" max="13" width="15.53125" customWidth="1"/>
    <col min="14" max="14" width="11.265625" customWidth="1"/>
    <col min="15" max="15" width="14.265625" customWidth="1"/>
    <col min="16" max="16" width="16.9296875" customWidth="1"/>
    <col min="17" max="17" width="10.6640625" customWidth="1"/>
    <col min="18" max="18" width="13.6640625" customWidth="1"/>
    <col min="19" max="19" width="15.59765625" customWidth="1"/>
    <col min="20" max="20" width="12.796875" customWidth="1"/>
    <col min="21" max="21" width="16.73046875" customWidth="1"/>
    <col min="22" max="22" width="22.46484375" customWidth="1"/>
    <col min="23" max="23" width="13.73046875" customWidth="1"/>
    <col min="24" max="24" width="13" customWidth="1"/>
    <col min="25" max="25" width="12.19921875" customWidth="1"/>
    <col min="26" max="26" width="9.86328125" customWidth="1"/>
    <col min="27" max="27" width="21.19921875" customWidth="1"/>
    <col min="28" max="28" width="11.59765625" customWidth="1"/>
    <col min="29" max="29" width="14.46484375" customWidth="1"/>
    <col min="30" max="30" width="14.06640625" customWidth="1"/>
    <col min="31" max="31" width="16.9296875" customWidth="1"/>
    <col min="32" max="32" width="13.46484375" customWidth="1"/>
    <col min="33" max="33" width="16.86328125" customWidth="1"/>
    <col min="34" max="34" width="15.19921875" customWidth="1"/>
    <col min="35" max="35" width="19.6640625" customWidth="1"/>
    <col min="36" max="36" width="13.59765625" customWidth="1"/>
    <col min="37" max="37" width="16.53125" customWidth="1"/>
    <col min="39" max="39" width="17.19921875" customWidth="1"/>
    <col min="40" max="40" width="12" customWidth="1"/>
    <col min="41" max="41" width="12.46484375" customWidth="1"/>
    <col min="42" max="42" width="11.06640625" customWidth="1"/>
  </cols>
  <sheetData>
    <row r="1" spans="1:4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45">
      <c r="A2" t="s">
        <v>42</v>
      </c>
      <c r="B2" t="s">
        <v>43</v>
      </c>
      <c r="C2" t="s">
        <v>44</v>
      </c>
      <c r="D2">
        <v>2024</v>
      </c>
      <c r="E2" t="s">
        <v>45</v>
      </c>
      <c r="F2" t="s">
        <v>46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S2">
        <v>21</v>
      </c>
      <c r="T2" t="s">
        <v>55</v>
      </c>
      <c r="U2">
        <v>282</v>
      </c>
      <c r="V2">
        <v>11619</v>
      </c>
      <c r="W2">
        <v>2.4299999999999999E-2</v>
      </c>
      <c r="X2" t="s">
        <v>56</v>
      </c>
      <c r="Y2" t="s">
        <v>57</v>
      </c>
      <c r="Z2">
        <v>913.07</v>
      </c>
      <c r="AA2">
        <v>116.41</v>
      </c>
      <c r="AB2">
        <v>106288</v>
      </c>
      <c r="AC2" t="b">
        <v>0</v>
      </c>
      <c r="AD2" t="b">
        <v>0</v>
      </c>
      <c r="AE2" t="b">
        <v>0</v>
      </c>
      <c r="AF2" t="b">
        <v>0</v>
      </c>
      <c r="AG2" t="s">
        <v>58</v>
      </c>
      <c r="AH2">
        <v>10</v>
      </c>
      <c r="AI2" t="s">
        <v>59</v>
      </c>
      <c r="AJ2" t="s">
        <v>60</v>
      </c>
      <c r="AL2" t="s">
        <v>61</v>
      </c>
      <c r="AM2" t="s">
        <v>62</v>
      </c>
      <c r="AN2" t="s">
        <v>63</v>
      </c>
      <c r="AO2" t="s">
        <v>64</v>
      </c>
      <c r="AP2" t="s">
        <v>48</v>
      </c>
    </row>
    <row r="3" spans="1:42" x14ac:dyDescent="0.45">
      <c r="A3" t="s">
        <v>42</v>
      </c>
      <c r="B3" t="s">
        <v>43</v>
      </c>
      <c r="C3" t="s">
        <v>44</v>
      </c>
      <c r="D3">
        <v>2024</v>
      </c>
      <c r="E3" t="s">
        <v>45</v>
      </c>
      <c r="F3" t="s">
        <v>46</v>
      </c>
      <c r="G3">
        <v>8</v>
      </c>
      <c r="J3" t="s">
        <v>65</v>
      </c>
      <c r="K3" t="s">
        <v>66</v>
      </c>
      <c r="L3" t="s">
        <v>67</v>
      </c>
      <c r="M3" t="s">
        <v>68</v>
      </c>
      <c r="N3" t="s">
        <v>51</v>
      </c>
      <c r="O3" t="s">
        <v>52</v>
      </c>
      <c r="P3" t="s">
        <v>53</v>
      </c>
      <c r="Q3" t="s">
        <v>54</v>
      </c>
      <c r="S3">
        <v>7</v>
      </c>
      <c r="T3" t="s">
        <v>69</v>
      </c>
      <c r="U3">
        <v>12639</v>
      </c>
      <c r="V3">
        <v>11619</v>
      </c>
      <c r="W3">
        <v>1.0878000000000001</v>
      </c>
      <c r="X3" t="s">
        <v>70</v>
      </c>
      <c r="Y3" t="s">
        <v>57</v>
      </c>
      <c r="Z3">
        <v>731.7</v>
      </c>
      <c r="AA3">
        <v>19032.669999999998</v>
      </c>
      <c r="AB3">
        <v>13926152</v>
      </c>
      <c r="AC3" t="b">
        <v>1</v>
      </c>
      <c r="AD3" t="b">
        <v>1</v>
      </c>
      <c r="AE3" t="b">
        <v>0</v>
      </c>
      <c r="AF3" t="b">
        <v>0</v>
      </c>
      <c r="AG3" t="s">
        <v>58</v>
      </c>
      <c r="AH3">
        <v>20</v>
      </c>
      <c r="AI3" t="s">
        <v>59</v>
      </c>
      <c r="AJ3" t="s">
        <v>71</v>
      </c>
      <c r="AL3" t="s">
        <v>72</v>
      </c>
      <c r="AM3" t="s">
        <v>62</v>
      </c>
      <c r="AN3" t="s">
        <v>63</v>
      </c>
      <c r="AO3" t="s">
        <v>64</v>
      </c>
      <c r="AP3" t="s">
        <v>66</v>
      </c>
    </row>
    <row r="4" spans="1:42" x14ac:dyDescent="0.45">
      <c r="A4" t="s">
        <v>42</v>
      </c>
      <c r="B4" t="s">
        <v>43</v>
      </c>
      <c r="C4" t="s">
        <v>44</v>
      </c>
      <c r="D4">
        <v>2024</v>
      </c>
      <c r="E4" t="s">
        <v>45</v>
      </c>
      <c r="F4" t="s">
        <v>46</v>
      </c>
      <c r="J4" t="s">
        <v>73</v>
      </c>
      <c r="K4" t="s">
        <v>74</v>
      </c>
      <c r="L4" t="s">
        <v>75</v>
      </c>
      <c r="M4" t="s">
        <v>76</v>
      </c>
      <c r="N4" t="s">
        <v>51</v>
      </c>
      <c r="O4" t="s">
        <v>52</v>
      </c>
      <c r="P4" t="s">
        <v>53</v>
      </c>
      <c r="Q4" t="s">
        <v>54</v>
      </c>
      <c r="S4">
        <v>23</v>
      </c>
      <c r="T4" t="s">
        <v>77</v>
      </c>
      <c r="U4">
        <v>740</v>
      </c>
      <c r="V4">
        <v>11619</v>
      </c>
      <c r="W4">
        <v>6.3700000000000007E-2</v>
      </c>
      <c r="X4" t="s">
        <v>56</v>
      </c>
      <c r="Y4" t="s">
        <v>57</v>
      </c>
      <c r="Z4">
        <v>838.99</v>
      </c>
      <c r="AA4">
        <v>12.89</v>
      </c>
      <c r="AB4">
        <v>10815</v>
      </c>
      <c r="AC4" t="b">
        <v>0</v>
      </c>
      <c r="AD4" t="b">
        <v>0</v>
      </c>
      <c r="AE4" t="b">
        <v>0</v>
      </c>
      <c r="AF4" t="b">
        <v>0</v>
      </c>
      <c r="AG4" t="s">
        <v>58</v>
      </c>
      <c r="AH4">
        <v>-15</v>
      </c>
      <c r="AI4" t="s">
        <v>59</v>
      </c>
      <c r="AJ4" t="s">
        <v>60</v>
      </c>
      <c r="AK4" t="s">
        <v>78</v>
      </c>
      <c r="AL4" t="s">
        <v>79</v>
      </c>
      <c r="AM4" t="s">
        <v>62</v>
      </c>
      <c r="AN4" t="s">
        <v>63</v>
      </c>
      <c r="AO4" t="s">
        <v>64</v>
      </c>
      <c r="AP4" t="s">
        <v>74</v>
      </c>
    </row>
    <row r="5" spans="1:42" x14ac:dyDescent="0.45">
      <c r="A5" t="s">
        <v>42</v>
      </c>
      <c r="B5" t="s">
        <v>43</v>
      </c>
      <c r="C5" t="s">
        <v>44</v>
      </c>
      <c r="D5">
        <v>2024</v>
      </c>
      <c r="E5" t="s">
        <v>45</v>
      </c>
      <c r="F5" t="s">
        <v>46</v>
      </c>
      <c r="G5">
        <v>2</v>
      </c>
      <c r="J5" t="s">
        <v>80</v>
      </c>
      <c r="K5" t="s">
        <v>81</v>
      </c>
      <c r="L5" t="s">
        <v>82</v>
      </c>
      <c r="M5" t="s">
        <v>83</v>
      </c>
      <c r="N5" t="s">
        <v>51</v>
      </c>
      <c r="O5" t="s">
        <v>52</v>
      </c>
      <c r="P5" t="s">
        <v>53</v>
      </c>
      <c r="Q5" t="s">
        <v>54</v>
      </c>
      <c r="S5">
        <v>13</v>
      </c>
      <c r="T5" t="s">
        <v>84</v>
      </c>
      <c r="U5">
        <v>9512</v>
      </c>
      <c r="V5">
        <v>11619</v>
      </c>
      <c r="W5">
        <v>0.81869999999999998</v>
      </c>
      <c r="X5" t="s">
        <v>70</v>
      </c>
      <c r="Y5" t="s">
        <v>57</v>
      </c>
      <c r="Z5">
        <v>780.7</v>
      </c>
      <c r="AA5">
        <v>14536.34</v>
      </c>
      <c r="AB5">
        <v>11348483</v>
      </c>
      <c r="AC5" t="b">
        <v>1</v>
      </c>
      <c r="AD5" t="b">
        <v>1</v>
      </c>
      <c r="AE5" t="b">
        <v>0</v>
      </c>
      <c r="AF5" t="b">
        <v>0</v>
      </c>
      <c r="AG5" t="s">
        <v>58</v>
      </c>
      <c r="AH5">
        <v>20</v>
      </c>
      <c r="AI5" t="s">
        <v>59</v>
      </c>
      <c r="AJ5" t="s">
        <v>71</v>
      </c>
      <c r="AL5" t="s">
        <v>72</v>
      </c>
      <c r="AM5" t="s">
        <v>62</v>
      </c>
      <c r="AN5" t="s">
        <v>63</v>
      </c>
      <c r="AO5" t="s">
        <v>64</v>
      </c>
      <c r="AP5" t="s">
        <v>81</v>
      </c>
    </row>
    <row r="6" spans="1:42" x14ac:dyDescent="0.45">
      <c r="A6" t="s">
        <v>42</v>
      </c>
      <c r="B6" t="s">
        <v>43</v>
      </c>
      <c r="C6" t="s">
        <v>44</v>
      </c>
      <c r="D6">
        <v>2024</v>
      </c>
      <c r="E6" t="s">
        <v>45</v>
      </c>
      <c r="F6" t="s">
        <v>46</v>
      </c>
      <c r="G6">
        <v>9</v>
      </c>
      <c r="J6" t="s">
        <v>85</v>
      </c>
      <c r="K6" t="s">
        <v>86</v>
      </c>
      <c r="L6" t="s">
        <v>87</v>
      </c>
      <c r="M6" t="s">
        <v>88</v>
      </c>
      <c r="N6" t="s">
        <v>89</v>
      </c>
      <c r="O6" t="s">
        <v>90</v>
      </c>
      <c r="P6" t="s">
        <v>91</v>
      </c>
      <c r="Q6" t="s">
        <v>54</v>
      </c>
      <c r="S6">
        <v>6</v>
      </c>
      <c r="T6" t="s">
        <v>92</v>
      </c>
      <c r="U6">
        <v>15596</v>
      </c>
      <c r="V6">
        <v>11619</v>
      </c>
      <c r="W6">
        <v>1.3423</v>
      </c>
      <c r="X6" t="s">
        <v>70</v>
      </c>
      <c r="Y6" t="s">
        <v>57</v>
      </c>
      <c r="Z6">
        <v>724.7</v>
      </c>
      <c r="AA6">
        <v>22577.72</v>
      </c>
      <c r="AB6">
        <v>16362008</v>
      </c>
      <c r="AC6" t="b">
        <v>1</v>
      </c>
      <c r="AD6" t="b">
        <v>1</v>
      </c>
      <c r="AE6" t="b">
        <v>0</v>
      </c>
      <c r="AF6" t="b">
        <v>0</v>
      </c>
      <c r="AG6" t="s">
        <v>58</v>
      </c>
      <c r="AH6">
        <v>20</v>
      </c>
      <c r="AI6" t="s">
        <v>59</v>
      </c>
      <c r="AJ6" t="s">
        <v>71</v>
      </c>
      <c r="AL6" t="s">
        <v>72</v>
      </c>
      <c r="AM6" t="s">
        <v>62</v>
      </c>
      <c r="AN6" t="s">
        <v>63</v>
      </c>
      <c r="AO6" t="s">
        <v>64</v>
      </c>
      <c r="AP6" t="s">
        <v>86</v>
      </c>
    </row>
    <row r="7" spans="1:42" x14ac:dyDescent="0.45">
      <c r="A7" t="s">
        <v>42</v>
      </c>
      <c r="B7" t="s">
        <v>43</v>
      </c>
      <c r="C7" t="s">
        <v>44</v>
      </c>
      <c r="D7">
        <v>2024</v>
      </c>
      <c r="E7" t="s">
        <v>45</v>
      </c>
      <c r="F7" t="s">
        <v>46</v>
      </c>
      <c r="G7">
        <v>1</v>
      </c>
      <c r="J7" t="s">
        <v>93</v>
      </c>
      <c r="K7" t="s">
        <v>94</v>
      </c>
      <c r="L7" t="s">
        <v>95</v>
      </c>
      <c r="M7" t="s">
        <v>96</v>
      </c>
      <c r="N7" t="s">
        <v>51</v>
      </c>
      <c r="O7" t="s">
        <v>52</v>
      </c>
      <c r="P7" t="s">
        <v>53</v>
      </c>
      <c r="Q7" t="s">
        <v>54</v>
      </c>
      <c r="S7">
        <v>14</v>
      </c>
      <c r="T7" t="s">
        <v>97</v>
      </c>
      <c r="U7">
        <v>12568</v>
      </c>
      <c r="V7">
        <v>11619</v>
      </c>
      <c r="W7">
        <v>1.0817000000000001</v>
      </c>
      <c r="X7" t="s">
        <v>70</v>
      </c>
      <c r="Y7" t="s">
        <v>57</v>
      </c>
      <c r="Z7">
        <v>787.7</v>
      </c>
      <c r="AA7">
        <v>27818.76</v>
      </c>
      <c r="AB7">
        <v>21912757</v>
      </c>
      <c r="AC7" t="b">
        <v>1</v>
      </c>
      <c r="AD7" t="b">
        <v>1</v>
      </c>
      <c r="AE7" t="b">
        <v>0</v>
      </c>
      <c r="AF7" t="b">
        <v>0</v>
      </c>
      <c r="AG7" t="s">
        <v>58</v>
      </c>
      <c r="AH7">
        <v>20</v>
      </c>
      <c r="AI7" t="s">
        <v>59</v>
      </c>
      <c r="AJ7" t="s">
        <v>71</v>
      </c>
      <c r="AL7" t="s">
        <v>72</v>
      </c>
      <c r="AM7" t="s">
        <v>62</v>
      </c>
      <c r="AN7" t="s">
        <v>63</v>
      </c>
      <c r="AO7" t="s">
        <v>64</v>
      </c>
      <c r="AP7" t="s">
        <v>94</v>
      </c>
    </row>
    <row r="8" spans="1:42" x14ac:dyDescent="0.45">
      <c r="A8" t="s">
        <v>42</v>
      </c>
      <c r="B8" t="s">
        <v>43</v>
      </c>
      <c r="C8" t="s">
        <v>44</v>
      </c>
      <c r="D8">
        <v>2024</v>
      </c>
      <c r="E8" t="s">
        <v>45</v>
      </c>
      <c r="F8" t="s">
        <v>46</v>
      </c>
      <c r="G8">
        <v>3</v>
      </c>
      <c r="J8" t="s">
        <v>98</v>
      </c>
      <c r="K8" t="s">
        <v>99</v>
      </c>
      <c r="L8" t="s">
        <v>100</v>
      </c>
      <c r="M8" t="s">
        <v>101</v>
      </c>
      <c r="N8" t="s">
        <v>51</v>
      </c>
      <c r="O8" t="s">
        <v>52</v>
      </c>
      <c r="P8" t="s">
        <v>53</v>
      </c>
      <c r="Q8" t="s">
        <v>54</v>
      </c>
      <c r="S8">
        <v>12</v>
      </c>
      <c r="T8" t="s">
        <v>102</v>
      </c>
      <c r="U8">
        <v>12251</v>
      </c>
      <c r="V8">
        <v>11619</v>
      </c>
      <c r="W8">
        <v>1.0544</v>
      </c>
      <c r="X8" t="s">
        <v>70</v>
      </c>
      <c r="Y8" t="s">
        <v>57</v>
      </c>
      <c r="Z8">
        <v>773.7</v>
      </c>
      <c r="AA8">
        <v>23750.26</v>
      </c>
      <c r="AB8">
        <v>18375507</v>
      </c>
      <c r="AC8" t="b">
        <v>1</v>
      </c>
      <c r="AD8" t="b">
        <v>1</v>
      </c>
      <c r="AE8" t="b">
        <v>0</v>
      </c>
      <c r="AF8" t="b">
        <v>0</v>
      </c>
      <c r="AG8" t="s">
        <v>58</v>
      </c>
      <c r="AH8">
        <v>20</v>
      </c>
      <c r="AI8" t="s">
        <v>59</v>
      </c>
      <c r="AJ8" t="s">
        <v>71</v>
      </c>
      <c r="AL8" t="s">
        <v>72</v>
      </c>
      <c r="AM8" t="s">
        <v>62</v>
      </c>
      <c r="AN8" t="s">
        <v>63</v>
      </c>
      <c r="AO8" t="s">
        <v>64</v>
      </c>
      <c r="AP8" t="s">
        <v>99</v>
      </c>
    </row>
    <row r="9" spans="1:42" x14ac:dyDescent="0.45">
      <c r="A9" t="s">
        <v>42</v>
      </c>
      <c r="B9" t="s">
        <v>43</v>
      </c>
      <c r="C9" t="s">
        <v>44</v>
      </c>
      <c r="D9">
        <v>2024</v>
      </c>
      <c r="E9" t="s">
        <v>45</v>
      </c>
      <c r="F9" t="s">
        <v>46</v>
      </c>
      <c r="G9">
        <v>10</v>
      </c>
      <c r="J9" t="s">
        <v>103</v>
      </c>
      <c r="K9" t="s">
        <v>104</v>
      </c>
      <c r="L9" t="s">
        <v>105</v>
      </c>
      <c r="M9" t="s">
        <v>106</v>
      </c>
      <c r="N9" t="s">
        <v>89</v>
      </c>
      <c r="O9" t="s">
        <v>90</v>
      </c>
      <c r="P9" t="s">
        <v>91</v>
      </c>
      <c r="Q9" t="s">
        <v>54</v>
      </c>
      <c r="S9">
        <v>5</v>
      </c>
      <c r="T9" t="s">
        <v>107</v>
      </c>
      <c r="U9">
        <v>10987</v>
      </c>
      <c r="V9">
        <v>11619</v>
      </c>
      <c r="W9">
        <v>0.9456</v>
      </c>
      <c r="X9" t="s">
        <v>70</v>
      </c>
      <c r="Y9" t="s">
        <v>57</v>
      </c>
      <c r="Z9">
        <v>723.7</v>
      </c>
      <c r="AA9">
        <v>17048.16</v>
      </c>
      <c r="AB9">
        <v>12337708</v>
      </c>
      <c r="AC9" t="b">
        <v>1</v>
      </c>
      <c r="AD9" t="b">
        <v>1</v>
      </c>
      <c r="AE9" t="b">
        <v>0</v>
      </c>
      <c r="AF9" t="b">
        <v>0</v>
      </c>
      <c r="AG9" t="s">
        <v>58</v>
      </c>
      <c r="AH9">
        <v>20</v>
      </c>
      <c r="AI9" t="s">
        <v>59</v>
      </c>
      <c r="AJ9" t="s">
        <v>71</v>
      </c>
      <c r="AL9" t="s">
        <v>72</v>
      </c>
      <c r="AM9" t="s">
        <v>62</v>
      </c>
      <c r="AN9" t="s">
        <v>63</v>
      </c>
      <c r="AO9" t="s">
        <v>64</v>
      </c>
      <c r="AP9" t="s">
        <v>104</v>
      </c>
    </row>
    <row r="10" spans="1:42" x14ac:dyDescent="0.45">
      <c r="A10" t="s">
        <v>42</v>
      </c>
      <c r="B10" t="s">
        <v>43</v>
      </c>
      <c r="C10" t="s">
        <v>44</v>
      </c>
      <c r="D10">
        <v>2024</v>
      </c>
      <c r="E10" t="s">
        <v>45</v>
      </c>
      <c r="F10" t="s">
        <v>46</v>
      </c>
      <c r="J10" t="s">
        <v>108</v>
      </c>
      <c r="K10" t="s">
        <v>109</v>
      </c>
      <c r="L10" t="s">
        <v>110</v>
      </c>
      <c r="M10" t="s">
        <v>111</v>
      </c>
      <c r="N10" t="s">
        <v>51</v>
      </c>
      <c r="O10" t="s">
        <v>52</v>
      </c>
      <c r="P10" t="s">
        <v>53</v>
      </c>
      <c r="Q10" t="s">
        <v>54</v>
      </c>
      <c r="S10">
        <v>28</v>
      </c>
      <c r="T10" t="s">
        <v>112</v>
      </c>
      <c r="U10">
        <v>596</v>
      </c>
      <c r="V10">
        <v>11619</v>
      </c>
      <c r="W10">
        <v>5.1299999999999998E-2</v>
      </c>
      <c r="X10" t="s">
        <v>56</v>
      </c>
      <c r="Y10" t="s">
        <v>57</v>
      </c>
      <c r="Z10">
        <v>835.01</v>
      </c>
      <c r="AA10">
        <v>27.36</v>
      </c>
      <c r="AB10">
        <v>22846</v>
      </c>
      <c r="AC10" t="b">
        <v>0</v>
      </c>
      <c r="AD10" t="b">
        <v>0</v>
      </c>
      <c r="AE10" t="b">
        <v>0</v>
      </c>
      <c r="AF10" t="b">
        <v>0</v>
      </c>
      <c r="AG10" t="s">
        <v>58</v>
      </c>
      <c r="AH10">
        <v>-15</v>
      </c>
      <c r="AI10" t="s">
        <v>59</v>
      </c>
      <c r="AJ10" t="s">
        <v>60</v>
      </c>
      <c r="AK10" t="s">
        <v>78</v>
      </c>
      <c r="AL10" t="s">
        <v>79</v>
      </c>
      <c r="AM10" t="s">
        <v>62</v>
      </c>
      <c r="AN10" t="s">
        <v>63</v>
      </c>
      <c r="AO10" t="s">
        <v>64</v>
      </c>
      <c r="AP10" t="s">
        <v>109</v>
      </c>
    </row>
    <row r="11" spans="1:42" x14ac:dyDescent="0.45">
      <c r="A11" t="s">
        <v>42</v>
      </c>
      <c r="B11" t="s">
        <v>43</v>
      </c>
      <c r="C11" t="s">
        <v>44</v>
      </c>
      <c r="D11">
        <v>2024</v>
      </c>
      <c r="E11" t="s">
        <v>45</v>
      </c>
      <c r="F11" t="s">
        <v>46</v>
      </c>
      <c r="G11">
        <v>6</v>
      </c>
      <c r="J11" t="s">
        <v>113</v>
      </c>
      <c r="K11" t="s">
        <v>114</v>
      </c>
      <c r="L11" t="s">
        <v>115</v>
      </c>
      <c r="M11" t="s">
        <v>116</v>
      </c>
      <c r="N11" t="s">
        <v>51</v>
      </c>
      <c r="O11" t="s">
        <v>52</v>
      </c>
      <c r="P11" t="s">
        <v>53</v>
      </c>
      <c r="Q11" t="s">
        <v>54</v>
      </c>
      <c r="S11">
        <v>9</v>
      </c>
      <c r="T11" t="s">
        <v>117</v>
      </c>
      <c r="U11">
        <v>14704</v>
      </c>
      <c r="V11">
        <v>11619</v>
      </c>
      <c r="W11">
        <v>1.2655000000000001</v>
      </c>
      <c r="X11" t="s">
        <v>70</v>
      </c>
      <c r="Y11" t="s">
        <v>57</v>
      </c>
      <c r="Z11">
        <v>745.7</v>
      </c>
      <c r="AA11">
        <v>19859.8</v>
      </c>
      <c r="AB11">
        <v>14809400</v>
      </c>
      <c r="AC11" t="b">
        <v>1</v>
      </c>
      <c r="AD11" t="b">
        <v>1</v>
      </c>
      <c r="AE11" t="b">
        <v>0</v>
      </c>
      <c r="AF11" t="b">
        <v>0</v>
      </c>
      <c r="AG11" t="s">
        <v>58</v>
      </c>
      <c r="AH11">
        <v>20</v>
      </c>
      <c r="AI11" t="s">
        <v>59</v>
      </c>
      <c r="AJ11" t="s">
        <v>71</v>
      </c>
      <c r="AL11" t="s">
        <v>72</v>
      </c>
      <c r="AM11" t="s">
        <v>62</v>
      </c>
      <c r="AN11" t="s">
        <v>63</v>
      </c>
      <c r="AO11" t="s">
        <v>64</v>
      </c>
      <c r="AP11" t="s">
        <v>114</v>
      </c>
    </row>
    <row r="12" spans="1:42" x14ac:dyDescent="0.45">
      <c r="A12" t="s">
        <v>42</v>
      </c>
      <c r="B12" t="s">
        <v>43</v>
      </c>
      <c r="C12" t="s">
        <v>44</v>
      </c>
      <c r="D12">
        <v>2024</v>
      </c>
      <c r="E12" t="s">
        <v>45</v>
      </c>
      <c r="F12" t="s">
        <v>46</v>
      </c>
      <c r="G12">
        <v>5</v>
      </c>
      <c r="J12" t="s">
        <v>118</v>
      </c>
      <c r="K12" t="s">
        <v>119</v>
      </c>
      <c r="L12" t="s">
        <v>120</v>
      </c>
      <c r="M12" t="s">
        <v>121</v>
      </c>
      <c r="N12" t="s">
        <v>89</v>
      </c>
      <c r="O12" t="s">
        <v>90</v>
      </c>
      <c r="P12" t="s">
        <v>91</v>
      </c>
      <c r="Q12" t="s">
        <v>54</v>
      </c>
      <c r="S12">
        <v>10</v>
      </c>
      <c r="T12" t="s">
        <v>122</v>
      </c>
      <c r="U12">
        <v>8715</v>
      </c>
      <c r="V12">
        <v>11619</v>
      </c>
      <c r="W12">
        <v>0.75009999999999999</v>
      </c>
      <c r="X12" t="s">
        <v>70</v>
      </c>
      <c r="Y12" t="s">
        <v>57</v>
      </c>
      <c r="Z12">
        <v>759.7</v>
      </c>
      <c r="AA12">
        <v>13166.91</v>
      </c>
      <c r="AB12">
        <v>10002864</v>
      </c>
      <c r="AC12" t="b">
        <v>1</v>
      </c>
      <c r="AD12" t="b">
        <v>1</v>
      </c>
      <c r="AE12" t="b">
        <v>0</v>
      </c>
      <c r="AF12" t="b">
        <v>0</v>
      </c>
      <c r="AG12" t="s">
        <v>58</v>
      </c>
      <c r="AH12">
        <v>20</v>
      </c>
      <c r="AI12" t="s">
        <v>59</v>
      </c>
      <c r="AJ12" t="s">
        <v>71</v>
      </c>
      <c r="AL12" t="s">
        <v>72</v>
      </c>
      <c r="AM12" t="s">
        <v>62</v>
      </c>
      <c r="AN12" t="s">
        <v>63</v>
      </c>
      <c r="AO12" t="s">
        <v>64</v>
      </c>
      <c r="AP12" t="s">
        <v>119</v>
      </c>
    </row>
    <row r="13" spans="1:42" x14ac:dyDescent="0.45">
      <c r="A13" t="s">
        <v>42</v>
      </c>
      <c r="B13" t="s">
        <v>43</v>
      </c>
      <c r="C13" t="s">
        <v>44</v>
      </c>
      <c r="D13">
        <v>2024</v>
      </c>
      <c r="E13" t="s">
        <v>45</v>
      </c>
      <c r="F13" t="s">
        <v>46</v>
      </c>
      <c r="J13" t="s">
        <v>123</v>
      </c>
      <c r="K13" t="s">
        <v>124</v>
      </c>
      <c r="L13" t="s">
        <v>125</v>
      </c>
      <c r="M13" t="s">
        <v>126</v>
      </c>
      <c r="N13" t="s">
        <v>51</v>
      </c>
      <c r="O13" t="s">
        <v>52</v>
      </c>
      <c r="P13" t="s">
        <v>53</v>
      </c>
      <c r="Q13" t="s">
        <v>54</v>
      </c>
      <c r="S13">
        <v>26</v>
      </c>
      <c r="T13" t="s">
        <v>127</v>
      </c>
      <c r="U13">
        <v>59</v>
      </c>
      <c r="V13">
        <v>11619</v>
      </c>
      <c r="W13">
        <v>5.1000000000000004E-3</v>
      </c>
      <c r="X13" t="s">
        <v>56</v>
      </c>
      <c r="Y13" t="s">
        <v>57</v>
      </c>
      <c r="Z13">
        <v>857.78</v>
      </c>
      <c r="AA13">
        <v>15.01</v>
      </c>
      <c r="AB13">
        <v>12872</v>
      </c>
      <c r="AC13" t="b">
        <v>0</v>
      </c>
      <c r="AD13" t="b">
        <v>0</v>
      </c>
      <c r="AE13" t="b">
        <v>0</v>
      </c>
      <c r="AF13" t="b">
        <v>0</v>
      </c>
      <c r="AG13" t="s">
        <v>58</v>
      </c>
      <c r="AH13">
        <v>-15</v>
      </c>
      <c r="AI13" t="s">
        <v>59</v>
      </c>
      <c r="AJ13" t="s">
        <v>60</v>
      </c>
      <c r="AK13" t="s">
        <v>128</v>
      </c>
      <c r="AL13" t="s">
        <v>129</v>
      </c>
      <c r="AM13" t="s">
        <v>62</v>
      </c>
      <c r="AN13" t="s">
        <v>63</v>
      </c>
      <c r="AO13" t="s">
        <v>64</v>
      </c>
      <c r="AP13" t="s">
        <v>124</v>
      </c>
    </row>
    <row r="14" spans="1:42" x14ac:dyDescent="0.45">
      <c r="A14" t="s">
        <v>42</v>
      </c>
      <c r="B14" t="s">
        <v>43</v>
      </c>
      <c r="C14" t="s">
        <v>44</v>
      </c>
      <c r="D14">
        <v>2024</v>
      </c>
      <c r="E14" t="s">
        <v>45</v>
      </c>
      <c r="F14" t="s">
        <v>46</v>
      </c>
      <c r="J14" t="s">
        <v>130</v>
      </c>
      <c r="K14" t="s">
        <v>131</v>
      </c>
      <c r="L14" t="s">
        <v>132</v>
      </c>
      <c r="M14" t="s">
        <v>133</v>
      </c>
      <c r="N14" t="s">
        <v>51</v>
      </c>
      <c r="O14" t="s">
        <v>52</v>
      </c>
      <c r="P14" t="s">
        <v>53</v>
      </c>
      <c r="Q14" t="s">
        <v>54</v>
      </c>
      <c r="S14">
        <v>27</v>
      </c>
      <c r="T14" t="s">
        <v>134</v>
      </c>
      <c r="U14">
        <v>556</v>
      </c>
      <c r="V14">
        <v>11619</v>
      </c>
      <c r="W14">
        <v>4.7899999999999998E-2</v>
      </c>
      <c r="X14" t="s">
        <v>56</v>
      </c>
      <c r="Y14" t="s">
        <v>57</v>
      </c>
      <c r="Z14">
        <v>837.03</v>
      </c>
      <c r="AA14">
        <v>15.96</v>
      </c>
      <c r="AB14">
        <v>13358</v>
      </c>
      <c r="AC14" t="b">
        <v>0</v>
      </c>
      <c r="AD14" t="b">
        <v>0</v>
      </c>
      <c r="AE14" t="b">
        <v>0</v>
      </c>
      <c r="AF14" t="b">
        <v>0</v>
      </c>
      <c r="AG14" t="s">
        <v>58</v>
      </c>
      <c r="AH14">
        <v>-15</v>
      </c>
      <c r="AI14" t="s">
        <v>59</v>
      </c>
      <c r="AJ14" t="s">
        <v>60</v>
      </c>
      <c r="AK14" t="s">
        <v>78</v>
      </c>
      <c r="AL14" t="s">
        <v>79</v>
      </c>
      <c r="AM14" t="s">
        <v>62</v>
      </c>
      <c r="AN14" t="s">
        <v>63</v>
      </c>
      <c r="AO14" t="s">
        <v>64</v>
      </c>
      <c r="AP14" t="s">
        <v>131</v>
      </c>
    </row>
    <row r="15" spans="1:42" x14ac:dyDescent="0.45">
      <c r="A15" t="s">
        <v>42</v>
      </c>
      <c r="B15" t="s">
        <v>43</v>
      </c>
      <c r="C15" t="s">
        <v>44</v>
      </c>
      <c r="D15">
        <v>2024</v>
      </c>
      <c r="E15" t="s">
        <v>45</v>
      </c>
      <c r="F15" t="s">
        <v>46</v>
      </c>
      <c r="J15" t="s">
        <v>135</v>
      </c>
      <c r="K15" t="s">
        <v>136</v>
      </c>
      <c r="L15" t="s">
        <v>137</v>
      </c>
      <c r="M15" t="s">
        <v>138</v>
      </c>
      <c r="N15" t="s">
        <v>51</v>
      </c>
      <c r="O15" t="s">
        <v>52</v>
      </c>
      <c r="P15" t="s">
        <v>53</v>
      </c>
      <c r="Q15" t="s">
        <v>54</v>
      </c>
      <c r="S15">
        <v>16</v>
      </c>
      <c r="T15" t="s">
        <v>139</v>
      </c>
      <c r="U15">
        <v>48</v>
      </c>
      <c r="V15">
        <v>11619</v>
      </c>
      <c r="W15">
        <v>4.1000000000000003E-3</v>
      </c>
      <c r="X15" t="s">
        <v>56</v>
      </c>
      <c r="Y15" t="s">
        <v>57</v>
      </c>
      <c r="Z15">
        <v>800.7</v>
      </c>
      <c r="AA15">
        <v>77.14</v>
      </c>
      <c r="AB15">
        <v>61769</v>
      </c>
      <c r="AC15" t="b">
        <v>0</v>
      </c>
      <c r="AD15" t="b">
        <v>0</v>
      </c>
      <c r="AE15" t="b">
        <v>0</v>
      </c>
      <c r="AF15" t="b">
        <v>0</v>
      </c>
      <c r="AG15" t="s">
        <v>58</v>
      </c>
      <c r="AH15">
        <v>-15</v>
      </c>
      <c r="AI15" t="s">
        <v>59</v>
      </c>
      <c r="AJ15" t="s">
        <v>60</v>
      </c>
      <c r="AK15" t="s">
        <v>140</v>
      </c>
      <c r="AL15" t="s">
        <v>141</v>
      </c>
      <c r="AM15" t="s">
        <v>62</v>
      </c>
      <c r="AN15" t="s">
        <v>63</v>
      </c>
      <c r="AO15" t="s">
        <v>64</v>
      </c>
      <c r="AP15" t="s">
        <v>136</v>
      </c>
    </row>
    <row r="16" spans="1:42" x14ac:dyDescent="0.45">
      <c r="A16" t="s">
        <v>42</v>
      </c>
      <c r="B16" t="s">
        <v>43</v>
      </c>
      <c r="C16" t="s">
        <v>44</v>
      </c>
      <c r="D16">
        <v>2024</v>
      </c>
      <c r="E16" t="s">
        <v>45</v>
      </c>
      <c r="F16" t="s">
        <v>46</v>
      </c>
      <c r="G16">
        <v>11</v>
      </c>
      <c r="J16" t="s">
        <v>142</v>
      </c>
      <c r="K16" t="s">
        <v>143</v>
      </c>
      <c r="L16" t="s">
        <v>144</v>
      </c>
      <c r="M16" t="s">
        <v>145</v>
      </c>
      <c r="N16" t="s">
        <v>89</v>
      </c>
      <c r="O16" t="s">
        <v>90</v>
      </c>
      <c r="P16" t="s">
        <v>91</v>
      </c>
      <c r="Q16" t="s">
        <v>54</v>
      </c>
      <c r="S16">
        <v>4</v>
      </c>
      <c r="T16" t="s">
        <v>146</v>
      </c>
      <c r="U16">
        <v>17319</v>
      </c>
      <c r="V16">
        <v>11619</v>
      </c>
      <c r="W16">
        <v>1.4905999999999999</v>
      </c>
      <c r="X16" t="s">
        <v>70</v>
      </c>
      <c r="Y16" t="s">
        <v>57</v>
      </c>
      <c r="Z16">
        <v>717.7</v>
      </c>
      <c r="AA16">
        <v>25248.39</v>
      </c>
      <c r="AB16">
        <v>18120697</v>
      </c>
      <c r="AC16" t="b">
        <v>1</v>
      </c>
      <c r="AD16" t="b">
        <v>1</v>
      </c>
      <c r="AE16" t="b">
        <v>0</v>
      </c>
      <c r="AF16" t="b">
        <v>0</v>
      </c>
      <c r="AG16" t="s">
        <v>58</v>
      </c>
      <c r="AH16">
        <v>20</v>
      </c>
      <c r="AI16" t="s">
        <v>59</v>
      </c>
      <c r="AJ16" t="s">
        <v>71</v>
      </c>
      <c r="AL16" t="s">
        <v>72</v>
      </c>
      <c r="AM16" t="s">
        <v>62</v>
      </c>
      <c r="AN16" t="s">
        <v>63</v>
      </c>
      <c r="AO16" t="s">
        <v>64</v>
      </c>
      <c r="AP16" t="s">
        <v>143</v>
      </c>
    </row>
    <row r="17" spans="1:42" x14ac:dyDescent="0.45">
      <c r="A17" t="s">
        <v>42</v>
      </c>
      <c r="B17" t="s">
        <v>43</v>
      </c>
      <c r="C17" t="s">
        <v>44</v>
      </c>
      <c r="D17">
        <v>2024</v>
      </c>
      <c r="E17" t="s">
        <v>45</v>
      </c>
      <c r="F17" t="s">
        <v>46</v>
      </c>
      <c r="J17" t="s">
        <v>147</v>
      </c>
      <c r="K17" t="s">
        <v>148</v>
      </c>
      <c r="L17" t="s">
        <v>149</v>
      </c>
      <c r="M17" t="s">
        <v>150</v>
      </c>
      <c r="N17" t="s">
        <v>51</v>
      </c>
      <c r="O17" t="s">
        <v>52</v>
      </c>
      <c r="P17" t="s">
        <v>53</v>
      </c>
      <c r="Q17" t="s">
        <v>54</v>
      </c>
      <c r="S17">
        <v>24</v>
      </c>
      <c r="T17" t="s">
        <v>151</v>
      </c>
      <c r="U17">
        <v>60</v>
      </c>
      <c r="V17">
        <v>11619</v>
      </c>
      <c r="W17">
        <v>5.1999999999999998E-3</v>
      </c>
      <c r="X17" t="s">
        <v>56</v>
      </c>
      <c r="Y17" t="s">
        <v>57</v>
      </c>
      <c r="Z17">
        <v>847.7</v>
      </c>
      <c r="AA17">
        <v>38.590000000000003</v>
      </c>
      <c r="AB17">
        <v>32714</v>
      </c>
      <c r="AC17" t="b">
        <v>0</v>
      </c>
      <c r="AD17" t="b">
        <v>0</v>
      </c>
      <c r="AE17" t="b">
        <v>0</v>
      </c>
      <c r="AF17" t="b">
        <v>0</v>
      </c>
      <c r="AG17" t="s">
        <v>58</v>
      </c>
      <c r="AH17">
        <v>-15</v>
      </c>
      <c r="AI17" t="s">
        <v>59</v>
      </c>
      <c r="AJ17" t="s">
        <v>60</v>
      </c>
      <c r="AK17" t="s">
        <v>128</v>
      </c>
      <c r="AL17" t="s">
        <v>129</v>
      </c>
      <c r="AM17" t="s">
        <v>62</v>
      </c>
      <c r="AN17" t="s">
        <v>63</v>
      </c>
      <c r="AO17" t="s">
        <v>64</v>
      </c>
      <c r="AP17" t="s">
        <v>148</v>
      </c>
    </row>
    <row r="18" spans="1:42" x14ac:dyDescent="0.45">
      <c r="A18" t="s">
        <v>42</v>
      </c>
      <c r="B18" t="s">
        <v>43</v>
      </c>
      <c r="C18" t="s">
        <v>44</v>
      </c>
      <c r="D18">
        <v>2024</v>
      </c>
      <c r="E18" t="s">
        <v>45</v>
      </c>
      <c r="F18" t="s">
        <v>46</v>
      </c>
      <c r="G18">
        <v>12</v>
      </c>
      <c r="J18" t="s">
        <v>152</v>
      </c>
      <c r="K18" t="s">
        <v>153</v>
      </c>
      <c r="L18" t="s">
        <v>154</v>
      </c>
      <c r="M18" t="s">
        <v>155</v>
      </c>
      <c r="N18" t="s">
        <v>51</v>
      </c>
      <c r="O18" t="s">
        <v>52</v>
      </c>
      <c r="P18" t="s">
        <v>53</v>
      </c>
      <c r="Q18" t="s">
        <v>54</v>
      </c>
      <c r="S18">
        <v>3</v>
      </c>
      <c r="T18" t="s">
        <v>156</v>
      </c>
      <c r="U18">
        <v>9143</v>
      </c>
      <c r="V18">
        <v>11619</v>
      </c>
      <c r="W18">
        <v>0.78690000000000004</v>
      </c>
      <c r="X18" t="s">
        <v>70</v>
      </c>
      <c r="Y18" t="s">
        <v>57</v>
      </c>
      <c r="Z18">
        <v>710.7</v>
      </c>
      <c r="AA18">
        <v>13683.05</v>
      </c>
      <c r="AB18">
        <v>9724509</v>
      </c>
      <c r="AC18" t="b">
        <v>1</v>
      </c>
      <c r="AD18" t="b">
        <v>1</v>
      </c>
      <c r="AE18" t="b">
        <v>0</v>
      </c>
      <c r="AF18" t="b">
        <v>0</v>
      </c>
      <c r="AG18" t="s">
        <v>58</v>
      </c>
      <c r="AH18">
        <v>20</v>
      </c>
      <c r="AI18" t="s">
        <v>59</v>
      </c>
      <c r="AJ18" t="s">
        <v>71</v>
      </c>
      <c r="AL18" t="s">
        <v>72</v>
      </c>
      <c r="AM18" t="s">
        <v>62</v>
      </c>
      <c r="AN18" t="s">
        <v>63</v>
      </c>
      <c r="AO18" t="s">
        <v>64</v>
      </c>
      <c r="AP18" t="s">
        <v>153</v>
      </c>
    </row>
    <row r="19" spans="1:42" x14ac:dyDescent="0.45">
      <c r="A19" t="s">
        <v>42</v>
      </c>
      <c r="B19" t="s">
        <v>43</v>
      </c>
      <c r="C19" t="s">
        <v>44</v>
      </c>
      <c r="D19">
        <v>2024</v>
      </c>
      <c r="E19" t="s">
        <v>45</v>
      </c>
      <c r="F19" t="s">
        <v>46</v>
      </c>
      <c r="J19" t="s">
        <v>157</v>
      </c>
      <c r="K19" t="s">
        <v>158</v>
      </c>
      <c r="L19" t="s">
        <v>159</v>
      </c>
      <c r="M19" t="s">
        <v>160</v>
      </c>
      <c r="N19" t="s">
        <v>51</v>
      </c>
      <c r="O19" t="s">
        <v>52</v>
      </c>
      <c r="P19" t="s">
        <v>53</v>
      </c>
      <c r="Q19" t="s">
        <v>54</v>
      </c>
      <c r="S19">
        <v>17</v>
      </c>
      <c r="T19" t="s">
        <v>161</v>
      </c>
      <c r="U19">
        <v>664</v>
      </c>
      <c r="V19">
        <v>11619</v>
      </c>
      <c r="W19">
        <v>5.7099999999999998E-2</v>
      </c>
      <c r="X19" t="s">
        <v>56</v>
      </c>
      <c r="Y19" t="s">
        <v>57</v>
      </c>
      <c r="Z19">
        <v>791.66</v>
      </c>
      <c r="AA19">
        <v>449.14</v>
      </c>
      <c r="AB19">
        <v>355563</v>
      </c>
      <c r="AC19" t="b">
        <v>0</v>
      </c>
      <c r="AD19" t="b">
        <v>0</v>
      </c>
      <c r="AE19" t="b">
        <v>0</v>
      </c>
      <c r="AF19" t="b">
        <v>0</v>
      </c>
      <c r="AG19" t="s">
        <v>58</v>
      </c>
      <c r="AH19">
        <v>-15</v>
      </c>
      <c r="AI19" t="s">
        <v>59</v>
      </c>
      <c r="AJ19" t="s">
        <v>60</v>
      </c>
      <c r="AK19" t="s">
        <v>162</v>
      </c>
      <c r="AL19" t="s">
        <v>163</v>
      </c>
      <c r="AM19" t="s">
        <v>62</v>
      </c>
      <c r="AN19" t="s">
        <v>63</v>
      </c>
      <c r="AO19" t="s">
        <v>64</v>
      </c>
      <c r="AP19" t="s">
        <v>158</v>
      </c>
    </row>
    <row r="20" spans="1:42" x14ac:dyDescent="0.45">
      <c r="A20" t="s">
        <v>42</v>
      </c>
      <c r="B20" t="s">
        <v>43</v>
      </c>
      <c r="C20" t="s">
        <v>44</v>
      </c>
      <c r="D20">
        <v>2024</v>
      </c>
      <c r="E20" t="s">
        <v>45</v>
      </c>
      <c r="F20" t="s">
        <v>46</v>
      </c>
      <c r="J20" t="s">
        <v>164</v>
      </c>
      <c r="K20" t="s">
        <v>165</v>
      </c>
      <c r="L20" t="s">
        <v>166</v>
      </c>
      <c r="M20" t="s">
        <v>167</v>
      </c>
      <c r="N20" t="s">
        <v>51</v>
      </c>
      <c r="O20" t="s">
        <v>52</v>
      </c>
      <c r="P20" t="s">
        <v>53</v>
      </c>
      <c r="Q20" t="s">
        <v>54</v>
      </c>
      <c r="S20">
        <v>19</v>
      </c>
      <c r="T20" t="s">
        <v>168</v>
      </c>
      <c r="U20">
        <v>214</v>
      </c>
      <c r="V20">
        <v>11619</v>
      </c>
      <c r="W20">
        <v>1.84E-2</v>
      </c>
      <c r="X20" t="s">
        <v>56</v>
      </c>
      <c r="Y20" t="s">
        <v>57</v>
      </c>
      <c r="Z20">
        <v>853.74</v>
      </c>
      <c r="AA20">
        <v>57.65</v>
      </c>
      <c r="AB20">
        <v>49218</v>
      </c>
      <c r="AC20" t="b">
        <v>0</v>
      </c>
      <c r="AD20" t="b">
        <v>0</v>
      </c>
      <c r="AE20" t="b">
        <v>0</v>
      </c>
      <c r="AF20" t="b">
        <v>0</v>
      </c>
      <c r="AG20" t="s">
        <v>58</v>
      </c>
      <c r="AH20">
        <v>14</v>
      </c>
      <c r="AI20" t="s">
        <v>169</v>
      </c>
      <c r="AJ20" t="s">
        <v>60</v>
      </c>
      <c r="AL20" t="s">
        <v>170</v>
      </c>
      <c r="AM20" t="s">
        <v>62</v>
      </c>
      <c r="AN20" t="s">
        <v>63</v>
      </c>
      <c r="AO20" t="s">
        <v>64</v>
      </c>
      <c r="AP20" t="s">
        <v>165</v>
      </c>
    </row>
    <row r="21" spans="1:42" x14ac:dyDescent="0.45">
      <c r="A21" t="s">
        <v>42</v>
      </c>
      <c r="B21" t="s">
        <v>43</v>
      </c>
      <c r="C21" t="s">
        <v>44</v>
      </c>
      <c r="D21">
        <v>2024</v>
      </c>
      <c r="E21" t="s">
        <v>45</v>
      </c>
      <c r="F21" t="s">
        <v>46</v>
      </c>
      <c r="J21" t="s">
        <v>171</v>
      </c>
      <c r="K21" t="s">
        <v>172</v>
      </c>
      <c r="L21" t="s">
        <v>173</v>
      </c>
      <c r="M21" t="s">
        <v>174</v>
      </c>
      <c r="N21" t="s">
        <v>51</v>
      </c>
      <c r="O21" t="s">
        <v>52</v>
      </c>
      <c r="P21" t="s">
        <v>53</v>
      </c>
      <c r="Q21" t="s">
        <v>54</v>
      </c>
      <c r="S21">
        <v>22</v>
      </c>
      <c r="T21" t="s">
        <v>175</v>
      </c>
      <c r="U21">
        <v>644</v>
      </c>
      <c r="V21">
        <v>11619</v>
      </c>
      <c r="W21">
        <v>5.5399999999999998E-2</v>
      </c>
      <c r="X21" t="s">
        <v>56</v>
      </c>
      <c r="Y21" t="s">
        <v>57</v>
      </c>
      <c r="Z21">
        <v>839.97</v>
      </c>
      <c r="AA21">
        <v>56.38</v>
      </c>
      <c r="AB21">
        <v>47358</v>
      </c>
      <c r="AC21" t="b">
        <v>0</v>
      </c>
      <c r="AD21" t="b">
        <v>0</v>
      </c>
      <c r="AE21" t="b">
        <v>0</v>
      </c>
      <c r="AF21" t="b">
        <v>0</v>
      </c>
      <c r="AG21" t="s">
        <v>58</v>
      </c>
      <c r="AH21">
        <v>-15</v>
      </c>
      <c r="AI21" t="s">
        <v>59</v>
      </c>
      <c r="AJ21" t="s">
        <v>60</v>
      </c>
      <c r="AK21" t="s">
        <v>78</v>
      </c>
      <c r="AL21" t="s">
        <v>79</v>
      </c>
      <c r="AM21" t="s">
        <v>62</v>
      </c>
      <c r="AN21" t="s">
        <v>63</v>
      </c>
      <c r="AO21" t="s">
        <v>64</v>
      </c>
      <c r="AP21" t="s">
        <v>172</v>
      </c>
    </row>
    <row r="22" spans="1:42" x14ac:dyDescent="0.45">
      <c r="A22" t="s">
        <v>42</v>
      </c>
      <c r="B22" t="s">
        <v>43</v>
      </c>
      <c r="C22" t="s">
        <v>44</v>
      </c>
      <c r="D22">
        <v>2024</v>
      </c>
      <c r="E22" t="s">
        <v>45</v>
      </c>
      <c r="F22" t="s">
        <v>46</v>
      </c>
      <c r="G22">
        <v>7</v>
      </c>
      <c r="J22" t="s">
        <v>176</v>
      </c>
      <c r="K22" t="s">
        <v>177</v>
      </c>
      <c r="L22" t="s">
        <v>178</v>
      </c>
      <c r="M22" t="s">
        <v>179</v>
      </c>
      <c r="N22" t="s">
        <v>51</v>
      </c>
      <c r="O22" t="s">
        <v>52</v>
      </c>
      <c r="P22" t="s">
        <v>53</v>
      </c>
      <c r="Q22" t="s">
        <v>54</v>
      </c>
      <c r="S22">
        <v>8</v>
      </c>
      <c r="T22" t="s">
        <v>180</v>
      </c>
      <c r="U22">
        <v>7247</v>
      </c>
      <c r="V22">
        <v>11619</v>
      </c>
      <c r="W22">
        <v>0.62370000000000003</v>
      </c>
      <c r="X22" t="s">
        <v>70</v>
      </c>
      <c r="Y22" t="s">
        <v>57</v>
      </c>
      <c r="Z22">
        <v>738.7</v>
      </c>
      <c r="AA22">
        <v>13144.78</v>
      </c>
      <c r="AB22">
        <v>9710009</v>
      </c>
      <c r="AC22" t="b">
        <v>1</v>
      </c>
      <c r="AD22" t="b">
        <v>1</v>
      </c>
      <c r="AE22" t="b">
        <v>0</v>
      </c>
      <c r="AF22" t="b">
        <v>0</v>
      </c>
      <c r="AG22" t="s">
        <v>58</v>
      </c>
      <c r="AH22">
        <v>20</v>
      </c>
      <c r="AI22" t="s">
        <v>59</v>
      </c>
      <c r="AJ22" t="s">
        <v>71</v>
      </c>
      <c r="AL22" t="s">
        <v>72</v>
      </c>
      <c r="AM22" t="s">
        <v>62</v>
      </c>
      <c r="AN22" t="s">
        <v>63</v>
      </c>
      <c r="AO22" t="s">
        <v>64</v>
      </c>
      <c r="AP22" t="s">
        <v>177</v>
      </c>
    </row>
    <row r="23" spans="1:42" x14ac:dyDescent="0.45">
      <c r="A23" t="s">
        <v>42</v>
      </c>
      <c r="B23" t="s">
        <v>43</v>
      </c>
      <c r="C23" t="s">
        <v>44</v>
      </c>
      <c r="D23">
        <v>2024</v>
      </c>
      <c r="E23" t="s">
        <v>45</v>
      </c>
      <c r="F23" t="s">
        <v>46</v>
      </c>
      <c r="G23">
        <v>13</v>
      </c>
      <c r="J23" t="s">
        <v>181</v>
      </c>
      <c r="K23" t="s">
        <v>182</v>
      </c>
      <c r="L23" t="s">
        <v>183</v>
      </c>
      <c r="M23" t="s">
        <v>184</v>
      </c>
      <c r="N23" t="s">
        <v>51</v>
      </c>
      <c r="O23" t="s">
        <v>52</v>
      </c>
      <c r="P23" t="s">
        <v>53</v>
      </c>
      <c r="Q23" t="s">
        <v>54</v>
      </c>
      <c r="S23">
        <v>2</v>
      </c>
      <c r="T23" t="s">
        <v>185</v>
      </c>
      <c r="U23">
        <v>9211</v>
      </c>
      <c r="V23">
        <v>11619</v>
      </c>
      <c r="W23">
        <v>0.79279999999999995</v>
      </c>
      <c r="X23" t="s">
        <v>70</v>
      </c>
      <c r="Y23" t="s">
        <v>57</v>
      </c>
      <c r="Z23">
        <v>703.7</v>
      </c>
      <c r="AA23">
        <v>12459.35</v>
      </c>
      <c r="AB23">
        <v>8767608</v>
      </c>
      <c r="AC23" t="b">
        <v>1</v>
      </c>
      <c r="AD23" t="b">
        <v>1</v>
      </c>
      <c r="AE23" t="b">
        <v>0</v>
      </c>
      <c r="AF23" t="b">
        <v>0</v>
      </c>
      <c r="AG23" t="s">
        <v>58</v>
      </c>
      <c r="AH23">
        <v>20</v>
      </c>
      <c r="AI23" t="s">
        <v>59</v>
      </c>
      <c r="AJ23" t="s">
        <v>71</v>
      </c>
      <c r="AL23" t="s">
        <v>72</v>
      </c>
      <c r="AM23" t="s">
        <v>62</v>
      </c>
      <c r="AN23" t="s">
        <v>63</v>
      </c>
      <c r="AO23" t="s">
        <v>64</v>
      </c>
      <c r="AP23" t="s">
        <v>182</v>
      </c>
    </row>
    <row r="24" spans="1:42" x14ac:dyDescent="0.45">
      <c r="A24" t="s">
        <v>42</v>
      </c>
      <c r="B24" t="s">
        <v>43</v>
      </c>
      <c r="C24" t="s">
        <v>44</v>
      </c>
      <c r="D24">
        <v>2024</v>
      </c>
      <c r="E24" t="s">
        <v>45</v>
      </c>
      <c r="F24" t="s">
        <v>46</v>
      </c>
      <c r="G24">
        <v>14</v>
      </c>
      <c r="J24" t="s">
        <v>186</v>
      </c>
      <c r="K24" t="s">
        <v>187</v>
      </c>
      <c r="L24" t="s">
        <v>188</v>
      </c>
      <c r="M24" t="s">
        <v>189</v>
      </c>
      <c r="N24" t="s">
        <v>51</v>
      </c>
      <c r="O24" t="s">
        <v>52</v>
      </c>
      <c r="P24" t="s">
        <v>53</v>
      </c>
      <c r="Q24" t="s">
        <v>54</v>
      </c>
      <c r="S24">
        <v>1</v>
      </c>
      <c r="T24" t="s">
        <v>190</v>
      </c>
      <c r="U24">
        <v>13861</v>
      </c>
      <c r="V24">
        <v>11619</v>
      </c>
      <c r="W24">
        <v>1.1930000000000001</v>
      </c>
      <c r="X24" t="s">
        <v>70</v>
      </c>
      <c r="Y24" t="s">
        <v>57</v>
      </c>
      <c r="Z24">
        <v>696.53</v>
      </c>
      <c r="AA24">
        <v>27232.3</v>
      </c>
      <c r="AB24">
        <v>18968047</v>
      </c>
      <c r="AC24" t="b">
        <v>1</v>
      </c>
      <c r="AD24" t="b">
        <v>1</v>
      </c>
      <c r="AE24" t="b">
        <v>0</v>
      </c>
      <c r="AF24" t="b">
        <v>0</v>
      </c>
      <c r="AG24" t="s">
        <v>58</v>
      </c>
      <c r="AH24">
        <v>20</v>
      </c>
      <c r="AI24" t="s">
        <v>59</v>
      </c>
      <c r="AJ24" t="s">
        <v>71</v>
      </c>
      <c r="AL24" t="s">
        <v>72</v>
      </c>
      <c r="AM24" t="s">
        <v>62</v>
      </c>
      <c r="AN24" t="s">
        <v>63</v>
      </c>
      <c r="AO24" t="s">
        <v>64</v>
      </c>
      <c r="AP24" t="s">
        <v>187</v>
      </c>
    </row>
    <row r="25" spans="1:42" x14ac:dyDescent="0.45">
      <c r="A25" t="s">
        <v>42</v>
      </c>
      <c r="B25" t="s">
        <v>43</v>
      </c>
      <c r="C25" t="s">
        <v>44</v>
      </c>
      <c r="D25">
        <v>2024</v>
      </c>
      <c r="E25" t="s">
        <v>45</v>
      </c>
      <c r="F25" t="s">
        <v>46</v>
      </c>
      <c r="G25">
        <v>4</v>
      </c>
      <c r="J25" t="s">
        <v>191</v>
      </c>
      <c r="K25" t="s">
        <v>192</v>
      </c>
      <c r="L25" t="s">
        <v>193</v>
      </c>
      <c r="M25" t="s">
        <v>194</v>
      </c>
      <c r="N25" t="s">
        <v>89</v>
      </c>
      <c r="O25" t="s">
        <v>90</v>
      </c>
      <c r="P25" t="s">
        <v>91</v>
      </c>
      <c r="Q25" t="s">
        <v>54</v>
      </c>
      <c r="S25">
        <v>11</v>
      </c>
      <c r="T25" t="s">
        <v>195</v>
      </c>
      <c r="U25">
        <v>6682</v>
      </c>
      <c r="V25">
        <v>11619</v>
      </c>
      <c r="W25">
        <v>0.57509999999999994</v>
      </c>
      <c r="X25" t="s">
        <v>196</v>
      </c>
      <c r="Y25" t="s">
        <v>57</v>
      </c>
      <c r="Z25">
        <v>766.7</v>
      </c>
      <c r="AA25">
        <v>14282.92</v>
      </c>
      <c r="AB25">
        <v>10950673</v>
      </c>
      <c r="AC25" t="b">
        <v>1</v>
      </c>
      <c r="AD25" t="b">
        <v>1</v>
      </c>
      <c r="AE25" t="b">
        <v>0</v>
      </c>
      <c r="AF25" t="b">
        <v>0</v>
      </c>
      <c r="AG25" t="s">
        <v>58</v>
      </c>
      <c r="AH25">
        <v>20</v>
      </c>
      <c r="AI25" t="s">
        <v>59</v>
      </c>
      <c r="AJ25" t="s">
        <v>71</v>
      </c>
      <c r="AL25" t="s">
        <v>72</v>
      </c>
      <c r="AM25" t="s">
        <v>62</v>
      </c>
      <c r="AN25" t="s">
        <v>63</v>
      </c>
      <c r="AO25" t="s">
        <v>64</v>
      </c>
      <c r="AP25" t="s">
        <v>192</v>
      </c>
    </row>
    <row r="26" spans="1:42" x14ac:dyDescent="0.45">
      <c r="A26" t="s">
        <v>42</v>
      </c>
      <c r="B26" t="s">
        <v>43</v>
      </c>
      <c r="C26" t="s">
        <v>44</v>
      </c>
      <c r="D26">
        <v>2024</v>
      </c>
      <c r="E26" t="s">
        <v>45</v>
      </c>
      <c r="F26" t="s">
        <v>46</v>
      </c>
      <c r="J26" t="s">
        <v>197</v>
      </c>
      <c r="K26" t="s">
        <v>198</v>
      </c>
      <c r="L26" t="s">
        <v>199</v>
      </c>
      <c r="M26" t="s">
        <v>200</v>
      </c>
      <c r="N26" t="s">
        <v>201</v>
      </c>
      <c r="O26" t="s">
        <v>202</v>
      </c>
      <c r="P26" t="s">
        <v>203</v>
      </c>
      <c r="Q26" t="s">
        <v>54</v>
      </c>
      <c r="S26">
        <v>15</v>
      </c>
      <c r="T26" t="s">
        <v>204</v>
      </c>
      <c r="U26">
        <v>301</v>
      </c>
      <c r="V26">
        <v>11619</v>
      </c>
      <c r="W26">
        <v>2.5899999999999999E-2</v>
      </c>
      <c r="X26" t="s">
        <v>56</v>
      </c>
      <c r="Y26" t="s">
        <v>57</v>
      </c>
      <c r="Z26">
        <v>797.74</v>
      </c>
      <c r="AA26">
        <v>2242.98</v>
      </c>
      <c r="AB26">
        <v>1789312</v>
      </c>
      <c r="AC26" t="b">
        <v>0</v>
      </c>
      <c r="AD26" t="b">
        <v>0</v>
      </c>
      <c r="AE26" t="b">
        <v>0</v>
      </c>
      <c r="AF26" t="b">
        <v>0</v>
      </c>
      <c r="AG26" t="s">
        <v>58</v>
      </c>
      <c r="AH26">
        <v>-15</v>
      </c>
      <c r="AI26" t="s">
        <v>59</v>
      </c>
      <c r="AJ26" t="s">
        <v>60</v>
      </c>
      <c r="AK26" t="s">
        <v>205</v>
      </c>
      <c r="AL26" t="s">
        <v>206</v>
      </c>
      <c r="AM26" t="s">
        <v>62</v>
      </c>
      <c r="AN26" t="s">
        <v>63</v>
      </c>
      <c r="AO26" t="s">
        <v>64</v>
      </c>
      <c r="AP26" t="s">
        <v>198</v>
      </c>
    </row>
    <row r="27" spans="1:42" x14ac:dyDescent="0.45">
      <c r="A27" t="s">
        <v>42</v>
      </c>
      <c r="B27" t="s">
        <v>43</v>
      </c>
      <c r="C27" t="s">
        <v>44</v>
      </c>
      <c r="D27">
        <v>2024</v>
      </c>
      <c r="E27" t="s">
        <v>45</v>
      </c>
      <c r="F27" t="s">
        <v>46</v>
      </c>
      <c r="J27" t="s">
        <v>207</v>
      </c>
      <c r="K27" t="s">
        <v>208</v>
      </c>
      <c r="L27" t="s">
        <v>209</v>
      </c>
      <c r="M27" t="s">
        <v>210</v>
      </c>
      <c r="N27" t="s">
        <v>51</v>
      </c>
      <c r="O27" t="s">
        <v>52</v>
      </c>
      <c r="P27" t="s">
        <v>53</v>
      </c>
      <c r="Q27" t="s">
        <v>54</v>
      </c>
      <c r="S27">
        <v>18</v>
      </c>
      <c r="T27" t="s">
        <v>211</v>
      </c>
      <c r="U27">
        <v>527</v>
      </c>
      <c r="V27">
        <v>11619</v>
      </c>
      <c r="W27">
        <v>4.5400000000000003E-2</v>
      </c>
      <c r="X27" t="s">
        <v>56</v>
      </c>
      <c r="Y27" t="s">
        <v>57</v>
      </c>
      <c r="Z27">
        <v>795.66</v>
      </c>
      <c r="AA27">
        <v>102.15</v>
      </c>
      <c r="AB27">
        <v>81279</v>
      </c>
      <c r="AC27" t="b">
        <v>0</v>
      </c>
      <c r="AD27" t="b">
        <v>0</v>
      </c>
      <c r="AE27" t="b">
        <v>0</v>
      </c>
      <c r="AF27" t="b">
        <v>0</v>
      </c>
      <c r="AG27" t="s">
        <v>58</v>
      </c>
      <c r="AH27">
        <v>-15</v>
      </c>
      <c r="AI27" t="s">
        <v>59</v>
      </c>
      <c r="AJ27" t="s">
        <v>60</v>
      </c>
      <c r="AK27" t="s">
        <v>140</v>
      </c>
      <c r="AL27" t="s">
        <v>141</v>
      </c>
      <c r="AM27" t="s">
        <v>62</v>
      </c>
      <c r="AN27" t="s">
        <v>63</v>
      </c>
      <c r="AO27" t="s">
        <v>64</v>
      </c>
      <c r="AP27" t="s">
        <v>208</v>
      </c>
    </row>
    <row r="28" spans="1:42" x14ac:dyDescent="0.45">
      <c r="A28" t="s">
        <v>42</v>
      </c>
      <c r="B28" t="s">
        <v>43</v>
      </c>
      <c r="C28" t="s">
        <v>44</v>
      </c>
      <c r="D28">
        <v>2024</v>
      </c>
      <c r="E28" t="s">
        <v>45</v>
      </c>
      <c r="F28" t="s">
        <v>46</v>
      </c>
      <c r="J28" t="s">
        <v>212</v>
      </c>
      <c r="K28" t="s">
        <v>213</v>
      </c>
      <c r="L28" t="s">
        <v>214</v>
      </c>
      <c r="M28" t="s">
        <v>215</v>
      </c>
      <c r="N28" t="s">
        <v>51</v>
      </c>
      <c r="O28" t="s">
        <v>52</v>
      </c>
      <c r="P28" t="s">
        <v>53</v>
      </c>
      <c r="Q28" t="s">
        <v>54</v>
      </c>
      <c r="S28">
        <v>25</v>
      </c>
      <c r="T28" t="s">
        <v>216</v>
      </c>
      <c r="U28">
        <v>60</v>
      </c>
      <c r="V28">
        <v>11619</v>
      </c>
      <c r="W28">
        <v>5.1999999999999998E-3</v>
      </c>
      <c r="X28" t="s">
        <v>56</v>
      </c>
      <c r="Y28" t="s">
        <v>57</v>
      </c>
      <c r="Z28">
        <v>853.11</v>
      </c>
      <c r="AA28">
        <v>15.71</v>
      </c>
      <c r="AB28">
        <v>13403</v>
      </c>
      <c r="AC28" t="b">
        <v>0</v>
      </c>
      <c r="AD28" t="b">
        <v>0</v>
      </c>
      <c r="AE28" t="b">
        <v>0</v>
      </c>
      <c r="AF28" t="b">
        <v>0</v>
      </c>
      <c r="AG28" t="s">
        <v>58</v>
      </c>
      <c r="AH28">
        <v>-15</v>
      </c>
      <c r="AI28" t="s">
        <v>59</v>
      </c>
      <c r="AJ28" t="s">
        <v>60</v>
      </c>
      <c r="AK28" t="s">
        <v>128</v>
      </c>
      <c r="AL28" t="s">
        <v>129</v>
      </c>
      <c r="AM28" t="s">
        <v>62</v>
      </c>
      <c r="AN28" t="s">
        <v>63</v>
      </c>
      <c r="AO28" t="s">
        <v>64</v>
      </c>
      <c r="AP28" t="s">
        <v>213</v>
      </c>
    </row>
    <row r="29" spans="1:42" x14ac:dyDescent="0.45">
      <c r="A29" t="s">
        <v>42</v>
      </c>
      <c r="B29" t="s">
        <v>43</v>
      </c>
      <c r="C29" t="s">
        <v>44</v>
      </c>
      <c r="D29">
        <v>2024</v>
      </c>
      <c r="E29" t="s">
        <v>45</v>
      </c>
      <c r="F29" t="s">
        <v>46</v>
      </c>
      <c r="G29">
        <v>3</v>
      </c>
      <c r="J29" t="s">
        <v>217</v>
      </c>
      <c r="K29" t="s">
        <v>218</v>
      </c>
      <c r="L29" t="s">
        <v>219</v>
      </c>
      <c r="M29" t="s">
        <v>220</v>
      </c>
      <c r="N29" t="s">
        <v>221</v>
      </c>
      <c r="O29" t="s">
        <v>222</v>
      </c>
      <c r="P29" t="s">
        <v>223</v>
      </c>
      <c r="Q29" t="s">
        <v>54</v>
      </c>
      <c r="S29">
        <v>0</v>
      </c>
      <c r="T29" t="s">
        <v>224</v>
      </c>
      <c r="U29">
        <v>6389</v>
      </c>
      <c r="V29">
        <v>11619</v>
      </c>
      <c r="W29">
        <v>0.54990000000000006</v>
      </c>
      <c r="X29" t="s">
        <v>196</v>
      </c>
      <c r="Y29" t="s">
        <v>57</v>
      </c>
      <c r="Z29">
        <v>51.7</v>
      </c>
      <c r="AA29">
        <v>46012.12</v>
      </c>
      <c r="AB29">
        <v>2378699</v>
      </c>
      <c r="AC29" t="b">
        <v>0</v>
      </c>
      <c r="AD29" t="b">
        <v>0</v>
      </c>
      <c r="AE29" t="b">
        <v>0</v>
      </c>
      <c r="AF29" t="b">
        <v>0</v>
      </c>
      <c r="AG29" t="s">
        <v>58</v>
      </c>
      <c r="AH29">
        <v>16</v>
      </c>
      <c r="AI29" t="s">
        <v>59</v>
      </c>
      <c r="AJ29" t="s">
        <v>60</v>
      </c>
      <c r="AL29" t="s">
        <v>225</v>
      </c>
      <c r="AM29" t="s">
        <v>62</v>
      </c>
      <c r="AN29" t="s">
        <v>63</v>
      </c>
      <c r="AO29" t="s">
        <v>64</v>
      </c>
      <c r="AP29" t="s">
        <v>218</v>
      </c>
    </row>
    <row r="30" spans="1:42" x14ac:dyDescent="0.45">
      <c r="A30" t="s">
        <v>42</v>
      </c>
      <c r="B30" t="s">
        <v>43</v>
      </c>
      <c r="C30" t="s">
        <v>44</v>
      </c>
      <c r="D30">
        <v>2024</v>
      </c>
      <c r="E30" t="s">
        <v>45</v>
      </c>
      <c r="F30" t="s">
        <v>46</v>
      </c>
      <c r="J30" t="s">
        <v>226</v>
      </c>
      <c r="K30" t="s">
        <v>227</v>
      </c>
      <c r="L30" t="s">
        <v>228</v>
      </c>
      <c r="M30" t="s">
        <v>229</v>
      </c>
      <c r="N30" t="s">
        <v>51</v>
      </c>
      <c r="O30" t="s">
        <v>52</v>
      </c>
      <c r="P30" t="s">
        <v>53</v>
      </c>
      <c r="Q30" t="s">
        <v>54</v>
      </c>
      <c r="S30">
        <v>29</v>
      </c>
      <c r="T30" t="s">
        <v>230</v>
      </c>
      <c r="U30">
        <v>568</v>
      </c>
      <c r="V30">
        <v>11619</v>
      </c>
      <c r="W30">
        <v>4.8899999999999999E-2</v>
      </c>
      <c r="X30" t="s">
        <v>56</v>
      </c>
      <c r="Y30" t="s">
        <v>57</v>
      </c>
      <c r="Z30">
        <v>836.03</v>
      </c>
      <c r="AA30">
        <v>25.29</v>
      </c>
      <c r="AB30">
        <v>21142</v>
      </c>
      <c r="AC30" t="b">
        <v>0</v>
      </c>
      <c r="AD30" t="b">
        <v>0</v>
      </c>
      <c r="AE30" t="b">
        <v>0</v>
      </c>
      <c r="AF30" t="b">
        <v>0</v>
      </c>
      <c r="AG30" t="s">
        <v>58</v>
      </c>
      <c r="AH30">
        <v>-15</v>
      </c>
      <c r="AI30" t="s">
        <v>59</v>
      </c>
      <c r="AJ30" t="s">
        <v>60</v>
      </c>
      <c r="AK30" t="s">
        <v>78</v>
      </c>
      <c r="AL30" t="s">
        <v>79</v>
      </c>
      <c r="AM30" t="s">
        <v>62</v>
      </c>
      <c r="AN30" t="s">
        <v>63</v>
      </c>
      <c r="AO30" t="s">
        <v>64</v>
      </c>
      <c r="AP30" t="s">
        <v>227</v>
      </c>
    </row>
    <row r="31" spans="1:42" x14ac:dyDescent="0.45">
      <c r="A31" t="s">
        <v>42</v>
      </c>
      <c r="B31" t="s">
        <v>43</v>
      </c>
      <c r="C31" t="s">
        <v>44</v>
      </c>
      <c r="D31">
        <v>2024</v>
      </c>
      <c r="E31" t="s">
        <v>45</v>
      </c>
      <c r="F31" t="s">
        <v>46</v>
      </c>
      <c r="J31" t="s">
        <v>231</v>
      </c>
      <c r="K31" t="s">
        <v>232</v>
      </c>
      <c r="L31" t="s">
        <v>233</v>
      </c>
      <c r="M31" t="s">
        <v>234</v>
      </c>
      <c r="N31" t="s">
        <v>51</v>
      </c>
      <c r="O31" t="s">
        <v>52</v>
      </c>
      <c r="P31" t="s">
        <v>53</v>
      </c>
      <c r="Q31" t="s">
        <v>54</v>
      </c>
      <c r="S31">
        <v>20</v>
      </c>
      <c r="T31" t="s">
        <v>235</v>
      </c>
      <c r="U31">
        <v>337</v>
      </c>
      <c r="V31">
        <v>11619</v>
      </c>
      <c r="W31">
        <v>2.9000000000000001E-2</v>
      </c>
      <c r="X31" t="s">
        <v>56</v>
      </c>
      <c r="Y31" t="s">
        <v>57</v>
      </c>
      <c r="Z31">
        <v>913.16</v>
      </c>
      <c r="AA31">
        <v>855.27</v>
      </c>
      <c r="AB31">
        <v>780993</v>
      </c>
      <c r="AC31" t="b">
        <v>0</v>
      </c>
      <c r="AD31" t="b">
        <v>0</v>
      </c>
      <c r="AE31" t="b">
        <v>0</v>
      </c>
      <c r="AF31" t="b">
        <v>0</v>
      </c>
      <c r="AG31" t="s">
        <v>58</v>
      </c>
      <c r="AH31">
        <v>14</v>
      </c>
      <c r="AI31" t="s">
        <v>169</v>
      </c>
      <c r="AJ31" t="s">
        <v>60</v>
      </c>
      <c r="AL31" t="s">
        <v>170</v>
      </c>
      <c r="AM31" t="s">
        <v>62</v>
      </c>
      <c r="AN31" t="s">
        <v>63</v>
      </c>
      <c r="AO31" t="s">
        <v>64</v>
      </c>
      <c r="AP31" t="s">
        <v>232</v>
      </c>
    </row>
    <row r="32" spans="1:42" x14ac:dyDescent="0.45">
      <c r="A32" t="s">
        <v>42</v>
      </c>
      <c r="B32" t="s">
        <v>43</v>
      </c>
      <c r="C32" t="s">
        <v>236</v>
      </c>
      <c r="D32">
        <v>2025</v>
      </c>
      <c r="E32" t="s">
        <v>45</v>
      </c>
      <c r="F32" t="s">
        <v>46</v>
      </c>
      <c r="G32">
        <v>11</v>
      </c>
      <c r="J32" t="s">
        <v>237</v>
      </c>
      <c r="K32" t="s">
        <v>238</v>
      </c>
      <c r="L32" t="s">
        <v>239</v>
      </c>
      <c r="M32" t="s">
        <v>240</v>
      </c>
      <c r="N32" t="s">
        <v>51</v>
      </c>
      <c r="O32" t="s">
        <v>52</v>
      </c>
      <c r="P32" t="s">
        <v>53</v>
      </c>
      <c r="S32">
        <v>0</v>
      </c>
      <c r="T32" t="s">
        <v>241</v>
      </c>
      <c r="U32">
        <v>22436</v>
      </c>
      <c r="V32">
        <v>12188</v>
      </c>
      <c r="W32">
        <v>1.8408</v>
      </c>
      <c r="X32" t="s">
        <v>242</v>
      </c>
      <c r="Y32" t="s">
        <v>243</v>
      </c>
      <c r="Z32">
        <v>262.76</v>
      </c>
      <c r="AA32">
        <v>23710.55</v>
      </c>
      <c r="AB32">
        <v>6230289</v>
      </c>
      <c r="AC32" t="b">
        <v>1</v>
      </c>
      <c r="AD32" t="b">
        <v>1</v>
      </c>
      <c r="AE32" t="b">
        <v>0</v>
      </c>
      <c r="AF32" t="b">
        <v>0</v>
      </c>
      <c r="AG32" t="s">
        <v>58</v>
      </c>
      <c r="AH32">
        <v>14</v>
      </c>
      <c r="AI32" t="s">
        <v>59</v>
      </c>
      <c r="AJ32" t="s">
        <v>71</v>
      </c>
      <c r="AL32" t="s">
        <v>244</v>
      </c>
      <c r="AM32" t="s">
        <v>245</v>
      </c>
      <c r="AN32" t="s">
        <v>63</v>
      </c>
      <c r="AO32" t="s">
        <v>246</v>
      </c>
      <c r="AP32" t="s">
        <v>238</v>
      </c>
    </row>
    <row r="33" spans="1:42" x14ac:dyDescent="0.45">
      <c r="A33" t="s">
        <v>42</v>
      </c>
      <c r="B33" t="s">
        <v>43</v>
      </c>
      <c r="C33" t="s">
        <v>236</v>
      </c>
      <c r="D33">
        <v>2025</v>
      </c>
      <c r="E33" t="s">
        <v>45</v>
      </c>
      <c r="F33" t="s">
        <v>46</v>
      </c>
      <c r="G33">
        <v>6</v>
      </c>
      <c r="J33" t="s">
        <v>247</v>
      </c>
      <c r="K33" t="s">
        <v>248</v>
      </c>
      <c r="L33" t="s">
        <v>249</v>
      </c>
      <c r="M33" t="s">
        <v>250</v>
      </c>
      <c r="N33" t="s">
        <v>51</v>
      </c>
      <c r="O33" t="s">
        <v>52</v>
      </c>
      <c r="P33" t="s">
        <v>53</v>
      </c>
      <c r="S33">
        <v>2</v>
      </c>
      <c r="T33" t="s">
        <v>251</v>
      </c>
      <c r="U33">
        <v>18514</v>
      </c>
      <c r="V33">
        <v>12188</v>
      </c>
      <c r="W33">
        <v>1.5189999999999999</v>
      </c>
      <c r="X33" t="s">
        <v>70</v>
      </c>
      <c r="Y33" t="s">
        <v>243</v>
      </c>
      <c r="Z33">
        <v>290.76</v>
      </c>
      <c r="AA33">
        <v>25997.91</v>
      </c>
      <c r="AB33">
        <v>7559268</v>
      </c>
      <c r="AC33" t="b">
        <v>1</v>
      </c>
      <c r="AD33" t="b">
        <v>0</v>
      </c>
      <c r="AE33" t="b">
        <v>0</v>
      </c>
      <c r="AF33" t="b">
        <v>0</v>
      </c>
      <c r="AG33" t="s">
        <v>58</v>
      </c>
      <c r="AH33">
        <v>14</v>
      </c>
      <c r="AI33" t="s">
        <v>59</v>
      </c>
      <c r="AJ33" t="s">
        <v>60</v>
      </c>
      <c r="AK33" t="s">
        <v>252</v>
      </c>
      <c r="AL33" t="s">
        <v>253</v>
      </c>
      <c r="AM33" t="s">
        <v>245</v>
      </c>
      <c r="AN33" t="s">
        <v>63</v>
      </c>
      <c r="AO33" t="s">
        <v>246</v>
      </c>
      <c r="AP33" t="s">
        <v>248</v>
      </c>
    </row>
    <row r="34" spans="1:42" x14ac:dyDescent="0.45">
      <c r="A34" t="s">
        <v>42</v>
      </c>
      <c r="B34" t="s">
        <v>43</v>
      </c>
      <c r="C34" t="s">
        <v>236</v>
      </c>
      <c r="D34">
        <v>2025</v>
      </c>
      <c r="E34" t="s">
        <v>45</v>
      </c>
      <c r="F34" t="s">
        <v>46</v>
      </c>
      <c r="G34">
        <v>10</v>
      </c>
      <c r="J34" t="s">
        <v>254</v>
      </c>
      <c r="K34" t="s">
        <v>255</v>
      </c>
      <c r="L34" t="s">
        <v>256</v>
      </c>
      <c r="M34" t="s">
        <v>257</v>
      </c>
      <c r="N34" t="s">
        <v>51</v>
      </c>
      <c r="O34" t="s">
        <v>52</v>
      </c>
      <c r="P34" t="s">
        <v>53</v>
      </c>
      <c r="S34">
        <v>2</v>
      </c>
      <c r="T34" t="s">
        <v>258</v>
      </c>
      <c r="U34">
        <v>11645</v>
      </c>
      <c r="V34">
        <v>12188</v>
      </c>
      <c r="W34">
        <v>0.95540000000000003</v>
      </c>
      <c r="X34" t="s">
        <v>70</v>
      </c>
      <c r="Y34" t="s">
        <v>243</v>
      </c>
      <c r="Z34">
        <v>268.76</v>
      </c>
      <c r="AA34">
        <v>15856.3</v>
      </c>
      <c r="AB34">
        <v>4261610</v>
      </c>
      <c r="AC34" t="b">
        <v>1</v>
      </c>
      <c r="AD34" t="b">
        <v>1</v>
      </c>
      <c r="AE34" t="b">
        <v>0</v>
      </c>
      <c r="AF34" t="b">
        <v>0</v>
      </c>
      <c r="AG34" t="s">
        <v>58</v>
      </c>
      <c r="AH34">
        <v>14</v>
      </c>
      <c r="AI34" t="s">
        <v>59</v>
      </c>
      <c r="AJ34" t="s">
        <v>71</v>
      </c>
      <c r="AL34" t="s">
        <v>244</v>
      </c>
      <c r="AM34" t="s">
        <v>245</v>
      </c>
      <c r="AN34" t="s">
        <v>63</v>
      </c>
      <c r="AO34" t="s">
        <v>246</v>
      </c>
      <c r="AP34" t="s">
        <v>255</v>
      </c>
    </row>
    <row r="35" spans="1:42" x14ac:dyDescent="0.45">
      <c r="A35" t="s">
        <v>42</v>
      </c>
      <c r="B35" t="s">
        <v>43</v>
      </c>
      <c r="C35" t="s">
        <v>236</v>
      </c>
      <c r="D35">
        <v>2025</v>
      </c>
      <c r="E35" t="s">
        <v>45</v>
      </c>
      <c r="F35" t="s">
        <v>46</v>
      </c>
      <c r="J35" t="s">
        <v>259</v>
      </c>
      <c r="K35" t="s">
        <v>260</v>
      </c>
      <c r="L35" t="s">
        <v>261</v>
      </c>
      <c r="M35" t="s">
        <v>262</v>
      </c>
      <c r="N35" t="s">
        <v>201</v>
      </c>
      <c r="O35" t="s">
        <v>202</v>
      </c>
      <c r="P35" t="s">
        <v>203</v>
      </c>
      <c r="S35">
        <v>10</v>
      </c>
      <c r="T35" t="s">
        <v>263</v>
      </c>
      <c r="U35">
        <v>320</v>
      </c>
      <c r="V35">
        <v>12188</v>
      </c>
      <c r="W35">
        <v>2.63E-2</v>
      </c>
      <c r="X35" t="s">
        <v>56</v>
      </c>
      <c r="Y35" t="s">
        <v>243</v>
      </c>
      <c r="Z35">
        <v>3.08</v>
      </c>
      <c r="AA35">
        <v>581527.26</v>
      </c>
      <c r="AB35">
        <v>1789357</v>
      </c>
      <c r="AC35" t="b">
        <v>0</v>
      </c>
      <c r="AD35" t="b">
        <v>0</v>
      </c>
      <c r="AE35" t="b">
        <v>0</v>
      </c>
      <c r="AF35" t="b">
        <v>0</v>
      </c>
      <c r="AG35" t="s">
        <v>58</v>
      </c>
      <c r="AH35">
        <v>-15</v>
      </c>
      <c r="AI35" t="s">
        <v>59</v>
      </c>
      <c r="AJ35" t="s">
        <v>60</v>
      </c>
      <c r="AK35" t="s">
        <v>264</v>
      </c>
      <c r="AL35" t="s">
        <v>265</v>
      </c>
      <c r="AM35" t="s">
        <v>245</v>
      </c>
      <c r="AN35" t="s">
        <v>63</v>
      </c>
      <c r="AO35" t="s">
        <v>246</v>
      </c>
      <c r="AP35" t="s">
        <v>260</v>
      </c>
    </row>
    <row r="36" spans="1:42" x14ac:dyDescent="0.45">
      <c r="A36" t="s">
        <v>42</v>
      </c>
      <c r="B36" t="s">
        <v>43</v>
      </c>
      <c r="C36" t="s">
        <v>236</v>
      </c>
      <c r="D36">
        <v>2025</v>
      </c>
      <c r="E36" t="s">
        <v>45</v>
      </c>
      <c r="F36" t="s">
        <v>46</v>
      </c>
      <c r="G36">
        <v>3</v>
      </c>
      <c r="J36" t="s">
        <v>266</v>
      </c>
      <c r="K36" t="s">
        <v>267</v>
      </c>
      <c r="L36" t="s">
        <v>268</v>
      </c>
      <c r="M36" t="s">
        <v>269</v>
      </c>
      <c r="N36" t="s">
        <v>51</v>
      </c>
      <c r="O36" t="s">
        <v>52</v>
      </c>
      <c r="P36" t="s">
        <v>53</v>
      </c>
      <c r="S36">
        <v>0</v>
      </c>
      <c r="T36" t="s">
        <v>270</v>
      </c>
      <c r="U36">
        <v>20932</v>
      </c>
      <c r="V36">
        <v>12188</v>
      </c>
      <c r="W36">
        <v>1.7174</v>
      </c>
      <c r="X36" t="s">
        <v>242</v>
      </c>
      <c r="Y36" t="s">
        <v>243</v>
      </c>
      <c r="Z36">
        <v>311.79000000000002</v>
      </c>
      <c r="AA36">
        <v>28150.86</v>
      </c>
      <c r="AB36">
        <v>8777025</v>
      </c>
      <c r="AC36" t="b">
        <v>1</v>
      </c>
      <c r="AD36" t="b">
        <v>0</v>
      </c>
      <c r="AE36" t="b">
        <v>0</v>
      </c>
      <c r="AF36" t="b">
        <v>0</v>
      </c>
      <c r="AG36" t="s">
        <v>58</v>
      </c>
      <c r="AH36">
        <v>14</v>
      </c>
      <c r="AI36" t="s">
        <v>59</v>
      </c>
      <c r="AJ36" t="s">
        <v>60</v>
      </c>
      <c r="AK36" t="s">
        <v>252</v>
      </c>
      <c r="AL36" t="s">
        <v>253</v>
      </c>
      <c r="AM36" t="s">
        <v>245</v>
      </c>
      <c r="AN36" t="s">
        <v>63</v>
      </c>
      <c r="AO36" t="s">
        <v>246</v>
      </c>
      <c r="AP36" t="s">
        <v>267</v>
      </c>
    </row>
    <row r="37" spans="1:42" x14ac:dyDescent="0.45">
      <c r="A37" t="s">
        <v>42</v>
      </c>
      <c r="B37" t="s">
        <v>43</v>
      </c>
      <c r="C37" t="s">
        <v>236</v>
      </c>
      <c r="D37">
        <v>2025</v>
      </c>
      <c r="E37" t="s">
        <v>45</v>
      </c>
      <c r="F37" t="s">
        <v>46</v>
      </c>
      <c r="J37" t="s">
        <v>271</v>
      </c>
      <c r="K37" t="s">
        <v>272</v>
      </c>
      <c r="L37" t="s">
        <v>273</v>
      </c>
      <c r="M37" t="s">
        <v>274</v>
      </c>
      <c r="N37" t="s">
        <v>201</v>
      </c>
      <c r="O37" t="s">
        <v>202</v>
      </c>
      <c r="P37" t="s">
        <v>203</v>
      </c>
      <c r="S37">
        <v>17</v>
      </c>
      <c r="T37" t="s">
        <v>275</v>
      </c>
      <c r="U37">
        <v>312</v>
      </c>
      <c r="V37">
        <v>12188</v>
      </c>
      <c r="W37">
        <v>2.5600000000000001E-2</v>
      </c>
      <c r="X37" t="s">
        <v>56</v>
      </c>
      <c r="Y37" t="s">
        <v>243</v>
      </c>
      <c r="Z37">
        <v>3.16</v>
      </c>
      <c r="AA37">
        <v>61084.46</v>
      </c>
      <c r="AB37">
        <v>193047</v>
      </c>
      <c r="AC37" t="b">
        <v>0</v>
      </c>
      <c r="AD37" t="b">
        <v>0</v>
      </c>
      <c r="AE37" t="b">
        <v>0</v>
      </c>
      <c r="AF37" t="b">
        <v>0</v>
      </c>
      <c r="AG37" t="s">
        <v>58</v>
      </c>
      <c r="AH37">
        <v>-15</v>
      </c>
      <c r="AI37" t="s">
        <v>59</v>
      </c>
      <c r="AJ37" t="s">
        <v>60</v>
      </c>
      <c r="AK37" t="s">
        <v>264</v>
      </c>
      <c r="AL37" t="s">
        <v>265</v>
      </c>
      <c r="AM37" t="s">
        <v>245</v>
      </c>
      <c r="AN37" t="s">
        <v>63</v>
      </c>
      <c r="AO37" t="s">
        <v>246</v>
      </c>
      <c r="AP37" t="s">
        <v>272</v>
      </c>
    </row>
    <row r="38" spans="1:42" x14ac:dyDescent="0.45">
      <c r="A38" t="s">
        <v>42</v>
      </c>
      <c r="B38" t="s">
        <v>43</v>
      </c>
      <c r="C38" t="s">
        <v>236</v>
      </c>
      <c r="D38">
        <v>2025</v>
      </c>
      <c r="E38" t="s">
        <v>45</v>
      </c>
      <c r="F38" t="s">
        <v>46</v>
      </c>
      <c r="G38">
        <v>1</v>
      </c>
      <c r="J38" t="s">
        <v>276</v>
      </c>
      <c r="K38" t="s">
        <v>277</v>
      </c>
      <c r="L38" t="s">
        <v>278</v>
      </c>
      <c r="M38" t="s">
        <v>279</v>
      </c>
      <c r="N38" t="s">
        <v>51</v>
      </c>
      <c r="O38" t="s">
        <v>52</v>
      </c>
      <c r="P38" t="s">
        <v>53</v>
      </c>
      <c r="S38">
        <v>14</v>
      </c>
      <c r="T38" t="s">
        <v>280</v>
      </c>
      <c r="U38">
        <v>19096</v>
      </c>
      <c r="V38">
        <v>12188</v>
      </c>
      <c r="W38">
        <v>1.5668</v>
      </c>
      <c r="X38" t="s">
        <v>70</v>
      </c>
      <c r="Y38" t="s">
        <v>243</v>
      </c>
      <c r="Z38">
        <v>38.79</v>
      </c>
      <c r="AA38">
        <v>207386.84</v>
      </c>
      <c r="AB38">
        <v>8043567</v>
      </c>
      <c r="AC38" t="b">
        <v>0</v>
      </c>
      <c r="AD38" t="b">
        <v>0</v>
      </c>
      <c r="AE38" t="b">
        <v>0</v>
      </c>
      <c r="AF38" t="b">
        <v>0</v>
      </c>
      <c r="AG38" t="s">
        <v>58</v>
      </c>
      <c r="AH38">
        <v>10</v>
      </c>
      <c r="AI38" t="s">
        <v>59</v>
      </c>
      <c r="AJ38" t="s">
        <v>60</v>
      </c>
      <c r="AL38" t="s">
        <v>281</v>
      </c>
      <c r="AM38" t="s">
        <v>245</v>
      </c>
      <c r="AN38" t="s">
        <v>63</v>
      </c>
      <c r="AO38" t="s">
        <v>246</v>
      </c>
      <c r="AP38" t="s">
        <v>277</v>
      </c>
    </row>
    <row r="39" spans="1:42" x14ac:dyDescent="0.45">
      <c r="A39" t="s">
        <v>42</v>
      </c>
      <c r="B39" t="s">
        <v>43</v>
      </c>
      <c r="C39" t="s">
        <v>236</v>
      </c>
      <c r="D39">
        <v>2025</v>
      </c>
      <c r="E39" t="s">
        <v>45</v>
      </c>
      <c r="F39" t="s">
        <v>46</v>
      </c>
      <c r="G39">
        <v>6</v>
      </c>
      <c r="J39" t="s">
        <v>282</v>
      </c>
      <c r="K39" t="s">
        <v>283</v>
      </c>
      <c r="L39" t="s">
        <v>284</v>
      </c>
      <c r="M39" t="s">
        <v>285</v>
      </c>
      <c r="N39" t="s">
        <v>51</v>
      </c>
      <c r="O39" t="s">
        <v>52</v>
      </c>
      <c r="P39" t="s">
        <v>53</v>
      </c>
      <c r="S39">
        <v>2</v>
      </c>
      <c r="T39" t="s">
        <v>286</v>
      </c>
      <c r="U39">
        <v>13491</v>
      </c>
      <c r="V39">
        <v>12188</v>
      </c>
      <c r="W39">
        <v>1.1069</v>
      </c>
      <c r="X39" t="s">
        <v>70</v>
      </c>
      <c r="Y39" t="s">
        <v>243</v>
      </c>
      <c r="Z39">
        <v>3.74</v>
      </c>
      <c r="AA39">
        <v>847847.51</v>
      </c>
      <c r="AB39">
        <v>3174055</v>
      </c>
      <c r="AC39" t="b">
        <v>0</v>
      </c>
      <c r="AD39" t="b">
        <v>0</v>
      </c>
      <c r="AE39" t="b">
        <v>0</v>
      </c>
      <c r="AF39" t="b">
        <v>0</v>
      </c>
      <c r="AG39" t="s">
        <v>58</v>
      </c>
      <c r="AH39">
        <v>10</v>
      </c>
      <c r="AI39" t="s">
        <v>59</v>
      </c>
      <c r="AJ39" t="s">
        <v>60</v>
      </c>
      <c r="AL39" t="s">
        <v>281</v>
      </c>
      <c r="AM39" t="s">
        <v>245</v>
      </c>
      <c r="AN39" t="s">
        <v>63</v>
      </c>
      <c r="AO39" t="s">
        <v>246</v>
      </c>
      <c r="AP39" t="s">
        <v>283</v>
      </c>
    </row>
    <row r="40" spans="1:42" x14ac:dyDescent="0.45">
      <c r="A40" t="s">
        <v>42</v>
      </c>
      <c r="B40" t="s">
        <v>43</v>
      </c>
      <c r="C40" t="s">
        <v>236</v>
      </c>
      <c r="D40">
        <v>2025</v>
      </c>
      <c r="E40" t="s">
        <v>45</v>
      </c>
      <c r="F40" t="s">
        <v>46</v>
      </c>
      <c r="J40" t="s">
        <v>287</v>
      </c>
      <c r="K40" t="s">
        <v>288</v>
      </c>
      <c r="L40" t="s">
        <v>289</v>
      </c>
      <c r="M40" t="s">
        <v>290</v>
      </c>
      <c r="N40" t="s">
        <v>291</v>
      </c>
      <c r="O40" t="s">
        <v>292</v>
      </c>
      <c r="P40" t="s">
        <v>293</v>
      </c>
      <c r="S40">
        <v>11</v>
      </c>
      <c r="T40" t="s">
        <v>294</v>
      </c>
      <c r="U40">
        <v>13640</v>
      </c>
      <c r="V40">
        <v>12188</v>
      </c>
      <c r="W40">
        <v>1.1191</v>
      </c>
      <c r="X40" t="s">
        <v>70</v>
      </c>
      <c r="Y40" t="s">
        <v>243</v>
      </c>
      <c r="Z40">
        <v>231.74</v>
      </c>
      <c r="AA40">
        <v>1326.25</v>
      </c>
      <c r="AB40">
        <v>307350</v>
      </c>
      <c r="AC40" t="b">
        <v>0</v>
      </c>
      <c r="AD40" t="b">
        <v>0</v>
      </c>
      <c r="AE40" t="b">
        <v>0</v>
      </c>
      <c r="AF40" t="b">
        <v>0</v>
      </c>
      <c r="AG40" t="s">
        <v>58</v>
      </c>
      <c r="AH40">
        <v>-15</v>
      </c>
      <c r="AI40" t="s">
        <v>59</v>
      </c>
      <c r="AJ40" t="s">
        <v>60</v>
      </c>
      <c r="AK40" t="s">
        <v>295</v>
      </c>
      <c r="AL40" t="s">
        <v>296</v>
      </c>
      <c r="AM40" t="s">
        <v>245</v>
      </c>
      <c r="AN40" t="s">
        <v>63</v>
      </c>
      <c r="AO40" t="s">
        <v>246</v>
      </c>
      <c r="AP40" t="s">
        <v>288</v>
      </c>
    </row>
    <row r="41" spans="1:42" x14ac:dyDescent="0.45">
      <c r="A41" t="s">
        <v>42</v>
      </c>
      <c r="B41" t="s">
        <v>43</v>
      </c>
      <c r="C41" t="s">
        <v>236</v>
      </c>
      <c r="D41">
        <v>2025</v>
      </c>
      <c r="E41" t="s">
        <v>45</v>
      </c>
      <c r="F41" t="s">
        <v>46</v>
      </c>
      <c r="G41">
        <v>7</v>
      </c>
      <c r="J41" t="s">
        <v>297</v>
      </c>
      <c r="K41" t="s">
        <v>298</v>
      </c>
      <c r="L41" t="s">
        <v>299</v>
      </c>
      <c r="M41" t="s">
        <v>300</v>
      </c>
      <c r="N41" t="s">
        <v>51</v>
      </c>
      <c r="O41" t="s">
        <v>52</v>
      </c>
      <c r="P41" t="s">
        <v>53</v>
      </c>
      <c r="S41">
        <v>0</v>
      </c>
      <c r="T41" t="s">
        <v>301</v>
      </c>
      <c r="U41">
        <v>7360</v>
      </c>
      <c r="V41">
        <v>12188</v>
      </c>
      <c r="W41">
        <v>0.60389999999999999</v>
      </c>
      <c r="X41" t="s">
        <v>70</v>
      </c>
      <c r="Y41" t="s">
        <v>243</v>
      </c>
      <c r="Z41">
        <v>283.76</v>
      </c>
      <c r="AA41">
        <v>20897.39</v>
      </c>
      <c r="AB41">
        <v>5929937</v>
      </c>
      <c r="AC41" t="b">
        <v>1</v>
      </c>
      <c r="AD41" t="b">
        <v>1</v>
      </c>
      <c r="AE41" t="b">
        <v>0</v>
      </c>
      <c r="AF41" t="b">
        <v>0</v>
      </c>
      <c r="AG41" t="s">
        <v>58</v>
      </c>
      <c r="AH41">
        <v>14</v>
      </c>
      <c r="AI41" t="s">
        <v>59</v>
      </c>
      <c r="AJ41" t="s">
        <v>71</v>
      </c>
      <c r="AL41" t="s">
        <v>244</v>
      </c>
      <c r="AM41" t="s">
        <v>245</v>
      </c>
      <c r="AN41" t="s">
        <v>63</v>
      </c>
      <c r="AO41" t="s">
        <v>246</v>
      </c>
      <c r="AP41" t="s">
        <v>298</v>
      </c>
    </row>
    <row r="42" spans="1:42" x14ac:dyDescent="0.45">
      <c r="A42" t="s">
        <v>42</v>
      </c>
      <c r="B42" t="s">
        <v>43</v>
      </c>
      <c r="C42" t="s">
        <v>236</v>
      </c>
      <c r="D42">
        <v>2025</v>
      </c>
      <c r="E42" t="s">
        <v>45</v>
      </c>
      <c r="F42" t="s">
        <v>46</v>
      </c>
      <c r="G42">
        <v>4</v>
      </c>
      <c r="J42" t="s">
        <v>302</v>
      </c>
      <c r="K42" t="s">
        <v>303</v>
      </c>
      <c r="L42" t="s">
        <v>304</v>
      </c>
      <c r="M42" t="s">
        <v>305</v>
      </c>
      <c r="N42" t="s">
        <v>51</v>
      </c>
      <c r="O42" t="s">
        <v>52</v>
      </c>
      <c r="P42" t="s">
        <v>53</v>
      </c>
      <c r="S42">
        <v>0</v>
      </c>
      <c r="T42" t="s">
        <v>306</v>
      </c>
      <c r="U42">
        <v>8290</v>
      </c>
      <c r="V42">
        <v>12188</v>
      </c>
      <c r="W42">
        <v>0.68020000000000003</v>
      </c>
      <c r="X42" t="s">
        <v>70</v>
      </c>
      <c r="Y42" t="s">
        <v>243</v>
      </c>
      <c r="Z42">
        <v>304.74</v>
      </c>
      <c r="AA42">
        <v>14813.54</v>
      </c>
      <c r="AB42">
        <v>4514332</v>
      </c>
      <c r="AC42" t="b">
        <v>1</v>
      </c>
      <c r="AD42" t="b">
        <v>1</v>
      </c>
      <c r="AE42" t="b">
        <v>0</v>
      </c>
      <c r="AF42" t="b">
        <v>0</v>
      </c>
      <c r="AG42" t="s">
        <v>58</v>
      </c>
      <c r="AH42">
        <v>14</v>
      </c>
      <c r="AI42" t="s">
        <v>59</v>
      </c>
      <c r="AJ42" t="s">
        <v>71</v>
      </c>
      <c r="AL42" t="s">
        <v>244</v>
      </c>
      <c r="AM42" t="s">
        <v>245</v>
      </c>
      <c r="AN42" t="s">
        <v>63</v>
      </c>
      <c r="AO42" t="s">
        <v>246</v>
      </c>
      <c r="AP42" t="s">
        <v>303</v>
      </c>
    </row>
    <row r="43" spans="1:42" x14ac:dyDescent="0.45">
      <c r="A43" t="s">
        <v>42</v>
      </c>
      <c r="B43" t="s">
        <v>43</v>
      </c>
      <c r="C43" t="s">
        <v>236</v>
      </c>
      <c r="D43">
        <v>2025</v>
      </c>
      <c r="E43" t="s">
        <v>45</v>
      </c>
      <c r="F43" t="s">
        <v>46</v>
      </c>
      <c r="G43">
        <v>5</v>
      </c>
      <c r="J43" t="s">
        <v>307</v>
      </c>
      <c r="K43" t="s">
        <v>308</v>
      </c>
      <c r="L43" t="s">
        <v>309</v>
      </c>
      <c r="M43" t="s">
        <v>310</v>
      </c>
      <c r="N43" t="s">
        <v>51</v>
      </c>
      <c r="O43" t="s">
        <v>52</v>
      </c>
      <c r="P43" t="s">
        <v>53</v>
      </c>
      <c r="S43">
        <v>0</v>
      </c>
      <c r="T43" t="s">
        <v>311</v>
      </c>
      <c r="U43">
        <v>8810</v>
      </c>
      <c r="V43">
        <v>12188</v>
      </c>
      <c r="W43">
        <v>0.7228</v>
      </c>
      <c r="X43" t="s">
        <v>70</v>
      </c>
      <c r="Y43" t="s">
        <v>243</v>
      </c>
      <c r="Z43">
        <v>297.76</v>
      </c>
      <c r="AA43">
        <v>20338.16</v>
      </c>
      <c r="AB43">
        <v>6055983</v>
      </c>
      <c r="AC43" t="b">
        <v>1</v>
      </c>
      <c r="AD43" t="b">
        <v>1</v>
      </c>
      <c r="AE43" t="b">
        <v>0</v>
      </c>
      <c r="AF43" t="b">
        <v>0</v>
      </c>
      <c r="AG43" t="s">
        <v>58</v>
      </c>
      <c r="AH43">
        <v>14</v>
      </c>
      <c r="AI43" t="s">
        <v>59</v>
      </c>
      <c r="AJ43" t="s">
        <v>71</v>
      </c>
      <c r="AL43" t="s">
        <v>244</v>
      </c>
      <c r="AM43" t="s">
        <v>245</v>
      </c>
      <c r="AN43" t="s">
        <v>63</v>
      </c>
      <c r="AO43" t="s">
        <v>246</v>
      </c>
      <c r="AP43" t="s">
        <v>308</v>
      </c>
    </row>
    <row r="44" spans="1:42" x14ac:dyDescent="0.45">
      <c r="A44" t="s">
        <v>42</v>
      </c>
      <c r="B44" t="s">
        <v>43</v>
      </c>
      <c r="C44" t="s">
        <v>236</v>
      </c>
      <c r="D44">
        <v>2025</v>
      </c>
      <c r="E44" t="s">
        <v>45</v>
      </c>
      <c r="F44" t="s">
        <v>46</v>
      </c>
      <c r="G44">
        <v>8</v>
      </c>
      <c r="J44" t="s">
        <v>312</v>
      </c>
      <c r="K44" t="s">
        <v>313</v>
      </c>
      <c r="L44" t="s">
        <v>314</v>
      </c>
      <c r="M44" t="s">
        <v>315</v>
      </c>
      <c r="N44" t="s">
        <v>51</v>
      </c>
      <c r="O44" t="s">
        <v>52</v>
      </c>
      <c r="P44" t="s">
        <v>53</v>
      </c>
      <c r="S44">
        <v>1</v>
      </c>
      <c r="T44" t="s">
        <v>316</v>
      </c>
      <c r="U44">
        <v>14894</v>
      </c>
      <c r="V44">
        <v>12188</v>
      </c>
      <c r="W44">
        <v>1.222</v>
      </c>
      <c r="X44" t="s">
        <v>70</v>
      </c>
      <c r="Y44" t="s">
        <v>243</v>
      </c>
      <c r="Z44">
        <v>276.76</v>
      </c>
      <c r="AA44">
        <v>19467.240000000002</v>
      </c>
      <c r="AB44">
        <v>5387840</v>
      </c>
      <c r="AC44" t="b">
        <v>1</v>
      </c>
      <c r="AD44" t="b">
        <v>0</v>
      </c>
      <c r="AE44" t="b">
        <v>0</v>
      </c>
      <c r="AF44" t="b">
        <v>0</v>
      </c>
      <c r="AG44" t="s">
        <v>58</v>
      </c>
      <c r="AH44">
        <v>14</v>
      </c>
      <c r="AI44" t="s">
        <v>59</v>
      </c>
      <c r="AJ44" t="s">
        <v>60</v>
      </c>
      <c r="AK44" t="s">
        <v>252</v>
      </c>
      <c r="AL44" t="s">
        <v>253</v>
      </c>
      <c r="AM44" t="s">
        <v>245</v>
      </c>
      <c r="AN44" t="s">
        <v>63</v>
      </c>
      <c r="AO44" t="s">
        <v>246</v>
      </c>
      <c r="AP44" t="s">
        <v>313</v>
      </c>
    </row>
    <row r="45" spans="1:42" x14ac:dyDescent="0.45">
      <c r="A45" t="s">
        <v>42</v>
      </c>
      <c r="B45" t="s">
        <v>43</v>
      </c>
      <c r="C45" t="s">
        <v>236</v>
      </c>
      <c r="D45">
        <v>2025</v>
      </c>
      <c r="E45" t="s">
        <v>45</v>
      </c>
      <c r="F45" t="s">
        <v>46</v>
      </c>
      <c r="J45" t="s">
        <v>317</v>
      </c>
      <c r="K45" t="s">
        <v>318</v>
      </c>
      <c r="L45" t="s">
        <v>319</v>
      </c>
      <c r="M45" t="s">
        <v>320</v>
      </c>
      <c r="N45" t="s">
        <v>201</v>
      </c>
      <c r="O45" t="s">
        <v>202</v>
      </c>
      <c r="P45" t="s">
        <v>203</v>
      </c>
      <c r="S45">
        <v>15</v>
      </c>
      <c r="T45" t="s">
        <v>321</v>
      </c>
      <c r="U45">
        <v>1098</v>
      </c>
      <c r="V45">
        <v>12188</v>
      </c>
      <c r="W45">
        <v>9.01E-2</v>
      </c>
      <c r="X45" t="s">
        <v>56</v>
      </c>
      <c r="Y45" t="s">
        <v>243</v>
      </c>
      <c r="Z45">
        <v>3.2</v>
      </c>
      <c r="AA45">
        <v>165988.94</v>
      </c>
      <c r="AB45">
        <v>531494</v>
      </c>
      <c r="AC45" t="b">
        <v>0</v>
      </c>
      <c r="AD45" t="b">
        <v>0</v>
      </c>
      <c r="AE45" t="b">
        <v>0</v>
      </c>
      <c r="AF45" t="b">
        <v>0</v>
      </c>
      <c r="AG45" t="s">
        <v>58</v>
      </c>
      <c r="AH45">
        <v>0</v>
      </c>
      <c r="AI45" t="s">
        <v>59</v>
      </c>
      <c r="AJ45" t="s">
        <v>60</v>
      </c>
      <c r="AL45" t="s">
        <v>322</v>
      </c>
      <c r="AM45" t="s">
        <v>245</v>
      </c>
      <c r="AN45" t="s">
        <v>63</v>
      </c>
      <c r="AO45" t="s">
        <v>246</v>
      </c>
      <c r="AP45" t="s">
        <v>318</v>
      </c>
    </row>
    <row r="46" spans="1:42" x14ac:dyDescent="0.45">
      <c r="A46" t="s">
        <v>42</v>
      </c>
      <c r="B46" t="s">
        <v>43</v>
      </c>
      <c r="C46" t="s">
        <v>236</v>
      </c>
      <c r="D46">
        <v>2025</v>
      </c>
      <c r="E46" t="s">
        <v>45</v>
      </c>
      <c r="F46" t="s">
        <v>46</v>
      </c>
      <c r="J46" t="s">
        <v>323</v>
      </c>
      <c r="K46" t="s">
        <v>324</v>
      </c>
      <c r="L46" t="s">
        <v>325</v>
      </c>
      <c r="M46" t="s">
        <v>326</v>
      </c>
      <c r="N46" t="s">
        <v>201</v>
      </c>
      <c r="O46" t="s">
        <v>202</v>
      </c>
      <c r="P46" t="s">
        <v>203</v>
      </c>
      <c r="S46">
        <v>18</v>
      </c>
      <c r="T46" t="s">
        <v>327</v>
      </c>
      <c r="U46">
        <v>372</v>
      </c>
      <c r="V46">
        <v>12188</v>
      </c>
      <c r="W46">
        <v>3.0499999999999999E-2</v>
      </c>
      <c r="X46" t="s">
        <v>56</v>
      </c>
      <c r="Y46" t="s">
        <v>243</v>
      </c>
      <c r="Z46">
        <v>3.12</v>
      </c>
      <c r="AA46">
        <v>266687.40000000002</v>
      </c>
      <c r="AB46">
        <v>831708</v>
      </c>
      <c r="AC46" t="b">
        <v>0</v>
      </c>
      <c r="AD46" t="b">
        <v>0</v>
      </c>
      <c r="AE46" t="b">
        <v>0</v>
      </c>
      <c r="AF46" t="b">
        <v>0</v>
      </c>
      <c r="AG46" t="s">
        <v>58</v>
      </c>
      <c r="AH46">
        <v>-15</v>
      </c>
      <c r="AI46" t="s">
        <v>59</v>
      </c>
      <c r="AJ46" t="s">
        <v>60</v>
      </c>
      <c r="AK46" t="s">
        <v>264</v>
      </c>
      <c r="AL46" t="s">
        <v>265</v>
      </c>
      <c r="AM46" t="s">
        <v>245</v>
      </c>
      <c r="AN46" t="s">
        <v>63</v>
      </c>
      <c r="AO46" t="s">
        <v>246</v>
      </c>
      <c r="AP46" t="s">
        <v>324</v>
      </c>
    </row>
    <row r="47" spans="1:42" x14ac:dyDescent="0.45">
      <c r="A47" t="s">
        <v>42</v>
      </c>
      <c r="B47" t="s">
        <v>43</v>
      </c>
      <c r="C47" t="s">
        <v>236</v>
      </c>
      <c r="D47">
        <v>2025</v>
      </c>
      <c r="E47" t="s">
        <v>45</v>
      </c>
      <c r="F47" t="s">
        <v>46</v>
      </c>
      <c r="J47" t="s">
        <v>328</v>
      </c>
      <c r="K47" t="s">
        <v>329</v>
      </c>
      <c r="L47" t="s">
        <v>330</v>
      </c>
      <c r="M47" t="s">
        <v>331</v>
      </c>
      <c r="N47" t="s">
        <v>51</v>
      </c>
      <c r="O47" t="s">
        <v>52</v>
      </c>
      <c r="P47" t="s">
        <v>53</v>
      </c>
      <c r="S47">
        <v>2</v>
      </c>
      <c r="T47" t="s">
        <v>332</v>
      </c>
      <c r="U47">
        <v>1839</v>
      </c>
      <c r="V47">
        <v>12188</v>
      </c>
      <c r="W47">
        <v>0.15090000000000001</v>
      </c>
      <c r="X47" t="s">
        <v>56</v>
      </c>
      <c r="Y47" t="s">
        <v>243</v>
      </c>
      <c r="Z47">
        <v>322.74</v>
      </c>
      <c r="AA47">
        <v>868.65</v>
      </c>
      <c r="AB47">
        <v>280351</v>
      </c>
      <c r="AC47" t="b">
        <v>0</v>
      </c>
      <c r="AD47" t="b">
        <v>0</v>
      </c>
      <c r="AE47" t="b">
        <v>0</v>
      </c>
      <c r="AF47" t="b">
        <v>0</v>
      </c>
      <c r="AG47" t="s">
        <v>58</v>
      </c>
      <c r="AH47">
        <v>-15</v>
      </c>
      <c r="AI47" t="s">
        <v>59</v>
      </c>
      <c r="AJ47" t="s">
        <v>60</v>
      </c>
      <c r="AK47" t="s">
        <v>333</v>
      </c>
      <c r="AL47" t="s">
        <v>334</v>
      </c>
      <c r="AM47" t="s">
        <v>245</v>
      </c>
      <c r="AN47" t="s">
        <v>63</v>
      </c>
      <c r="AO47" t="s">
        <v>246</v>
      </c>
      <c r="AP47" t="s">
        <v>329</v>
      </c>
    </row>
    <row r="48" spans="1:42" x14ac:dyDescent="0.45">
      <c r="A48" t="s">
        <v>42</v>
      </c>
      <c r="B48" t="s">
        <v>43</v>
      </c>
      <c r="C48" t="s">
        <v>236</v>
      </c>
      <c r="D48">
        <v>2025</v>
      </c>
      <c r="E48" t="s">
        <v>45</v>
      </c>
      <c r="F48" t="s">
        <v>46</v>
      </c>
      <c r="J48" t="s">
        <v>335</v>
      </c>
      <c r="K48" t="s">
        <v>336</v>
      </c>
      <c r="L48" t="s">
        <v>337</v>
      </c>
      <c r="M48" t="s">
        <v>338</v>
      </c>
      <c r="N48" t="s">
        <v>51</v>
      </c>
      <c r="O48" t="s">
        <v>52</v>
      </c>
      <c r="P48" t="s">
        <v>53</v>
      </c>
      <c r="S48">
        <v>2</v>
      </c>
      <c r="T48" t="s">
        <v>339</v>
      </c>
      <c r="U48">
        <v>9421</v>
      </c>
      <c r="V48">
        <v>12188</v>
      </c>
      <c r="W48">
        <v>0.77300000000000002</v>
      </c>
      <c r="X48" t="s">
        <v>70</v>
      </c>
      <c r="Y48" t="s">
        <v>243</v>
      </c>
      <c r="Z48">
        <v>294.74</v>
      </c>
      <c r="AA48">
        <v>598.80999999999995</v>
      </c>
      <c r="AB48">
        <v>176496</v>
      </c>
      <c r="AC48" t="b">
        <v>0</v>
      </c>
      <c r="AD48" t="b">
        <v>0</v>
      </c>
      <c r="AE48" t="b">
        <v>0</v>
      </c>
      <c r="AF48" t="b">
        <v>0</v>
      </c>
      <c r="AG48" t="s">
        <v>58</v>
      </c>
      <c r="AH48">
        <v>-15</v>
      </c>
      <c r="AI48" t="s">
        <v>59</v>
      </c>
      <c r="AJ48" t="s">
        <v>60</v>
      </c>
      <c r="AK48" t="s">
        <v>333</v>
      </c>
      <c r="AL48" t="s">
        <v>334</v>
      </c>
      <c r="AM48" t="s">
        <v>245</v>
      </c>
      <c r="AN48" t="s">
        <v>63</v>
      </c>
      <c r="AO48" t="s">
        <v>246</v>
      </c>
      <c r="AP48" t="s">
        <v>336</v>
      </c>
    </row>
    <row r="49" spans="1:42" x14ac:dyDescent="0.45">
      <c r="A49" t="s">
        <v>42</v>
      </c>
      <c r="B49" t="s">
        <v>43</v>
      </c>
      <c r="C49" t="s">
        <v>236</v>
      </c>
      <c r="D49">
        <v>2025</v>
      </c>
      <c r="E49" t="s">
        <v>45</v>
      </c>
      <c r="F49" t="s">
        <v>46</v>
      </c>
      <c r="G49">
        <v>1</v>
      </c>
      <c r="J49" t="s">
        <v>340</v>
      </c>
      <c r="K49" t="s">
        <v>341</v>
      </c>
      <c r="L49" t="s">
        <v>342</v>
      </c>
      <c r="M49" t="s">
        <v>343</v>
      </c>
      <c r="N49" t="s">
        <v>51</v>
      </c>
      <c r="O49" t="s">
        <v>52</v>
      </c>
      <c r="P49" t="s">
        <v>53</v>
      </c>
      <c r="S49">
        <v>0</v>
      </c>
      <c r="T49" t="s">
        <v>344</v>
      </c>
      <c r="U49">
        <v>16685</v>
      </c>
      <c r="V49">
        <v>12188</v>
      </c>
      <c r="W49">
        <v>1.369</v>
      </c>
      <c r="X49" t="s">
        <v>70</v>
      </c>
      <c r="Y49" t="s">
        <v>243</v>
      </c>
      <c r="Z49">
        <v>325.79000000000002</v>
      </c>
      <c r="AA49">
        <v>32883.4</v>
      </c>
      <c r="AB49">
        <v>10712930</v>
      </c>
      <c r="AC49" t="b">
        <v>1</v>
      </c>
      <c r="AD49" t="b">
        <v>0</v>
      </c>
      <c r="AE49" t="b">
        <v>0</v>
      </c>
      <c r="AF49" t="b">
        <v>0</v>
      </c>
      <c r="AG49" t="s">
        <v>58</v>
      </c>
      <c r="AH49">
        <v>14</v>
      </c>
      <c r="AI49" t="s">
        <v>59</v>
      </c>
      <c r="AJ49" t="s">
        <v>60</v>
      </c>
      <c r="AK49" t="s">
        <v>252</v>
      </c>
      <c r="AL49" t="s">
        <v>253</v>
      </c>
      <c r="AM49" t="s">
        <v>245</v>
      </c>
      <c r="AN49" t="s">
        <v>63</v>
      </c>
      <c r="AO49" t="s">
        <v>246</v>
      </c>
      <c r="AP49" t="s">
        <v>341</v>
      </c>
    </row>
    <row r="50" spans="1:42" x14ac:dyDescent="0.45">
      <c r="A50" t="s">
        <v>42</v>
      </c>
      <c r="B50" t="s">
        <v>43</v>
      </c>
      <c r="C50" t="s">
        <v>236</v>
      </c>
      <c r="D50">
        <v>2025</v>
      </c>
      <c r="E50" t="s">
        <v>45</v>
      </c>
      <c r="F50" t="s">
        <v>46</v>
      </c>
      <c r="G50">
        <v>2</v>
      </c>
      <c r="J50" t="s">
        <v>345</v>
      </c>
      <c r="K50" t="s">
        <v>346</v>
      </c>
      <c r="L50" t="s">
        <v>347</v>
      </c>
      <c r="M50" t="s">
        <v>348</v>
      </c>
      <c r="N50" t="s">
        <v>51</v>
      </c>
      <c r="O50" t="s">
        <v>52</v>
      </c>
      <c r="P50" t="s">
        <v>53</v>
      </c>
      <c r="S50">
        <v>0</v>
      </c>
      <c r="T50" t="s">
        <v>349</v>
      </c>
      <c r="U50">
        <v>11621</v>
      </c>
      <c r="V50">
        <v>12188</v>
      </c>
      <c r="W50">
        <v>0.95350000000000001</v>
      </c>
      <c r="X50" t="s">
        <v>70</v>
      </c>
      <c r="Y50" t="s">
        <v>243</v>
      </c>
      <c r="Z50">
        <v>318.79000000000002</v>
      </c>
      <c r="AA50">
        <v>21781.82</v>
      </c>
      <c r="AB50">
        <v>6943725</v>
      </c>
      <c r="AC50" t="b">
        <v>1</v>
      </c>
      <c r="AD50" t="b">
        <v>1</v>
      </c>
      <c r="AE50" t="b">
        <v>0</v>
      </c>
      <c r="AF50" t="b">
        <v>0</v>
      </c>
      <c r="AG50" t="s">
        <v>58</v>
      </c>
      <c r="AH50">
        <v>14</v>
      </c>
      <c r="AI50" t="s">
        <v>59</v>
      </c>
      <c r="AJ50" t="s">
        <v>71</v>
      </c>
      <c r="AL50" t="s">
        <v>244</v>
      </c>
      <c r="AM50" t="s">
        <v>245</v>
      </c>
      <c r="AN50" t="s">
        <v>63</v>
      </c>
      <c r="AO50" t="s">
        <v>246</v>
      </c>
      <c r="AP50" t="s">
        <v>346</v>
      </c>
    </row>
    <row r="51" spans="1:42" x14ac:dyDescent="0.45">
      <c r="A51" t="s">
        <v>42</v>
      </c>
      <c r="B51" t="s">
        <v>43</v>
      </c>
      <c r="C51" t="s">
        <v>236</v>
      </c>
      <c r="D51">
        <v>2025</v>
      </c>
      <c r="E51" t="s">
        <v>45</v>
      </c>
      <c r="F51" t="s">
        <v>46</v>
      </c>
      <c r="G51">
        <v>9</v>
      </c>
      <c r="J51" t="s">
        <v>350</v>
      </c>
      <c r="K51" t="s">
        <v>351</v>
      </c>
      <c r="L51" t="s">
        <v>352</v>
      </c>
      <c r="M51" t="s">
        <v>353</v>
      </c>
      <c r="N51" t="s">
        <v>51</v>
      </c>
      <c r="O51" t="s">
        <v>52</v>
      </c>
      <c r="P51" t="s">
        <v>53</v>
      </c>
      <c r="S51">
        <v>1</v>
      </c>
      <c r="T51" t="s">
        <v>354</v>
      </c>
      <c r="U51">
        <v>15486</v>
      </c>
      <c r="V51">
        <v>12188</v>
      </c>
      <c r="W51">
        <v>1.2706</v>
      </c>
      <c r="X51" t="s">
        <v>70</v>
      </c>
      <c r="Y51" t="s">
        <v>243</v>
      </c>
      <c r="Z51">
        <v>268.24</v>
      </c>
      <c r="AA51">
        <v>12446.62</v>
      </c>
      <c r="AB51">
        <v>3338734</v>
      </c>
      <c r="AC51" t="b">
        <v>1</v>
      </c>
      <c r="AD51" t="b">
        <v>1</v>
      </c>
      <c r="AE51" t="b">
        <v>0</v>
      </c>
      <c r="AF51" t="b">
        <v>0</v>
      </c>
      <c r="AG51" t="s">
        <v>58</v>
      </c>
      <c r="AH51">
        <v>14</v>
      </c>
      <c r="AI51" t="s">
        <v>59</v>
      </c>
      <c r="AJ51" t="s">
        <v>71</v>
      </c>
      <c r="AL51" t="s">
        <v>244</v>
      </c>
      <c r="AM51" t="s">
        <v>245</v>
      </c>
      <c r="AN51" t="s">
        <v>63</v>
      </c>
      <c r="AO51" t="s">
        <v>246</v>
      </c>
      <c r="AP51" t="s">
        <v>351</v>
      </c>
    </row>
    <row r="52" spans="1:42" x14ac:dyDescent="0.45">
      <c r="A52" t="s">
        <v>42</v>
      </c>
      <c r="B52" t="s">
        <v>43</v>
      </c>
      <c r="C52" t="s">
        <v>236</v>
      </c>
      <c r="D52">
        <v>2025</v>
      </c>
      <c r="E52" t="s">
        <v>45</v>
      </c>
      <c r="F52" t="s">
        <v>46</v>
      </c>
      <c r="J52" t="s">
        <v>355</v>
      </c>
      <c r="K52" t="s">
        <v>356</v>
      </c>
      <c r="L52" t="s">
        <v>357</v>
      </c>
      <c r="M52" t="s">
        <v>358</v>
      </c>
      <c r="N52" t="s">
        <v>359</v>
      </c>
      <c r="O52" t="s">
        <v>360</v>
      </c>
      <c r="P52" t="s">
        <v>293</v>
      </c>
      <c r="S52">
        <v>27</v>
      </c>
      <c r="T52" t="s">
        <v>361</v>
      </c>
      <c r="U52">
        <v>4528</v>
      </c>
      <c r="V52">
        <v>12188</v>
      </c>
      <c r="W52">
        <v>0.3715</v>
      </c>
      <c r="X52" t="s">
        <v>196</v>
      </c>
      <c r="Y52" t="s">
        <v>243</v>
      </c>
      <c r="Z52">
        <v>1.79</v>
      </c>
      <c r="AA52">
        <v>12125.26</v>
      </c>
      <c r="AB52">
        <v>21648</v>
      </c>
      <c r="AC52" t="b">
        <v>0</v>
      </c>
      <c r="AD52" t="b">
        <v>0</v>
      </c>
      <c r="AE52" t="b">
        <v>0</v>
      </c>
      <c r="AF52" t="b">
        <v>0</v>
      </c>
      <c r="AG52" t="s">
        <v>58</v>
      </c>
      <c r="AH52">
        <v>-15</v>
      </c>
      <c r="AI52" t="s">
        <v>59</v>
      </c>
      <c r="AJ52" t="s">
        <v>60</v>
      </c>
      <c r="AK52" t="s">
        <v>264</v>
      </c>
      <c r="AL52" t="s">
        <v>265</v>
      </c>
      <c r="AM52" t="s">
        <v>245</v>
      </c>
      <c r="AN52" t="s">
        <v>63</v>
      </c>
      <c r="AO52" t="s">
        <v>246</v>
      </c>
      <c r="AP52" t="s">
        <v>356</v>
      </c>
    </row>
    <row r="53" spans="1:42" x14ac:dyDescent="0.45">
      <c r="A53" t="s">
        <v>42</v>
      </c>
      <c r="B53" t="s">
        <v>43</v>
      </c>
      <c r="C53" t="s">
        <v>236</v>
      </c>
      <c r="D53">
        <v>2025</v>
      </c>
      <c r="E53" t="s">
        <v>45</v>
      </c>
      <c r="F53" t="s">
        <v>46</v>
      </c>
      <c r="J53" t="s">
        <v>362</v>
      </c>
      <c r="K53" t="s">
        <v>363</v>
      </c>
      <c r="L53" t="s">
        <v>364</v>
      </c>
      <c r="M53" t="s">
        <v>365</v>
      </c>
      <c r="N53" t="s">
        <v>51</v>
      </c>
      <c r="O53" t="s">
        <v>52</v>
      </c>
      <c r="P53" t="s">
        <v>53</v>
      </c>
      <c r="S53">
        <v>25</v>
      </c>
      <c r="T53" t="s">
        <v>366</v>
      </c>
      <c r="U53">
        <v>362</v>
      </c>
      <c r="V53">
        <v>12188</v>
      </c>
      <c r="W53">
        <v>2.9700000000000001E-2</v>
      </c>
      <c r="X53" t="s">
        <v>56</v>
      </c>
      <c r="Y53" t="s">
        <v>243</v>
      </c>
      <c r="Z53">
        <v>197.83</v>
      </c>
      <c r="AA53">
        <v>175.33</v>
      </c>
      <c r="AB53">
        <v>34685</v>
      </c>
      <c r="AC53" t="b">
        <v>0</v>
      </c>
      <c r="AD53" t="b">
        <v>0</v>
      </c>
      <c r="AE53" t="b">
        <v>0</v>
      </c>
      <c r="AF53" t="b">
        <v>0</v>
      </c>
      <c r="AG53" t="s">
        <v>58</v>
      </c>
      <c r="AH53">
        <v>-15</v>
      </c>
      <c r="AI53" t="s">
        <v>59</v>
      </c>
      <c r="AJ53" t="s">
        <v>60</v>
      </c>
      <c r="AK53" t="s">
        <v>367</v>
      </c>
      <c r="AL53" t="s">
        <v>368</v>
      </c>
      <c r="AM53" t="s">
        <v>245</v>
      </c>
      <c r="AN53" t="s">
        <v>63</v>
      </c>
      <c r="AO53" t="s">
        <v>246</v>
      </c>
      <c r="AP53" t="s">
        <v>363</v>
      </c>
    </row>
    <row r="54" spans="1:42" x14ac:dyDescent="0.45">
      <c r="A54" t="s">
        <v>42</v>
      </c>
      <c r="B54" t="s">
        <v>43</v>
      </c>
      <c r="C54" t="s">
        <v>236</v>
      </c>
      <c r="D54">
        <v>2025</v>
      </c>
      <c r="E54" t="s">
        <v>45</v>
      </c>
      <c r="F54" t="s">
        <v>46</v>
      </c>
      <c r="G54">
        <v>1</v>
      </c>
      <c r="J54" t="s">
        <v>369</v>
      </c>
      <c r="K54" t="s">
        <v>370</v>
      </c>
      <c r="L54" t="s">
        <v>371</v>
      </c>
      <c r="M54" t="s">
        <v>372</v>
      </c>
      <c r="N54" t="s">
        <v>51</v>
      </c>
      <c r="O54" t="s">
        <v>52</v>
      </c>
      <c r="P54" t="s">
        <v>53</v>
      </c>
      <c r="S54">
        <v>29</v>
      </c>
      <c r="T54" t="s">
        <v>373</v>
      </c>
      <c r="U54">
        <v>6480</v>
      </c>
      <c r="V54">
        <v>12188</v>
      </c>
      <c r="W54">
        <v>0.53169999999999995</v>
      </c>
      <c r="X54" t="s">
        <v>196</v>
      </c>
      <c r="Y54" t="s">
        <v>243</v>
      </c>
      <c r="Z54">
        <v>199.74</v>
      </c>
      <c r="AA54">
        <v>12126.74</v>
      </c>
      <c r="AB54">
        <v>2422238</v>
      </c>
      <c r="AC54" t="b">
        <v>1</v>
      </c>
      <c r="AD54" t="b">
        <v>0</v>
      </c>
      <c r="AE54" t="b">
        <v>0</v>
      </c>
      <c r="AF54" t="b">
        <v>0</v>
      </c>
      <c r="AG54" t="s">
        <v>58</v>
      </c>
      <c r="AH54">
        <v>14</v>
      </c>
      <c r="AI54" t="s">
        <v>59</v>
      </c>
      <c r="AJ54" t="s">
        <v>60</v>
      </c>
      <c r="AK54" t="s">
        <v>252</v>
      </c>
      <c r="AL54" t="s">
        <v>253</v>
      </c>
      <c r="AM54" t="s">
        <v>245</v>
      </c>
      <c r="AN54" t="s">
        <v>63</v>
      </c>
      <c r="AO54" t="s">
        <v>246</v>
      </c>
      <c r="AP54" t="s">
        <v>370</v>
      </c>
    </row>
    <row r="55" spans="1:42" x14ac:dyDescent="0.45">
      <c r="A55" t="s">
        <v>42</v>
      </c>
      <c r="B55" t="s">
        <v>43</v>
      </c>
      <c r="C55" t="s">
        <v>236</v>
      </c>
      <c r="D55">
        <v>2025</v>
      </c>
      <c r="E55" t="s">
        <v>45</v>
      </c>
      <c r="F55" t="s">
        <v>46</v>
      </c>
      <c r="G55">
        <v>6</v>
      </c>
      <c r="J55" t="s">
        <v>113</v>
      </c>
      <c r="K55" t="s">
        <v>374</v>
      </c>
      <c r="L55" t="s">
        <v>115</v>
      </c>
      <c r="M55" t="s">
        <v>116</v>
      </c>
      <c r="N55" t="s">
        <v>51</v>
      </c>
      <c r="O55" t="s">
        <v>52</v>
      </c>
      <c r="P55" t="s">
        <v>53</v>
      </c>
      <c r="S55">
        <v>1</v>
      </c>
      <c r="T55" t="s">
        <v>117</v>
      </c>
      <c r="U55">
        <v>14704</v>
      </c>
      <c r="V55">
        <v>12188</v>
      </c>
      <c r="W55">
        <v>1.2063999999999999</v>
      </c>
      <c r="X55" t="s">
        <v>70</v>
      </c>
      <c r="Y55" t="s">
        <v>243</v>
      </c>
      <c r="Z55">
        <v>745.74</v>
      </c>
      <c r="AA55">
        <v>19858.91</v>
      </c>
      <c r="AB55">
        <v>14809655</v>
      </c>
      <c r="AC55" t="b">
        <v>1</v>
      </c>
      <c r="AD55" t="b">
        <v>1</v>
      </c>
      <c r="AE55" t="b">
        <v>0</v>
      </c>
      <c r="AF55" t="b">
        <v>0</v>
      </c>
      <c r="AG55" t="s">
        <v>58</v>
      </c>
      <c r="AH55">
        <v>14</v>
      </c>
      <c r="AI55" t="s">
        <v>59</v>
      </c>
      <c r="AJ55" t="s">
        <v>71</v>
      </c>
      <c r="AL55" t="s">
        <v>244</v>
      </c>
      <c r="AM55" t="s">
        <v>245</v>
      </c>
      <c r="AN55" t="s">
        <v>63</v>
      </c>
      <c r="AO55" t="s">
        <v>246</v>
      </c>
      <c r="AP55" t="s">
        <v>374</v>
      </c>
    </row>
    <row r="56" spans="1:42" x14ac:dyDescent="0.45">
      <c r="A56" t="s">
        <v>42</v>
      </c>
      <c r="B56" t="s">
        <v>43</v>
      </c>
      <c r="C56" t="s">
        <v>236</v>
      </c>
      <c r="D56">
        <v>2025</v>
      </c>
      <c r="E56" t="s">
        <v>45</v>
      </c>
      <c r="F56" t="s">
        <v>46</v>
      </c>
      <c r="J56" t="s">
        <v>375</v>
      </c>
      <c r="K56" t="s">
        <v>376</v>
      </c>
      <c r="L56" t="s">
        <v>377</v>
      </c>
      <c r="M56" t="s">
        <v>378</v>
      </c>
      <c r="N56" t="s">
        <v>51</v>
      </c>
      <c r="O56" t="s">
        <v>52</v>
      </c>
      <c r="P56" t="s">
        <v>53</v>
      </c>
      <c r="S56">
        <v>26</v>
      </c>
      <c r="T56" t="s">
        <v>379</v>
      </c>
      <c r="U56">
        <v>583</v>
      </c>
      <c r="V56">
        <v>12188</v>
      </c>
      <c r="W56">
        <v>4.7800000000000002E-2</v>
      </c>
      <c r="X56" t="s">
        <v>56</v>
      </c>
      <c r="Y56" t="s">
        <v>243</v>
      </c>
      <c r="Z56">
        <v>248.04</v>
      </c>
      <c r="AA56">
        <v>758.69</v>
      </c>
      <c r="AB56">
        <v>188182</v>
      </c>
      <c r="AC56" t="b">
        <v>0</v>
      </c>
      <c r="AD56" t="b">
        <v>0</v>
      </c>
      <c r="AE56" t="b">
        <v>0</v>
      </c>
      <c r="AF56" t="b">
        <v>0</v>
      </c>
      <c r="AG56" t="s">
        <v>58</v>
      </c>
      <c r="AH56">
        <v>8</v>
      </c>
      <c r="AI56" t="s">
        <v>169</v>
      </c>
      <c r="AJ56" t="s">
        <v>60</v>
      </c>
      <c r="AL56" t="s">
        <v>380</v>
      </c>
      <c r="AM56" t="s">
        <v>245</v>
      </c>
      <c r="AN56" t="s">
        <v>63</v>
      </c>
      <c r="AO56" t="s">
        <v>246</v>
      </c>
      <c r="AP56" t="s">
        <v>376</v>
      </c>
    </row>
    <row r="57" spans="1:42" x14ac:dyDescent="0.45">
      <c r="A57" t="s">
        <v>42</v>
      </c>
      <c r="B57" t="s">
        <v>43</v>
      </c>
      <c r="C57" t="s">
        <v>236</v>
      </c>
      <c r="D57">
        <v>2025</v>
      </c>
      <c r="E57" t="s">
        <v>45</v>
      </c>
      <c r="F57" t="s">
        <v>46</v>
      </c>
      <c r="J57" t="s">
        <v>381</v>
      </c>
      <c r="K57" t="s">
        <v>382</v>
      </c>
      <c r="L57" t="s">
        <v>383</v>
      </c>
      <c r="M57" t="s">
        <v>384</v>
      </c>
      <c r="N57" t="s">
        <v>291</v>
      </c>
      <c r="O57" t="s">
        <v>292</v>
      </c>
      <c r="P57" t="s">
        <v>293</v>
      </c>
      <c r="S57">
        <v>20</v>
      </c>
      <c r="T57" t="s">
        <v>385</v>
      </c>
      <c r="U57">
        <v>10511</v>
      </c>
      <c r="V57">
        <v>12188</v>
      </c>
      <c r="W57">
        <v>0.86240000000000006</v>
      </c>
      <c r="X57" t="s">
        <v>70</v>
      </c>
      <c r="Y57" t="s">
        <v>243</v>
      </c>
      <c r="Z57">
        <v>147.79</v>
      </c>
      <c r="AA57">
        <v>485.86</v>
      </c>
      <c r="AB57">
        <v>71803</v>
      </c>
      <c r="AC57" t="b">
        <v>0</v>
      </c>
      <c r="AD57" t="b">
        <v>0</v>
      </c>
      <c r="AE57" t="b">
        <v>0</v>
      </c>
      <c r="AF57" t="b">
        <v>0</v>
      </c>
      <c r="AG57" t="s">
        <v>58</v>
      </c>
      <c r="AH57">
        <v>6</v>
      </c>
      <c r="AI57" t="s">
        <v>386</v>
      </c>
      <c r="AJ57" t="s">
        <v>387</v>
      </c>
      <c r="AL57" t="s">
        <v>388</v>
      </c>
      <c r="AM57" t="s">
        <v>245</v>
      </c>
      <c r="AN57" t="s">
        <v>63</v>
      </c>
      <c r="AO57" t="s">
        <v>246</v>
      </c>
      <c r="AP57" t="s">
        <v>382</v>
      </c>
    </row>
    <row r="58" spans="1:42" x14ac:dyDescent="0.45">
      <c r="A58" t="s">
        <v>42</v>
      </c>
      <c r="B58" t="s">
        <v>43</v>
      </c>
      <c r="C58" t="s">
        <v>236</v>
      </c>
      <c r="D58">
        <v>2025</v>
      </c>
      <c r="E58" t="s">
        <v>45</v>
      </c>
      <c r="F58" t="s">
        <v>46</v>
      </c>
      <c r="G58">
        <v>1</v>
      </c>
      <c r="J58" t="s">
        <v>389</v>
      </c>
      <c r="K58" t="s">
        <v>390</v>
      </c>
      <c r="L58" t="s">
        <v>391</v>
      </c>
      <c r="M58" t="s">
        <v>392</v>
      </c>
      <c r="N58" t="s">
        <v>89</v>
      </c>
      <c r="O58" t="s">
        <v>90</v>
      </c>
      <c r="P58" t="s">
        <v>91</v>
      </c>
      <c r="S58">
        <v>1</v>
      </c>
      <c r="T58" t="s">
        <v>393</v>
      </c>
      <c r="U58">
        <v>14415</v>
      </c>
      <c r="V58">
        <v>12188</v>
      </c>
      <c r="W58">
        <v>1.1827000000000001</v>
      </c>
      <c r="X58" t="s">
        <v>70</v>
      </c>
      <c r="Y58" t="s">
        <v>243</v>
      </c>
      <c r="Z58">
        <v>306.74</v>
      </c>
      <c r="AA58">
        <v>418.57</v>
      </c>
      <c r="AB58">
        <v>128395</v>
      </c>
      <c r="AC58" t="b">
        <v>1</v>
      </c>
      <c r="AD58" t="b">
        <v>0</v>
      </c>
      <c r="AE58" t="b">
        <v>0</v>
      </c>
      <c r="AF58" t="b">
        <v>0</v>
      </c>
      <c r="AG58" t="s">
        <v>58</v>
      </c>
      <c r="AH58">
        <v>14</v>
      </c>
      <c r="AI58" t="s">
        <v>59</v>
      </c>
      <c r="AJ58" t="s">
        <v>60</v>
      </c>
      <c r="AK58" t="s">
        <v>252</v>
      </c>
      <c r="AL58" t="s">
        <v>253</v>
      </c>
      <c r="AM58" t="s">
        <v>245</v>
      </c>
      <c r="AN58" t="s">
        <v>63</v>
      </c>
      <c r="AO58" t="s">
        <v>246</v>
      </c>
      <c r="AP58" t="s">
        <v>390</v>
      </c>
    </row>
    <row r="59" spans="1:42" x14ac:dyDescent="0.45">
      <c r="A59" t="s">
        <v>42</v>
      </c>
      <c r="B59" t="s">
        <v>43</v>
      </c>
      <c r="C59" t="s">
        <v>236</v>
      </c>
      <c r="D59">
        <v>2025</v>
      </c>
      <c r="E59" t="s">
        <v>45</v>
      </c>
      <c r="F59" t="s">
        <v>46</v>
      </c>
      <c r="J59" t="s">
        <v>394</v>
      </c>
      <c r="K59" t="s">
        <v>395</v>
      </c>
      <c r="L59" t="s">
        <v>396</v>
      </c>
      <c r="M59" t="s">
        <v>397</v>
      </c>
      <c r="N59" t="s">
        <v>51</v>
      </c>
      <c r="O59" t="s">
        <v>52</v>
      </c>
      <c r="P59" t="s">
        <v>53</v>
      </c>
      <c r="S59">
        <v>28</v>
      </c>
      <c r="T59" t="s">
        <v>398</v>
      </c>
      <c r="U59">
        <v>608</v>
      </c>
      <c r="V59">
        <v>12188</v>
      </c>
      <c r="W59">
        <v>4.99E-2</v>
      </c>
      <c r="X59" t="s">
        <v>56</v>
      </c>
      <c r="Y59" t="s">
        <v>243</v>
      </c>
      <c r="Z59">
        <v>241.12</v>
      </c>
      <c r="AA59">
        <v>481.76</v>
      </c>
      <c r="AB59">
        <v>116160</v>
      </c>
      <c r="AC59" t="b">
        <v>0</v>
      </c>
      <c r="AD59" t="b">
        <v>0</v>
      </c>
      <c r="AE59" t="b">
        <v>0</v>
      </c>
      <c r="AF59" t="b">
        <v>0</v>
      </c>
      <c r="AG59" t="s">
        <v>58</v>
      </c>
      <c r="AH59">
        <v>8</v>
      </c>
      <c r="AI59" t="s">
        <v>169</v>
      </c>
      <c r="AJ59" t="s">
        <v>60</v>
      </c>
      <c r="AL59" t="s">
        <v>380</v>
      </c>
      <c r="AM59" t="s">
        <v>245</v>
      </c>
      <c r="AN59" t="s">
        <v>63</v>
      </c>
      <c r="AO59" t="s">
        <v>246</v>
      </c>
      <c r="AP59" t="s">
        <v>395</v>
      </c>
    </row>
    <row r="60" spans="1:42" x14ac:dyDescent="0.45">
      <c r="A60" t="s">
        <v>42</v>
      </c>
      <c r="B60" t="s">
        <v>43</v>
      </c>
      <c r="C60" t="s">
        <v>236</v>
      </c>
      <c r="D60">
        <v>2025</v>
      </c>
      <c r="E60" t="s">
        <v>45</v>
      </c>
      <c r="F60" t="s">
        <v>46</v>
      </c>
      <c r="J60" t="s">
        <v>399</v>
      </c>
      <c r="K60" t="s">
        <v>400</v>
      </c>
      <c r="L60" t="s">
        <v>401</v>
      </c>
      <c r="M60" t="s">
        <v>402</v>
      </c>
      <c r="N60" t="s">
        <v>201</v>
      </c>
      <c r="O60" t="s">
        <v>202</v>
      </c>
      <c r="P60" t="s">
        <v>203</v>
      </c>
      <c r="S60">
        <v>31</v>
      </c>
      <c r="T60" t="s">
        <v>403</v>
      </c>
      <c r="U60">
        <v>352</v>
      </c>
      <c r="V60">
        <v>12188</v>
      </c>
      <c r="W60">
        <v>2.8899999999999999E-2</v>
      </c>
      <c r="X60" t="s">
        <v>56</v>
      </c>
      <c r="Y60" t="s">
        <v>243</v>
      </c>
      <c r="Z60">
        <v>328.74</v>
      </c>
      <c r="AA60">
        <v>13867.42</v>
      </c>
      <c r="AB60">
        <v>4558827</v>
      </c>
      <c r="AC60" t="b">
        <v>0</v>
      </c>
      <c r="AD60" t="b">
        <v>0</v>
      </c>
      <c r="AE60" t="b">
        <v>0</v>
      </c>
      <c r="AF60" t="b">
        <v>0</v>
      </c>
      <c r="AG60" t="s">
        <v>58</v>
      </c>
      <c r="AH60">
        <v>-15</v>
      </c>
      <c r="AI60" t="s">
        <v>59</v>
      </c>
      <c r="AJ60" t="s">
        <v>60</v>
      </c>
      <c r="AK60" t="s">
        <v>205</v>
      </c>
      <c r="AL60" t="s">
        <v>206</v>
      </c>
      <c r="AM60" t="s">
        <v>245</v>
      </c>
      <c r="AN60" t="s">
        <v>63</v>
      </c>
      <c r="AO60" t="s">
        <v>246</v>
      </c>
      <c r="AP60" t="s">
        <v>400</v>
      </c>
    </row>
    <row r="61" spans="1:42" x14ac:dyDescent="0.45">
      <c r="A61" t="s">
        <v>42</v>
      </c>
      <c r="B61" t="s">
        <v>43</v>
      </c>
      <c r="C61" t="s">
        <v>236</v>
      </c>
      <c r="D61">
        <v>2025</v>
      </c>
      <c r="E61" t="s">
        <v>45</v>
      </c>
      <c r="F61" t="s">
        <v>46</v>
      </c>
      <c r="G61">
        <v>6</v>
      </c>
      <c r="J61" t="s">
        <v>404</v>
      </c>
      <c r="K61" t="s">
        <v>405</v>
      </c>
      <c r="L61" t="s">
        <v>406</v>
      </c>
      <c r="M61" t="s">
        <v>407</v>
      </c>
      <c r="N61" t="s">
        <v>359</v>
      </c>
      <c r="O61" t="s">
        <v>360</v>
      </c>
      <c r="P61" t="s">
        <v>293</v>
      </c>
      <c r="S61">
        <v>32</v>
      </c>
      <c r="T61" t="s">
        <v>408</v>
      </c>
      <c r="U61">
        <v>1274</v>
      </c>
      <c r="V61">
        <v>12188</v>
      </c>
      <c r="W61">
        <v>0.1045</v>
      </c>
      <c r="X61" t="s">
        <v>56</v>
      </c>
      <c r="Y61" t="s">
        <v>243</v>
      </c>
      <c r="Z61">
        <v>1.08</v>
      </c>
      <c r="AA61">
        <v>11739.34</v>
      </c>
      <c r="AB61">
        <v>12642</v>
      </c>
      <c r="AC61" t="b">
        <v>0</v>
      </c>
      <c r="AD61" t="b">
        <v>0</v>
      </c>
      <c r="AE61" t="b">
        <v>0</v>
      </c>
      <c r="AF61" t="b">
        <v>0</v>
      </c>
      <c r="AG61" t="s">
        <v>58</v>
      </c>
      <c r="AH61">
        <v>4</v>
      </c>
      <c r="AI61" t="s">
        <v>59</v>
      </c>
      <c r="AJ61" t="s">
        <v>60</v>
      </c>
      <c r="AL61" t="s">
        <v>409</v>
      </c>
      <c r="AM61" t="s">
        <v>245</v>
      </c>
      <c r="AN61" t="s">
        <v>63</v>
      </c>
      <c r="AO61" t="s">
        <v>246</v>
      </c>
      <c r="AP61" t="s">
        <v>405</v>
      </c>
    </row>
    <row r="62" spans="1:42" x14ac:dyDescent="0.45">
      <c r="A62" t="s">
        <v>42</v>
      </c>
      <c r="B62" t="s">
        <v>43</v>
      </c>
      <c r="C62" t="s">
        <v>236</v>
      </c>
      <c r="D62">
        <v>2025</v>
      </c>
      <c r="E62" t="s">
        <v>45</v>
      </c>
      <c r="F62" t="s">
        <v>46</v>
      </c>
      <c r="G62">
        <v>1</v>
      </c>
      <c r="J62" t="s">
        <v>410</v>
      </c>
      <c r="K62" t="s">
        <v>411</v>
      </c>
      <c r="L62" t="s">
        <v>412</v>
      </c>
      <c r="M62" t="s">
        <v>413</v>
      </c>
      <c r="N62" t="s">
        <v>89</v>
      </c>
      <c r="O62" t="s">
        <v>90</v>
      </c>
      <c r="P62" t="s">
        <v>91</v>
      </c>
      <c r="S62">
        <v>24</v>
      </c>
      <c r="T62" t="s">
        <v>414</v>
      </c>
      <c r="U62">
        <v>1409</v>
      </c>
      <c r="V62">
        <v>12188</v>
      </c>
      <c r="W62">
        <v>0.11559999999999999</v>
      </c>
      <c r="X62" t="s">
        <v>56</v>
      </c>
      <c r="Y62" t="s">
        <v>243</v>
      </c>
      <c r="Z62">
        <v>325.08</v>
      </c>
      <c r="AA62">
        <v>72.790000000000006</v>
      </c>
      <c r="AB62">
        <v>23661</v>
      </c>
      <c r="AC62" t="b">
        <v>1</v>
      </c>
      <c r="AD62" t="b">
        <v>0</v>
      </c>
      <c r="AE62" t="b">
        <v>0</v>
      </c>
      <c r="AF62" t="b">
        <v>0</v>
      </c>
      <c r="AG62" t="s">
        <v>58</v>
      </c>
      <c r="AH62">
        <v>12</v>
      </c>
      <c r="AI62" t="s">
        <v>59</v>
      </c>
      <c r="AJ62" t="s">
        <v>60</v>
      </c>
      <c r="AK62" t="s">
        <v>252</v>
      </c>
      <c r="AL62" t="s">
        <v>415</v>
      </c>
      <c r="AM62" t="s">
        <v>245</v>
      </c>
      <c r="AN62" t="s">
        <v>63</v>
      </c>
      <c r="AO62" t="s">
        <v>246</v>
      </c>
      <c r="AP62" t="s">
        <v>411</v>
      </c>
    </row>
    <row r="63" spans="1:42" x14ac:dyDescent="0.45">
      <c r="A63" t="s">
        <v>42</v>
      </c>
      <c r="B63" t="s">
        <v>43</v>
      </c>
      <c r="C63" t="s">
        <v>236</v>
      </c>
      <c r="D63">
        <v>2025</v>
      </c>
      <c r="E63" t="s">
        <v>45</v>
      </c>
      <c r="F63" t="s">
        <v>46</v>
      </c>
      <c r="J63" t="s">
        <v>416</v>
      </c>
      <c r="K63" t="s">
        <v>417</v>
      </c>
      <c r="L63" t="s">
        <v>418</v>
      </c>
      <c r="M63" t="s">
        <v>419</v>
      </c>
      <c r="N63" t="s">
        <v>51</v>
      </c>
      <c r="O63" t="s">
        <v>52</v>
      </c>
      <c r="P63" t="s">
        <v>53</v>
      </c>
      <c r="S63">
        <v>40</v>
      </c>
      <c r="T63" t="s">
        <v>420</v>
      </c>
      <c r="U63">
        <v>1168</v>
      </c>
      <c r="V63">
        <v>12188</v>
      </c>
      <c r="W63">
        <v>9.5799999999999996E-2</v>
      </c>
      <c r="X63" t="s">
        <v>56</v>
      </c>
      <c r="Y63" t="s">
        <v>243</v>
      </c>
      <c r="Z63">
        <v>318.2</v>
      </c>
      <c r="AA63">
        <v>3074</v>
      </c>
      <c r="AB63">
        <v>978152</v>
      </c>
      <c r="AC63" t="b">
        <v>0</v>
      </c>
      <c r="AD63" t="b">
        <v>0</v>
      </c>
      <c r="AE63" t="b">
        <v>0</v>
      </c>
      <c r="AF63" t="b">
        <v>0</v>
      </c>
      <c r="AG63" t="s">
        <v>58</v>
      </c>
      <c r="AH63">
        <v>8</v>
      </c>
      <c r="AI63" t="s">
        <v>169</v>
      </c>
      <c r="AJ63" t="s">
        <v>60</v>
      </c>
      <c r="AL63" t="s">
        <v>380</v>
      </c>
      <c r="AM63" t="s">
        <v>245</v>
      </c>
      <c r="AN63" t="s">
        <v>63</v>
      </c>
      <c r="AO63" t="s">
        <v>246</v>
      </c>
      <c r="AP63" t="s">
        <v>417</v>
      </c>
    </row>
    <row r="64" spans="1:42" x14ac:dyDescent="0.45">
      <c r="A64" t="s">
        <v>42</v>
      </c>
      <c r="B64" t="s">
        <v>43</v>
      </c>
      <c r="C64" t="s">
        <v>236</v>
      </c>
      <c r="D64">
        <v>2025</v>
      </c>
      <c r="E64" t="s">
        <v>45</v>
      </c>
      <c r="F64" t="s">
        <v>46</v>
      </c>
      <c r="J64" t="s">
        <v>421</v>
      </c>
      <c r="K64" t="s">
        <v>422</v>
      </c>
      <c r="L64" t="s">
        <v>423</v>
      </c>
      <c r="M64" t="s">
        <v>424</v>
      </c>
      <c r="N64" t="s">
        <v>51</v>
      </c>
      <c r="O64" t="s">
        <v>52</v>
      </c>
      <c r="P64" t="s">
        <v>53</v>
      </c>
      <c r="S64">
        <v>48</v>
      </c>
      <c r="T64" t="s">
        <v>425</v>
      </c>
      <c r="U64">
        <v>574</v>
      </c>
      <c r="V64">
        <v>12188</v>
      </c>
      <c r="W64">
        <v>4.7100000000000003E-2</v>
      </c>
      <c r="X64" t="s">
        <v>56</v>
      </c>
      <c r="Y64" t="s">
        <v>243</v>
      </c>
      <c r="Z64">
        <v>184.74</v>
      </c>
      <c r="AA64">
        <v>26.16</v>
      </c>
      <c r="AB64">
        <v>4833</v>
      </c>
      <c r="AC64" t="b">
        <v>0</v>
      </c>
      <c r="AD64" t="b">
        <v>0</v>
      </c>
      <c r="AE64" t="b">
        <v>0</v>
      </c>
      <c r="AF64" t="b">
        <v>0</v>
      </c>
      <c r="AG64" t="s">
        <v>58</v>
      </c>
      <c r="AH64">
        <v>-15</v>
      </c>
      <c r="AI64" t="s">
        <v>59</v>
      </c>
      <c r="AJ64" t="s">
        <v>60</v>
      </c>
      <c r="AK64" t="s">
        <v>426</v>
      </c>
      <c r="AL64" t="s">
        <v>427</v>
      </c>
      <c r="AM64" t="s">
        <v>245</v>
      </c>
      <c r="AN64" t="s">
        <v>63</v>
      </c>
      <c r="AO64" t="s">
        <v>246</v>
      </c>
      <c r="AP64" t="s">
        <v>422</v>
      </c>
    </row>
    <row r="65" spans="1:42" x14ac:dyDescent="0.45">
      <c r="A65" t="s">
        <v>42</v>
      </c>
      <c r="B65" t="s">
        <v>43</v>
      </c>
      <c r="C65" t="s">
        <v>236</v>
      </c>
      <c r="D65">
        <v>2025</v>
      </c>
      <c r="E65" t="s">
        <v>45</v>
      </c>
      <c r="F65" t="s">
        <v>46</v>
      </c>
      <c r="G65">
        <v>6</v>
      </c>
      <c r="J65" t="s">
        <v>428</v>
      </c>
      <c r="K65" t="s">
        <v>429</v>
      </c>
      <c r="L65" t="s">
        <v>430</v>
      </c>
      <c r="M65" t="s">
        <v>431</v>
      </c>
      <c r="N65" t="s">
        <v>51</v>
      </c>
      <c r="O65" t="s">
        <v>52</v>
      </c>
      <c r="P65" t="s">
        <v>53</v>
      </c>
      <c r="S65">
        <v>3</v>
      </c>
      <c r="T65" t="s">
        <v>432</v>
      </c>
      <c r="U65">
        <v>1176</v>
      </c>
      <c r="V65">
        <v>12188</v>
      </c>
      <c r="W65">
        <v>9.6500000000000002E-2</v>
      </c>
      <c r="X65" t="s">
        <v>56</v>
      </c>
      <c r="Y65" t="s">
        <v>243</v>
      </c>
      <c r="Z65">
        <v>6.74</v>
      </c>
      <c r="AA65">
        <v>66033.11</v>
      </c>
      <c r="AB65">
        <v>445305</v>
      </c>
      <c r="AC65" t="b">
        <v>0</v>
      </c>
      <c r="AD65" t="b">
        <v>0</v>
      </c>
      <c r="AE65" t="b">
        <v>0</v>
      </c>
      <c r="AF65" t="b">
        <v>0</v>
      </c>
      <c r="AG65" t="s">
        <v>58</v>
      </c>
      <c r="AH65">
        <v>-15</v>
      </c>
      <c r="AI65" t="s">
        <v>59</v>
      </c>
      <c r="AJ65" t="s">
        <v>60</v>
      </c>
      <c r="AK65" t="s">
        <v>433</v>
      </c>
      <c r="AL65" t="s">
        <v>434</v>
      </c>
      <c r="AM65" t="s">
        <v>245</v>
      </c>
      <c r="AN65" t="s">
        <v>63</v>
      </c>
      <c r="AO65" t="s">
        <v>246</v>
      </c>
      <c r="AP65" t="s">
        <v>429</v>
      </c>
    </row>
    <row r="66" spans="1:42" x14ac:dyDescent="0.45">
      <c r="A66" t="s">
        <v>42</v>
      </c>
      <c r="B66" t="s">
        <v>43</v>
      </c>
      <c r="C66" t="s">
        <v>236</v>
      </c>
      <c r="D66">
        <v>2025</v>
      </c>
      <c r="E66" t="s">
        <v>45</v>
      </c>
      <c r="F66" t="s">
        <v>46</v>
      </c>
      <c r="J66" t="s">
        <v>435</v>
      </c>
      <c r="K66" t="s">
        <v>436</v>
      </c>
      <c r="L66" t="s">
        <v>437</v>
      </c>
      <c r="M66" t="s">
        <v>438</v>
      </c>
      <c r="N66" t="s">
        <v>51</v>
      </c>
      <c r="O66" t="s">
        <v>52</v>
      </c>
      <c r="P66" t="s">
        <v>53</v>
      </c>
      <c r="S66">
        <v>49</v>
      </c>
      <c r="T66" t="s">
        <v>439</v>
      </c>
      <c r="U66">
        <v>1992</v>
      </c>
      <c r="V66">
        <v>12188</v>
      </c>
      <c r="W66">
        <v>0.16339999999999999</v>
      </c>
      <c r="X66" t="s">
        <v>56</v>
      </c>
      <c r="Y66" t="s">
        <v>243</v>
      </c>
      <c r="Z66">
        <v>309.73</v>
      </c>
      <c r="AA66">
        <v>108.01</v>
      </c>
      <c r="AB66">
        <v>33453</v>
      </c>
      <c r="AC66" t="b">
        <v>0</v>
      </c>
      <c r="AD66" t="b">
        <v>0</v>
      </c>
      <c r="AE66" t="b">
        <v>0</v>
      </c>
      <c r="AF66" t="b">
        <v>0</v>
      </c>
      <c r="AG66" t="s">
        <v>58</v>
      </c>
      <c r="AH66">
        <v>-15</v>
      </c>
      <c r="AI66" t="s">
        <v>59</v>
      </c>
      <c r="AJ66" t="s">
        <v>60</v>
      </c>
      <c r="AK66" t="s">
        <v>333</v>
      </c>
      <c r="AL66" t="s">
        <v>334</v>
      </c>
      <c r="AM66" t="s">
        <v>245</v>
      </c>
      <c r="AN66" t="s">
        <v>63</v>
      </c>
      <c r="AO66" t="s">
        <v>246</v>
      </c>
      <c r="AP66" t="s">
        <v>436</v>
      </c>
    </row>
    <row r="67" spans="1:42" x14ac:dyDescent="0.45">
      <c r="A67" t="s">
        <v>42</v>
      </c>
      <c r="B67" t="s">
        <v>43</v>
      </c>
      <c r="C67" t="s">
        <v>236</v>
      </c>
      <c r="D67">
        <v>2025</v>
      </c>
      <c r="E67" t="s">
        <v>45</v>
      </c>
      <c r="F67" t="s">
        <v>46</v>
      </c>
      <c r="J67" t="s">
        <v>440</v>
      </c>
      <c r="K67" t="s">
        <v>441</v>
      </c>
      <c r="L67" t="s">
        <v>442</v>
      </c>
      <c r="M67" t="s">
        <v>443</v>
      </c>
      <c r="N67" t="s">
        <v>201</v>
      </c>
      <c r="O67" t="s">
        <v>202</v>
      </c>
      <c r="P67" t="s">
        <v>203</v>
      </c>
      <c r="S67">
        <v>46</v>
      </c>
      <c r="T67" t="s">
        <v>444</v>
      </c>
      <c r="U67">
        <v>292</v>
      </c>
      <c r="V67">
        <v>12188</v>
      </c>
      <c r="W67">
        <v>2.4E-2</v>
      </c>
      <c r="X67" t="s">
        <v>56</v>
      </c>
      <c r="Y67" t="s">
        <v>243</v>
      </c>
      <c r="Z67">
        <v>297.2</v>
      </c>
      <c r="AA67">
        <v>2976.11</v>
      </c>
      <c r="AB67">
        <v>884506</v>
      </c>
      <c r="AC67" t="b">
        <v>0</v>
      </c>
      <c r="AD67" t="b">
        <v>0</v>
      </c>
      <c r="AE67" t="b">
        <v>0</v>
      </c>
      <c r="AF67" t="b">
        <v>0</v>
      </c>
      <c r="AG67" t="s">
        <v>58</v>
      </c>
      <c r="AH67">
        <v>-15</v>
      </c>
      <c r="AI67" t="s">
        <v>59</v>
      </c>
      <c r="AJ67" t="s">
        <v>60</v>
      </c>
      <c r="AK67" t="s">
        <v>264</v>
      </c>
      <c r="AL67" t="s">
        <v>265</v>
      </c>
      <c r="AM67" t="s">
        <v>245</v>
      </c>
      <c r="AN67" t="s">
        <v>63</v>
      </c>
      <c r="AO67" t="s">
        <v>246</v>
      </c>
      <c r="AP67" t="s">
        <v>441</v>
      </c>
    </row>
    <row r="68" spans="1:42" x14ac:dyDescent="0.45">
      <c r="A68" t="s">
        <v>42</v>
      </c>
      <c r="B68" t="s">
        <v>43</v>
      </c>
      <c r="C68" t="s">
        <v>236</v>
      </c>
      <c r="D68">
        <v>2025</v>
      </c>
      <c r="E68" t="s">
        <v>45</v>
      </c>
      <c r="F68" t="s">
        <v>46</v>
      </c>
      <c r="J68" t="s">
        <v>445</v>
      </c>
      <c r="K68" t="s">
        <v>446</v>
      </c>
      <c r="L68" t="s">
        <v>447</v>
      </c>
      <c r="M68" t="s">
        <v>448</v>
      </c>
      <c r="N68" t="s">
        <v>201</v>
      </c>
      <c r="O68" t="s">
        <v>202</v>
      </c>
      <c r="P68" t="s">
        <v>203</v>
      </c>
      <c r="S68">
        <v>33</v>
      </c>
      <c r="T68" t="s">
        <v>449</v>
      </c>
      <c r="U68">
        <v>294</v>
      </c>
      <c r="V68">
        <v>12188</v>
      </c>
      <c r="W68">
        <v>2.41E-2</v>
      </c>
      <c r="X68" t="s">
        <v>56</v>
      </c>
      <c r="Y68" t="s">
        <v>243</v>
      </c>
      <c r="Z68">
        <v>661.46</v>
      </c>
      <c r="AA68">
        <v>10182.870000000001</v>
      </c>
      <c r="AB68">
        <v>6735522</v>
      </c>
      <c r="AC68" t="b">
        <v>0</v>
      </c>
      <c r="AD68" t="b">
        <v>0</v>
      </c>
      <c r="AE68" t="b">
        <v>0</v>
      </c>
      <c r="AF68" t="b">
        <v>0</v>
      </c>
      <c r="AG68" t="s">
        <v>58</v>
      </c>
      <c r="AH68">
        <v>-15</v>
      </c>
      <c r="AI68" t="s">
        <v>59</v>
      </c>
      <c r="AJ68" t="s">
        <v>60</v>
      </c>
      <c r="AK68" t="s">
        <v>367</v>
      </c>
      <c r="AL68" t="s">
        <v>368</v>
      </c>
      <c r="AM68" t="s">
        <v>245</v>
      </c>
      <c r="AN68" t="s">
        <v>63</v>
      </c>
      <c r="AO68" t="s">
        <v>246</v>
      </c>
      <c r="AP68" t="s">
        <v>446</v>
      </c>
    </row>
    <row r="69" spans="1:42" x14ac:dyDescent="0.45">
      <c r="A69" t="s">
        <v>42</v>
      </c>
      <c r="B69" t="s">
        <v>43</v>
      </c>
      <c r="C69" t="s">
        <v>236</v>
      </c>
      <c r="D69">
        <v>2025</v>
      </c>
      <c r="E69" t="s">
        <v>45</v>
      </c>
      <c r="F69" t="s">
        <v>46</v>
      </c>
      <c r="J69" t="s">
        <v>450</v>
      </c>
      <c r="K69" t="s">
        <v>451</v>
      </c>
      <c r="L69" t="s">
        <v>452</v>
      </c>
      <c r="M69" t="s">
        <v>453</v>
      </c>
      <c r="N69" t="s">
        <v>201</v>
      </c>
      <c r="O69" t="s">
        <v>202</v>
      </c>
      <c r="P69" t="s">
        <v>203</v>
      </c>
      <c r="S69">
        <v>35</v>
      </c>
      <c r="T69" t="s">
        <v>454</v>
      </c>
      <c r="U69">
        <v>297</v>
      </c>
      <c r="V69">
        <v>12188</v>
      </c>
      <c r="W69">
        <v>2.4400000000000002E-2</v>
      </c>
      <c r="X69" t="s">
        <v>56</v>
      </c>
      <c r="Y69" t="s">
        <v>243</v>
      </c>
      <c r="Z69">
        <v>297.16000000000003</v>
      </c>
      <c r="AA69">
        <v>7158.3</v>
      </c>
      <c r="AB69">
        <v>2127164</v>
      </c>
      <c r="AC69" t="b">
        <v>0</v>
      </c>
      <c r="AD69" t="b">
        <v>0</v>
      </c>
      <c r="AE69" t="b">
        <v>0</v>
      </c>
      <c r="AF69" t="b">
        <v>0</v>
      </c>
      <c r="AG69" t="s">
        <v>58</v>
      </c>
      <c r="AH69">
        <v>-15</v>
      </c>
      <c r="AI69" t="s">
        <v>59</v>
      </c>
      <c r="AJ69" t="s">
        <v>60</v>
      </c>
      <c r="AK69" t="s">
        <v>264</v>
      </c>
      <c r="AL69" t="s">
        <v>265</v>
      </c>
      <c r="AM69" t="s">
        <v>245</v>
      </c>
      <c r="AN69" t="s">
        <v>63</v>
      </c>
      <c r="AO69" t="s">
        <v>246</v>
      </c>
      <c r="AP69" t="s">
        <v>451</v>
      </c>
    </row>
    <row r="70" spans="1:42" x14ac:dyDescent="0.45">
      <c r="A70" t="s">
        <v>42</v>
      </c>
      <c r="B70" t="s">
        <v>43</v>
      </c>
      <c r="C70" t="s">
        <v>236</v>
      </c>
      <c r="D70">
        <v>2025</v>
      </c>
      <c r="E70" t="s">
        <v>45</v>
      </c>
      <c r="F70" t="s">
        <v>46</v>
      </c>
      <c r="G70">
        <v>3</v>
      </c>
      <c r="J70" t="s">
        <v>98</v>
      </c>
      <c r="K70" t="s">
        <v>455</v>
      </c>
      <c r="L70" t="s">
        <v>100</v>
      </c>
      <c r="M70" t="s">
        <v>101</v>
      </c>
      <c r="N70" t="s">
        <v>51</v>
      </c>
      <c r="O70" t="s">
        <v>52</v>
      </c>
      <c r="P70" t="s">
        <v>53</v>
      </c>
      <c r="S70">
        <v>1</v>
      </c>
      <c r="T70" t="s">
        <v>102</v>
      </c>
      <c r="U70">
        <v>12251</v>
      </c>
      <c r="V70">
        <v>12188</v>
      </c>
      <c r="W70">
        <v>1.0052000000000001</v>
      </c>
      <c r="X70" t="s">
        <v>70</v>
      </c>
      <c r="Y70" t="s">
        <v>243</v>
      </c>
      <c r="Z70">
        <v>773.74</v>
      </c>
      <c r="AA70">
        <v>23749.13</v>
      </c>
      <c r="AB70">
        <v>18375739</v>
      </c>
      <c r="AC70" t="b">
        <v>1</v>
      </c>
      <c r="AD70" t="b">
        <v>1</v>
      </c>
      <c r="AE70" t="b">
        <v>0</v>
      </c>
      <c r="AF70" t="b">
        <v>0</v>
      </c>
      <c r="AG70" t="s">
        <v>58</v>
      </c>
      <c r="AH70">
        <v>14</v>
      </c>
      <c r="AI70" t="s">
        <v>59</v>
      </c>
      <c r="AJ70" t="s">
        <v>71</v>
      </c>
      <c r="AL70" t="s">
        <v>244</v>
      </c>
      <c r="AM70" t="s">
        <v>245</v>
      </c>
      <c r="AN70" t="s">
        <v>63</v>
      </c>
      <c r="AO70" t="s">
        <v>246</v>
      </c>
      <c r="AP70" t="s">
        <v>455</v>
      </c>
    </row>
    <row r="71" spans="1:42" x14ac:dyDescent="0.45">
      <c r="A71" t="s">
        <v>42</v>
      </c>
      <c r="B71" t="s">
        <v>43</v>
      </c>
      <c r="C71" t="s">
        <v>236</v>
      </c>
      <c r="D71">
        <v>2025</v>
      </c>
      <c r="E71" t="s">
        <v>45</v>
      </c>
      <c r="F71" t="s">
        <v>46</v>
      </c>
      <c r="J71" t="s">
        <v>456</v>
      </c>
      <c r="K71" t="s">
        <v>457</v>
      </c>
      <c r="L71" t="s">
        <v>458</v>
      </c>
      <c r="M71" t="s">
        <v>459</v>
      </c>
      <c r="N71" t="s">
        <v>51</v>
      </c>
      <c r="O71" t="s">
        <v>52</v>
      </c>
      <c r="P71" t="s">
        <v>53</v>
      </c>
      <c r="S71">
        <v>41</v>
      </c>
      <c r="T71" t="s">
        <v>460</v>
      </c>
      <c r="U71">
        <v>703</v>
      </c>
      <c r="V71">
        <v>12188</v>
      </c>
      <c r="W71">
        <v>5.7700000000000001E-2</v>
      </c>
      <c r="X71" t="s">
        <v>56</v>
      </c>
      <c r="Y71" t="s">
        <v>243</v>
      </c>
      <c r="Z71">
        <v>325.2</v>
      </c>
      <c r="AA71">
        <v>1741.64</v>
      </c>
      <c r="AB71">
        <v>566384</v>
      </c>
      <c r="AC71" t="b">
        <v>0</v>
      </c>
      <c r="AD71" t="b">
        <v>0</v>
      </c>
      <c r="AE71" t="b">
        <v>0</v>
      </c>
      <c r="AF71" t="b">
        <v>0</v>
      </c>
      <c r="AG71" t="s">
        <v>58</v>
      </c>
      <c r="AH71">
        <v>8</v>
      </c>
      <c r="AI71" t="s">
        <v>169</v>
      </c>
      <c r="AJ71" t="s">
        <v>60</v>
      </c>
      <c r="AL71" t="s">
        <v>380</v>
      </c>
      <c r="AM71" t="s">
        <v>245</v>
      </c>
      <c r="AN71" t="s">
        <v>63</v>
      </c>
      <c r="AO71" t="s">
        <v>246</v>
      </c>
      <c r="AP71" t="s">
        <v>457</v>
      </c>
    </row>
    <row r="72" spans="1:42" x14ac:dyDescent="0.45">
      <c r="A72" t="s">
        <v>42</v>
      </c>
      <c r="B72" t="s">
        <v>43</v>
      </c>
      <c r="C72" t="s">
        <v>236</v>
      </c>
      <c r="D72">
        <v>2025</v>
      </c>
      <c r="E72" t="s">
        <v>45</v>
      </c>
      <c r="F72" t="s">
        <v>46</v>
      </c>
      <c r="J72" t="s">
        <v>461</v>
      </c>
      <c r="K72" t="s">
        <v>462</v>
      </c>
      <c r="L72" t="s">
        <v>463</v>
      </c>
      <c r="M72" t="s">
        <v>464</v>
      </c>
      <c r="N72" t="s">
        <v>51</v>
      </c>
      <c r="O72" t="s">
        <v>52</v>
      </c>
      <c r="P72" t="s">
        <v>53</v>
      </c>
      <c r="S72">
        <v>50</v>
      </c>
      <c r="T72" t="s">
        <v>465</v>
      </c>
      <c r="U72">
        <v>1615</v>
      </c>
      <c r="V72">
        <v>12188</v>
      </c>
      <c r="W72">
        <v>0.13250000000000001</v>
      </c>
      <c r="X72" t="s">
        <v>56</v>
      </c>
      <c r="Y72" t="s">
        <v>243</v>
      </c>
      <c r="Z72">
        <v>2.0699999999999998</v>
      </c>
      <c r="AA72">
        <v>14606.18</v>
      </c>
      <c r="AB72">
        <v>30185</v>
      </c>
      <c r="AC72" t="b">
        <v>0</v>
      </c>
      <c r="AD72" t="b">
        <v>0</v>
      </c>
      <c r="AE72" t="b">
        <v>0</v>
      </c>
      <c r="AF72" t="b">
        <v>0</v>
      </c>
      <c r="AG72" t="s">
        <v>58</v>
      </c>
      <c r="AH72">
        <v>-15</v>
      </c>
      <c r="AI72" t="s">
        <v>59</v>
      </c>
      <c r="AJ72" t="s">
        <v>60</v>
      </c>
      <c r="AK72" t="s">
        <v>333</v>
      </c>
      <c r="AL72" t="s">
        <v>334</v>
      </c>
      <c r="AM72" t="s">
        <v>245</v>
      </c>
      <c r="AN72" t="s">
        <v>63</v>
      </c>
      <c r="AO72" t="s">
        <v>246</v>
      </c>
      <c r="AP72" t="s">
        <v>462</v>
      </c>
    </row>
    <row r="73" spans="1:42" x14ac:dyDescent="0.45">
      <c r="A73" t="s">
        <v>42</v>
      </c>
      <c r="B73" t="s">
        <v>43</v>
      </c>
      <c r="C73" t="s">
        <v>236</v>
      </c>
      <c r="D73">
        <v>2025</v>
      </c>
      <c r="E73" t="s">
        <v>45</v>
      </c>
      <c r="F73" t="s">
        <v>46</v>
      </c>
      <c r="J73" t="s">
        <v>466</v>
      </c>
      <c r="K73" t="s">
        <v>467</v>
      </c>
      <c r="L73" t="s">
        <v>468</v>
      </c>
      <c r="M73" t="s">
        <v>469</v>
      </c>
      <c r="N73" t="s">
        <v>51</v>
      </c>
      <c r="O73" t="s">
        <v>52</v>
      </c>
      <c r="P73" t="s">
        <v>53</v>
      </c>
      <c r="S73">
        <v>34</v>
      </c>
      <c r="T73" t="s">
        <v>470</v>
      </c>
      <c r="U73">
        <v>449</v>
      </c>
      <c r="V73">
        <v>12188</v>
      </c>
      <c r="W73">
        <v>3.6799999999999999E-2</v>
      </c>
      <c r="X73" t="s">
        <v>56</v>
      </c>
      <c r="Y73" t="s">
        <v>243</v>
      </c>
      <c r="Z73">
        <v>148.6</v>
      </c>
      <c r="AA73">
        <v>424.62</v>
      </c>
      <c r="AB73">
        <v>63097</v>
      </c>
      <c r="AC73" t="b">
        <v>0</v>
      </c>
      <c r="AD73" t="b">
        <v>0</v>
      </c>
      <c r="AE73" t="b">
        <v>0</v>
      </c>
      <c r="AF73" t="b">
        <v>0</v>
      </c>
      <c r="AG73" t="s">
        <v>58</v>
      </c>
      <c r="AH73">
        <v>-15</v>
      </c>
      <c r="AI73" t="s">
        <v>59</v>
      </c>
      <c r="AJ73" t="s">
        <v>60</v>
      </c>
      <c r="AK73" t="s">
        <v>367</v>
      </c>
      <c r="AL73" t="s">
        <v>368</v>
      </c>
      <c r="AM73" t="s">
        <v>245</v>
      </c>
      <c r="AN73" t="s">
        <v>63</v>
      </c>
      <c r="AO73" t="s">
        <v>246</v>
      </c>
      <c r="AP73" t="s">
        <v>467</v>
      </c>
    </row>
    <row r="74" spans="1:42" x14ac:dyDescent="0.45">
      <c r="A74" t="s">
        <v>42</v>
      </c>
      <c r="B74" t="s">
        <v>43</v>
      </c>
      <c r="C74" t="s">
        <v>236</v>
      </c>
      <c r="D74">
        <v>2025</v>
      </c>
      <c r="E74" t="s">
        <v>45</v>
      </c>
      <c r="F74" t="s">
        <v>46</v>
      </c>
      <c r="J74" t="s">
        <v>471</v>
      </c>
      <c r="K74" t="s">
        <v>472</v>
      </c>
      <c r="L74" t="s">
        <v>473</v>
      </c>
      <c r="M74" t="s">
        <v>474</v>
      </c>
      <c r="N74" t="s">
        <v>51</v>
      </c>
      <c r="O74" t="s">
        <v>52</v>
      </c>
      <c r="P74" t="s">
        <v>53</v>
      </c>
      <c r="S74">
        <v>45</v>
      </c>
      <c r="T74" t="s">
        <v>475</v>
      </c>
      <c r="U74">
        <v>1407</v>
      </c>
      <c r="V74">
        <v>12188</v>
      </c>
      <c r="W74">
        <v>0.1154</v>
      </c>
      <c r="X74" t="s">
        <v>56</v>
      </c>
      <c r="Y74" t="s">
        <v>243</v>
      </c>
      <c r="Z74">
        <v>5.0999999999999996</v>
      </c>
      <c r="AA74">
        <v>18089.91</v>
      </c>
      <c r="AB74">
        <v>92338</v>
      </c>
      <c r="AC74" t="b">
        <v>0</v>
      </c>
      <c r="AD74" t="b">
        <v>0</v>
      </c>
      <c r="AE74" t="b">
        <v>0</v>
      </c>
      <c r="AF74" t="b">
        <v>0</v>
      </c>
      <c r="AG74" t="s">
        <v>58</v>
      </c>
      <c r="AH74">
        <v>4</v>
      </c>
      <c r="AI74" t="s">
        <v>59</v>
      </c>
      <c r="AJ74" t="s">
        <v>60</v>
      </c>
      <c r="AL74" t="s">
        <v>476</v>
      </c>
      <c r="AM74" t="s">
        <v>245</v>
      </c>
      <c r="AN74" t="s">
        <v>63</v>
      </c>
      <c r="AO74" t="s">
        <v>246</v>
      </c>
      <c r="AP74" t="s">
        <v>472</v>
      </c>
    </row>
    <row r="75" spans="1:42" x14ac:dyDescent="0.45">
      <c r="A75" t="s">
        <v>42</v>
      </c>
      <c r="B75" t="s">
        <v>43</v>
      </c>
      <c r="C75" t="s">
        <v>236</v>
      </c>
      <c r="D75">
        <v>2025</v>
      </c>
      <c r="E75" t="s">
        <v>45</v>
      </c>
      <c r="F75" t="s">
        <v>46</v>
      </c>
      <c r="J75" t="s">
        <v>477</v>
      </c>
      <c r="K75" t="s">
        <v>478</v>
      </c>
      <c r="L75" t="s">
        <v>479</v>
      </c>
      <c r="M75" t="s">
        <v>480</v>
      </c>
      <c r="N75" t="s">
        <v>51</v>
      </c>
      <c r="O75" t="s">
        <v>52</v>
      </c>
      <c r="P75" t="s">
        <v>53</v>
      </c>
      <c r="S75">
        <v>47</v>
      </c>
      <c r="T75" t="s">
        <v>481</v>
      </c>
      <c r="U75">
        <v>494</v>
      </c>
      <c r="V75">
        <v>12188</v>
      </c>
      <c r="W75">
        <v>4.0500000000000001E-2</v>
      </c>
      <c r="X75" t="s">
        <v>56</v>
      </c>
      <c r="Y75" t="s">
        <v>243</v>
      </c>
      <c r="Z75">
        <v>241.04</v>
      </c>
      <c r="AA75">
        <v>102.86</v>
      </c>
      <c r="AB75">
        <v>24792</v>
      </c>
      <c r="AC75" t="b">
        <v>0</v>
      </c>
      <c r="AD75" t="b">
        <v>0</v>
      </c>
      <c r="AE75" t="b">
        <v>0</v>
      </c>
      <c r="AF75" t="b">
        <v>0</v>
      </c>
      <c r="AG75" t="s">
        <v>58</v>
      </c>
      <c r="AH75">
        <v>8</v>
      </c>
      <c r="AI75" t="s">
        <v>169</v>
      </c>
      <c r="AJ75" t="s">
        <v>60</v>
      </c>
      <c r="AL75" t="s">
        <v>380</v>
      </c>
      <c r="AM75" t="s">
        <v>245</v>
      </c>
      <c r="AN75" t="s">
        <v>63</v>
      </c>
      <c r="AO75" t="s">
        <v>246</v>
      </c>
      <c r="AP75" t="s">
        <v>478</v>
      </c>
    </row>
    <row r="76" spans="1:42" x14ac:dyDescent="0.45">
      <c r="A76" t="s">
        <v>42</v>
      </c>
      <c r="B76" t="s">
        <v>43</v>
      </c>
      <c r="C76" t="s">
        <v>236</v>
      </c>
      <c r="D76">
        <v>2025</v>
      </c>
      <c r="E76" t="s">
        <v>45</v>
      </c>
      <c r="F76" t="s">
        <v>46</v>
      </c>
      <c r="G76">
        <v>1</v>
      </c>
      <c r="J76" t="s">
        <v>482</v>
      </c>
      <c r="K76" t="s">
        <v>483</v>
      </c>
      <c r="L76" t="s">
        <v>484</v>
      </c>
      <c r="M76" t="s">
        <v>485</v>
      </c>
      <c r="N76" t="s">
        <v>51</v>
      </c>
      <c r="O76" t="s">
        <v>52</v>
      </c>
      <c r="P76" t="s">
        <v>53</v>
      </c>
      <c r="S76">
        <v>38</v>
      </c>
      <c r="T76" t="s">
        <v>486</v>
      </c>
      <c r="U76">
        <v>68</v>
      </c>
      <c r="V76">
        <v>12188</v>
      </c>
      <c r="W76">
        <v>5.5999999999999999E-3</v>
      </c>
      <c r="X76" t="s">
        <v>56</v>
      </c>
      <c r="Y76" t="s">
        <v>243</v>
      </c>
      <c r="Z76">
        <v>48.79</v>
      </c>
      <c r="AA76">
        <v>6188.64</v>
      </c>
      <c r="AB76">
        <v>301913</v>
      </c>
      <c r="AC76" t="b">
        <v>0</v>
      </c>
      <c r="AD76" t="b">
        <v>0</v>
      </c>
      <c r="AE76" t="b">
        <v>0</v>
      </c>
      <c r="AF76" t="b">
        <v>0</v>
      </c>
      <c r="AG76" t="s">
        <v>58</v>
      </c>
      <c r="AH76">
        <v>-15</v>
      </c>
      <c r="AI76" t="s">
        <v>59</v>
      </c>
      <c r="AJ76" t="s">
        <v>60</v>
      </c>
      <c r="AK76" t="s">
        <v>162</v>
      </c>
      <c r="AL76" t="s">
        <v>163</v>
      </c>
      <c r="AM76" t="s">
        <v>245</v>
      </c>
      <c r="AN76" t="s">
        <v>63</v>
      </c>
      <c r="AO76" t="s">
        <v>246</v>
      </c>
      <c r="AP76" t="s">
        <v>483</v>
      </c>
    </row>
    <row r="77" spans="1:42" x14ac:dyDescent="0.45">
      <c r="A77" t="s">
        <v>42</v>
      </c>
      <c r="B77" t="s">
        <v>43</v>
      </c>
      <c r="C77" t="s">
        <v>236</v>
      </c>
      <c r="D77">
        <v>2025</v>
      </c>
      <c r="E77" t="s">
        <v>45</v>
      </c>
      <c r="F77" t="s">
        <v>46</v>
      </c>
      <c r="J77" t="s">
        <v>487</v>
      </c>
      <c r="K77" t="s">
        <v>488</v>
      </c>
      <c r="L77" t="s">
        <v>489</v>
      </c>
      <c r="M77" t="s">
        <v>490</v>
      </c>
      <c r="N77" t="s">
        <v>51</v>
      </c>
      <c r="O77" t="s">
        <v>52</v>
      </c>
      <c r="P77" t="s">
        <v>53</v>
      </c>
      <c r="S77">
        <v>43</v>
      </c>
      <c r="T77" t="s">
        <v>491</v>
      </c>
      <c r="U77">
        <v>1496</v>
      </c>
      <c r="V77">
        <v>12188</v>
      </c>
      <c r="W77">
        <v>0.1227</v>
      </c>
      <c r="X77" t="s">
        <v>56</v>
      </c>
      <c r="Y77" t="s">
        <v>243</v>
      </c>
      <c r="Z77">
        <v>5.0599999999999996</v>
      </c>
      <c r="AA77">
        <v>10163.51</v>
      </c>
      <c r="AB77">
        <v>51456</v>
      </c>
      <c r="AC77" t="b">
        <v>0</v>
      </c>
      <c r="AD77" t="b">
        <v>0</v>
      </c>
      <c r="AE77" t="b">
        <v>0</v>
      </c>
      <c r="AF77" t="b">
        <v>0</v>
      </c>
      <c r="AG77" t="s">
        <v>58</v>
      </c>
      <c r="AH77">
        <v>-15</v>
      </c>
      <c r="AI77" t="s">
        <v>59</v>
      </c>
      <c r="AJ77" t="s">
        <v>60</v>
      </c>
      <c r="AK77" t="s">
        <v>333</v>
      </c>
      <c r="AL77" t="s">
        <v>334</v>
      </c>
      <c r="AM77" t="s">
        <v>245</v>
      </c>
      <c r="AN77" t="s">
        <v>63</v>
      </c>
      <c r="AO77" t="s">
        <v>246</v>
      </c>
      <c r="AP77" t="s">
        <v>488</v>
      </c>
    </row>
    <row r="78" spans="1:42" x14ac:dyDescent="0.45">
      <c r="A78" t="s">
        <v>42</v>
      </c>
      <c r="B78" t="s">
        <v>43</v>
      </c>
      <c r="C78" t="s">
        <v>236</v>
      </c>
      <c r="D78">
        <v>2025</v>
      </c>
      <c r="E78" t="s">
        <v>45</v>
      </c>
      <c r="F78" t="s">
        <v>46</v>
      </c>
      <c r="J78" t="s">
        <v>492</v>
      </c>
      <c r="K78" t="s">
        <v>493</v>
      </c>
      <c r="L78" t="s">
        <v>494</v>
      </c>
      <c r="M78" t="s">
        <v>495</v>
      </c>
      <c r="N78" t="s">
        <v>51</v>
      </c>
      <c r="O78" t="s">
        <v>52</v>
      </c>
      <c r="P78" t="s">
        <v>53</v>
      </c>
      <c r="S78">
        <v>21</v>
      </c>
      <c r="T78" t="s">
        <v>496</v>
      </c>
      <c r="U78">
        <v>7310</v>
      </c>
      <c r="V78">
        <v>12188</v>
      </c>
      <c r="W78">
        <v>0.5998</v>
      </c>
      <c r="X78" t="s">
        <v>196</v>
      </c>
      <c r="Y78" t="s">
        <v>243</v>
      </c>
      <c r="Z78">
        <v>313.74</v>
      </c>
      <c r="AA78">
        <v>372.9</v>
      </c>
      <c r="AB78">
        <v>116995</v>
      </c>
      <c r="AC78" t="b">
        <v>0</v>
      </c>
      <c r="AD78" t="b">
        <v>0</v>
      </c>
      <c r="AE78" t="b">
        <v>0</v>
      </c>
      <c r="AF78" t="b">
        <v>0</v>
      </c>
      <c r="AG78" t="s">
        <v>58</v>
      </c>
      <c r="AH78">
        <v>-15</v>
      </c>
      <c r="AI78" t="s">
        <v>59</v>
      </c>
      <c r="AJ78" t="s">
        <v>60</v>
      </c>
      <c r="AK78" t="s">
        <v>333</v>
      </c>
      <c r="AL78" t="s">
        <v>334</v>
      </c>
      <c r="AM78" t="s">
        <v>245</v>
      </c>
      <c r="AN78" t="s">
        <v>63</v>
      </c>
      <c r="AO78" t="s">
        <v>246</v>
      </c>
      <c r="AP78" t="s">
        <v>493</v>
      </c>
    </row>
    <row r="79" spans="1:42" x14ac:dyDescent="0.45">
      <c r="A79" t="s">
        <v>42</v>
      </c>
      <c r="B79" t="s">
        <v>43</v>
      </c>
      <c r="C79" t="s">
        <v>236</v>
      </c>
      <c r="D79">
        <v>2025</v>
      </c>
      <c r="E79" t="s">
        <v>45</v>
      </c>
      <c r="F79" t="s">
        <v>46</v>
      </c>
      <c r="J79" t="s">
        <v>497</v>
      </c>
      <c r="K79" t="s">
        <v>498</v>
      </c>
      <c r="L79" t="s">
        <v>499</v>
      </c>
      <c r="M79" t="s">
        <v>500</v>
      </c>
      <c r="N79" t="s">
        <v>291</v>
      </c>
      <c r="O79" t="s">
        <v>292</v>
      </c>
      <c r="P79" t="s">
        <v>293</v>
      </c>
      <c r="S79">
        <v>42</v>
      </c>
      <c r="T79" t="s">
        <v>501</v>
      </c>
      <c r="U79">
        <v>7367</v>
      </c>
      <c r="V79">
        <v>12188</v>
      </c>
      <c r="W79">
        <v>0.60440000000000005</v>
      </c>
      <c r="X79" t="s">
        <v>70</v>
      </c>
      <c r="Y79" t="s">
        <v>243</v>
      </c>
      <c r="Z79">
        <v>147.12</v>
      </c>
      <c r="AA79">
        <v>1246.27</v>
      </c>
      <c r="AB79">
        <v>183350</v>
      </c>
      <c r="AC79" t="b">
        <v>0</v>
      </c>
      <c r="AD79" t="b">
        <v>0</v>
      </c>
      <c r="AE79" t="b">
        <v>0</v>
      </c>
      <c r="AF79" t="b">
        <v>0</v>
      </c>
      <c r="AG79" t="s">
        <v>58</v>
      </c>
      <c r="AH79">
        <v>6</v>
      </c>
      <c r="AI79" t="s">
        <v>386</v>
      </c>
      <c r="AJ79" t="s">
        <v>387</v>
      </c>
      <c r="AL79" t="s">
        <v>388</v>
      </c>
      <c r="AM79" t="s">
        <v>245</v>
      </c>
      <c r="AN79" t="s">
        <v>63</v>
      </c>
      <c r="AO79" t="s">
        <v>246</v>
      </c>
      <c r="AP79" t="s">
        <v>498</v>
      </c>
    </row>
    <row r="80" spans="1:42" x14ac:dyDescent="0.45">
      <c r="A80" t="s">
        <v>42</v>
      </c>
      <c r="B80" t="s">
        <v>43</v>
      </c>
      <c r="C80" t="s">
        <v>236</v>
      </c>
      <c r="D80">
        <v>2025</v>
      </c>
      <c r="E80" t="s">
        <v>45</v>
      </c>
      <c r="F80" t="s">
        <v>46</v>
      </c>
      <c r="G80">
        <v>1</v>
      </c>
      <c r="J80" t="s">
        <v>93</v>
      </c>
      <c r="K80" t="s">
        <v>502</v>
      </c>
      <c r="L80" t="s">
        <v>95</v>
      </c>
      <c r="M80" t="s">
        <v>96</v>
      </c>
      <c r="N80" t="s">
        <v>51</v>
      </c>
      <c r="O80" t="s">
        <v>52</v>
      </c>
      <c r="P80" t="s">
        <v>53</v>
      </c>
      <c r="S80">
        <v>37</v>
      </c>
      <c r="T80" t="s">
        <v>97</v>
      </c>
      <c r="U80">
        <v>12568</v>
      </c>
      <c r="V80">
        <v>12188</v>
      </c>
      <c r="W80">
        <v>1.0311999999999999</v>
      </c>
      <c r="X80" t="s">
        <v>70</v>
      </c>
      <c r="Y80" t="s">
        <v>243</v>
      </c>
      <c r="Z80">
        <v>787.74</v>
      </c>
      <c r="AA80">
        <v>27817.51</v>
      </c>
      <c r="AB80">
        <v>21913071</v>
      </c>
      <c r="AC80" t="b">
        <v>1</v>
      </c>
      <c r="AD80" t="b">
        <v>1</v>
      </c>
      <c r="AE80" t="b">
        <v>0</v>
      </c>
      <c r="AF80" t="b">
        <v>0</v>
      </c>
      <c r="AG80" t="s">
        <v>58</v>
      </c>
      <c r="AH80">
        <v>14</v>
      </c>
      <c r="AI80" t="s">
        <v>59</v>
      </c>
      <c r="AJ80" t="s">
        <v>71</v>
      </c>
      <c r="AL80" t="s">
        <v>244</v>
      </c>
      <c r="AM80" t="s">
        <v>245</v>
      </c>
      <c r="AN80" t="s">
        <v>63</v>
      </c>
      <c r="AO80" t="s">
        <v>246</v>
      </c>
      <c r="AP80" t="s">
        <v>502</v>
      </c>
    </row>
    <row r="81" spans="1:42" x14ac:dyDescent="0.45">
      <c r="A81" t="s">
        <v>42</v>
      </c>
      <c r="B81" t="s">
        <v>43</v>
      </c>
      <c r="C81" t="s">
        <v>236</v>
      </c>
      <c r="D81">
        <v>2025</v>
      </c>
      <c r="E81" t="s">
        <v>45</v>
      </c>
      <c r="F81" t="s">
        <v>46</v>
      </c>
      <c r="J81" t="s">
        <v>503</v>
      </c>
      <c r="K81" t="s">
        <v>504</v>
      </c>
      <c r="L81" t="s">
        <v>505</v>
      </c>
      <c r="M81" t="s">
        <v>506</v>
      </c>
      <c r="N81" t="s">
        <v>51</v>
      </c>
      <c r="O81" t="s">
        <v>52</v>
      </c>
      <c r="P81" t="s">
        <v>53</v>
      </c>
      <c r="S81">
        <v>30</v>
      </c>
      <c r="T81" t="s">
        <v>507</v>
      </c>
      <c r="U81">
        <v>1091</v>
      </c>
      <c r="V81">
        <v>12188</v>
      </c>
      <c r="W81">
        <v>8.9499999999999996E-2</v>
      </c>
      <c r="X81" t="s">
        <v>56</v>
      </c>
      <c r="Y81" t="s">
        <v>243</v>
      </c>
      <c r="Z81">
        <v>248.12</v>
      </c>
      <c r="AA81">
        <v>6933.05</v>
      </c>
      <c r="AB81">
        <v>1720218</v>
      </c>
      <c r="AC81" t="b">
        <v>0</v>
      </c>
      <c r="AD81" t="b">
        <v>0</v>
      </c>
      <c r="AE81" t="b">
        <v>0</v>
      </c>
      <c r="AF81" t="b">
        <v>0</v>
      </c>
      <c r="AG81" t="s">
        <v>58</v>
      </c>
      <c r="AH81">
        <v>8</v>
      </c>
      <c r="AI81" t="s">
        <v>169</v>
      </c>
      <c r="AJ81" t="s">
        <v>60</v>
      </c>
      <c r="AL81" t="s">
        <v>380</v>
      </c>
      <c r="AM81" t="s">
        <v>245</v>
      </c>
      <c r="AN81" t="s">
        <v>63</v>
      </c>
      <c r="AO81" t="s">
        <v>246</v>
      </c>
      <c r="AP81" t="s">
        <v>504</v>
      </c>
    </row>
    <row r="82" spans="1:42" x14ac:dyDescent="0.45">
      <c r="A82" t="s">
        <v>42</v>
      </c>
      <c r="B82" t="s">
        <v>43</v>
      </c>
      <c r="C82" t="s">
        <v>236</v>
      </c>
      <c r="D82">
        <v>2025</v>
      </c>
      <c r="E82" t="s">
        <v>45</v>
      </c>
      <c r="F82" t="s">
        <v>46</v>
      </c>
      <c r="G82">
        <v>8</v>
      </c>
      <c r="J82" t="s">
        <v>65</v>
      </c>
      <c r="K82" t="s">
        <v>508</v>
      </c>
      <c r="L82" t="s">
        <v>67</v>
      </c>
      <c r="M82" t="s">
        <v>68</v>
      </c>
      <c r="N82" t="s">
        <v>51</v>
      </c>
      <c r="O82" t="s">
        <v>52</v>
      </c>
      <c r="P82" t="s">
        <v>53</v>
      </c>
      <c r="S82">
        <v>2</v>
      </c>
      <c r="T82" t="s">
        <v>69</v>
      </c>
      <c r="U82">
        <v>12639</v>
      </c>
      <c r="V82">
        <v>12188</v>
      </c>
      <c r="W82">
        <v>1.0369999999999999</v>
      </c>
      <c r="X82" t="s">
        <v>70</v>
      </c>
      <c r="Y82" t="s">
        <v>243</v>
      </c>
      <c r="Z82">
        <v>731.74</v>
      </c>
      <c r="AA82">
        <v>19031.63</v>
      </c>
      <c r="AB82">
        <v>13926274</v>
      </c>
      <c r="AC82" t="b">
        <v>1</v>
      </c>
      <c r="AD82" t="b">
        <v>1</v>
      </c>
      <c r="AE82" t="b">
        <v>0</v>
      </c>
      <c r="AF82" t="b">
        <v>0</v>
      </c>
      <c r="AG82" t="s">
        <v>58</v>
      </c>
      <c r="AH82">
        <v>14</v>
      </c>
      <c r="AI82" t="s">
        <v>59</v>
      </c>
      <c r="AJ82" t="s">
        <v>71</v>
      </c>
      <c r="AL82" t="s">
        <v>244</v>
      </c>
      <c r="AM82" t="s">
        <v>245</v>
      </c>
      <c r="AN82" t="s">
        <v>63</v>
      </c>
      <c r="AO82" t="s">
        <v>246</v>
      </c>
      <c r="AP82" t="s">
        <v>508</v>
      </c>
    </row>
    <row r="83" spans="1:42" x14ac:dyDescent="0.45">
      <c r="A83" t="s">
        <v>42</v>
      </c>
      <c r="B83" t="s">
        <v>43</v>
      </c>
      <c r="C83" t="s">
        <v>236</v>
      </c>
      <c r="D83">
        <v>2025</v>
      </c>
      <c r="E83" t="s">
        <v>45</v>
      </c>
      <c r="F83" t="s">
        <v>46</v>
      </c>
      <c r="J83" t="s">
        <v>509</v>
      </c>
      <c r="K83" t="s">
        <v>510</v>
      </c>
      <c r="L83" t="s">
        <v>511</v>
      </c>
      <c r="M83" t="s">
        <v>512</v>
      </c>
      <c r="N83" t="s">
        <v>51</v>
      </c>
      <c r="O83" t="s">
        <v>52</v>
      </c>
      <c r="P83" t="s">
        <v>53</v>
      </c>
      <c r="S83">
        <v>3</v>
      </c>
      <c r="T83" t="s">
        <v>513</v>
      </c>
      <c r="U83">
        <v>6230</v>
      </c>
      <c r="V83">
        <v>12188</v>
      </c>
      <c r="W83">
        <v>0.51119999999999999</v>
      </c>
      <c r="X83" t="s">
        <v>196</v>
      </c>
      <c r="Y83" t="s">
        <v>243</v>
      </c>
      <c r="Z83">
        <v>308.05</v>
      </c>
      <c r="AA83">
        <v>375.02</v>
      </c>
      <c r="AB83">
        <v>115528</v>
      </c>
      <c r="AC83" t="b">
        <v>0</v>
      </c>
      <c r="AD83" t="b">
        <v>0</v>
      </c>
      <c r="AE83" t="b">
        <v>0</v>
      </c>
      <c r="AF83" t="b">
        <v>0</v>
      </c>
      <c r="AG83" t="s">
        <v>58</v>
      </c>
      <c r="AH83">
        <v>-15</v>
      </c>
      <c r="AI83" t="s">
        <v>59</v>
      </c>
      <c r="AJ83" t="s">
        <v>60</v>
      </c>
      <c r="AK83" t="s">
        <v>333</v>
      </c>
      <c r="AL83" t="s">
        <v>334</v>
      </c>
      <c r="AM83" t="s">
        <v>245</v>
      </c>
      <c r="AN83" t="s">
        <v>63</v>
      </c>
      <c r="AO83" t="s">
        <v>246</v>
      </c>
      <c r="AP83" t="s">
        <v>510</v>
      </c>
    </row>
    <row r="84" spans="1:42" x14ac:dyDescent="0.45">
      <c r="A84" t="s">
        <v>42</v>
      </c>
      <c r="B84" t="s">
        <v>43</v>
      </c>
      <c r="C84" t="s">
        <v>236</v>
      </c>
      <c r="D84">
        <v>2025</v>
      </c>
      <c r="E84" t="s">
        <v>45</v>
      </c>
      <c r="F84" t="s">
        <v>46</v>
      </c>
      <c r="G84">
        <v>13</v>
      </c>
      <c r="J84" t="s">
        <v>514</v>
      </c>
      <c r="K84" t="s">
        <v>515</v>
      </c>
      <c r="L84" t="s">
        <v>516</v>
      </c>
      <c r="M84" t="s">
        <v>517</v>
      </c>
      <c r="N84" t="s">
        <v>89</v>
      </c>
      <c r="O84" t="s">
        <v>90</v>
      </c>
      <c r="P84" t="s">
        <v>91</v>
      </c>
      <c r="S84">
        <v>1</v>
      </c>
      <c r="T84" t="s">
        <v>518</v>
      </c>
      <c r="U84">
        <v>522</v>
      </c>
      <c r="V84">
        <v>12188</v>
      </c>
      <c r="W84">
        <v>4.2799999999999998E-2</v>
      </c>
      <c r="X84" t="s">
        <v>56</v>
      </c>
      <c r="Y84" t="s">
        <v>243</v>
      </c>
      <c r="Z84">
        <v>247.83</v>
      </c>
      <c r="AA84">
        <v>66.569999999999993</v>
      </c>
      <c r="AB84">
        <v>16499</v>
      </c>
      <c r="AC84" t="b">
        <v>0</v>
      </c>
      <c r="AD84" t="b">
        <v>0</v>
      </c>
      <c r="AE84" t="b">
        <v>0</v>
      </c>
      <c r="AF84" t="b">
        <v>0</v>
      </c>
      <c r="AG84" t="s">
        <v>58</v>
      </c>
      <c r="AH84">
        <v>-15</v>
      </c>
      <c r="AI84" t="s">
        <v>59</v>
      </c>
      <c r="AJ84" t="s">
        <v>60</v>
      </c>
      <c r="AK84" t="s">
        <v>78</v>
      </c>
      <c r="AL84" t="s">
        <v>79</v>
      </c>
      <c r="AM84" t="s">
        <v>245</v>
      </c>
      <c r="AN84" t="s">
        <v>63</v>
      </c>
      <c r="AO84" t="s">
        <v>246</v>
      </c>
      <c r="AP84" t="s">
        <v>515</v>
      </c>
    </row>
    <row r="85" spans="1:42" x14ac:dyDescent="0.45">
      <c r="A85" t="s">
        <v>42</v>
      </c>
      <c r="B85" t="s">
        <v>43</v>
      </c>
      <c r="C85" t="s">
        <v>236</v>
      </c>
      <c r="D85">
        <v>2025</v>
      </c>
      <c r="E85" t="s">
        <v>45</v>
      </c>
      <c r="F85" t="s">
        <v>46</v>
      </c>
      <c r="G85">
        <v>8</v>
      </c>
      <c r="J85" t="s">
        <v>519</v>
      </c>
      <c r="K85" t="s">
        <v>520</v>
      </c>
      <c r="L85" t="s">
        <v>521</v>
      </c>
      <c r="M85" t="s">
        <v>522</v>
      </c>
      <c r="N85" t="s">
        <v>221</v>
      </c>
      <c r="O85" t="s">
        <v>222</v>
      </c>
      <c r="P85" t="s">
        <v>223</v>
      </c>
      <c r="S85">
        <v>3</v>
      </c>
      <c r="T85" t="s">
        <v>523</v>
      </c>
      <c r="U85">
        <v>6684</v>
      </c>
      <c r="V85">
        <v>12188</v>
      </c>
      <c r="W85">
        <v>0.5484</v>
      </c>
      <c r="X85" t="s">
        <v>196</v>
      </c>
      <c r="Y85" t="s">
        <v>243</v>
      </c>
      <c r="Z85">
        <v>16.739999999999998</v>
      </c>
      <c r="AA85">
        <v>36284.620000000003</v>
      </c>
      <c r="AB85">
        <v>607537</v>
      </c>
      <c r="AC85" t="b">
        <v>0</v>
      </c>
      <c r="AD85" t="b">
        <v>0</v>
      </c>
      <c r="AE85" t="b">
        <v>0</v>
      </c>
      <c r="AF85" t="b">
        <v>0</v>
      </c>
      <c r="AG85" t="s">
        <v>58</v>
      </c>
      <c r="AH85">
        <v>10</v>
      </c>
      <c r="AI85" t="s">
        <v>59</v>
      </c>
      <c r="AJ85" t="s">
        <v>60</v>
      </c>
      <c r="AL85" t="s">
        <v>281</v>
      </c>
      <c r="AM85" t="s">
        <v>245</v>
      </c>
      <c r="AN85" t="s">
        <v>63</v>
      </c>
      <c r="AO85" t="s">
        <v>246</v>
      </c>
      <c r="AP85" t="s">
        <v>520</v>
      </c>
    </row>
    <row r="86" spans="1:42" x14ac:dyDescent="0.45">
      <c r="A86" t="s">
        <v>42</v>
      </c>
      <c r="B86" t="s">
        <v>43</v>
      </c>
      <c r="C86" t="s">
        <v>236</v>
      </c>
      <c r="D86">
        <v>2025</v>
      </c>
      <c r="E86" t="s">
        <v>45</v>
      </c>
      <c r="F86" t="s">
        <v>46</v>
      </c>
      <c r="G86">
        <v>14</v>
      </c>
      <c r="J86" t="s">
        <v>524</v>
      </c>
      <c r="K86" t="s">
        <v>525</v>
      </c>
      <c r="L86" t="s">
        <v>526</v>
      </c>
      <c r="M86" t="s">
        <v>527</v>
      </c>
      <c r="N86" t="s">
        <v>51</v>
      </c>
      <c r="O86" t="s">
        <v>52</v>
      </c>
      <c r="P86" t="s">
        <v>53</v>
      </c>
      <c r="S86">
        <v>1</v>
      </c>
      <c r="T86" t="s">
        <v>528</v>
      </c>
      <c r="U86">
        <v>1535</v>
      </c>
      <c r="V86">
        <v>12188</v>
      </c>
      <c r="W86">
        <v>0.12590000000000001</v>
      </c>
      <c r="X86" t="s">
        <v>56</v>
      </c>
      <c r="Y86" t="s">
        <v>243</v>
      </c>
      <c r="Z86">
        <v>242.74</v>
      </c>
      <c r="AA86">
        <v>412.84</v>
      </c>
      <c r="AB86">
        <v>100214</v>
      </c>
      <c r="AC86" t="b">
        <v>0</v>
      </c>
      <c r="AD86" t="b">
        <v>0</v>
      </c>
      <c r="AE86" t="b">
        <v>0</v>
      </c>
      <c r="AF86" t="b">
        <v>0</v>
      </c>
      <c r="AG86" t="s">
        <v>58</v>
      </c>
      <c r="AH86">
        <v>-15</v>
      </c>
      <c r="AI86" t="s">
        <v>59</v>
      </c>
      <c r="AJ86" t="s">
        <v>60</v>
      </c>
      <c r="AK86" t="s">
        <v>433</v>
      </c>
      <c r="AL86" t="s">
        <v>434</v>
      </c>
      <c r="AM86" t="s">
        <v>245</v>
      </c>
      <c r="AN86" t="s">
        <v>63</v>
      </c>
      <c r="AO86" t="s">
        <v>246</v>
      </c>
      <c r="AP86" t="s">
        <v>525</v>
      </c>
    </row>
    <row r="87" spans="1:42" x14ac:dyDescent="0.45">
      <c r="A87" t="s">
        <v>42</v>
      </c>
      <c r="B87" t="s">
        <v>43</v>
      </c>
      <c r="C87" t="s">
        <v>236</v>
      </c>
      <c r="D87">
        <v>2025</v>
      </c>
      <c r="E87" t="s">
        <v>45</v>
      </c>
      <c r="F87" t="s">
        <v>46</v>
      </c>
      <c r="G87">
        <v>13</v>
      </c>
      <c r="J87" t="s">
        <v>529</v>
      </c>
      <c r="K87" t="s">
        <v>530</v>
      </c>
      <c r="L87" t="s">
        <v>531</v>
      </c>
      <c r="M87" t="s">
        <v>532</v>
      </c>
      <c r="N87" t="s">
        <v>533</v>
      </c>
      <c r="O87" t="s">
        <v>534</v>
      </c>
      <c r="P87" t="s">
        <v>293</v>
      </c>
      <c r="S87">
        <v>3</v>
      </c>
      <c r="T87" t="s">
        <v>535</v>
      </c>
      <c r="U87">
        <v>2455</v>
      </c>
      <c r="V87">
        <v>12188</v>
      </c>
      <c r="W87">
        <v>0.2014</v>
      </c>
      <c r="X87" t="s">
        <v>56</v>
      </c>
      <c r="Y87" t="s">
        <v>243</v>
      </c>
      <c r="Z87">
        <v>249.2</v>
      </c>
      <c r="AA87">
        <v>55.85</v>
      </c>
      <c r="AB87">
        <v>13918</v>
      </c>
      <c r="AC87" t="b">
        <v>0</v>
      </c>
      <c r="AD87" t="b">
        <v>0</v>
      </c>
      <c r="AE87" t="b">
        <v>0</v>
      </c>
      <c r="AF87" t="b">
        <v>0</v>
      </c>
      <c r="AG87" t="s">
        <v>58</v>
      </c>
      <c r="AH87">
        <v>6</v>
      </c>
      <c r="AI87" t="s">
        <v>59</v>
      </c>
      <c r="AJ87" t="s">
        <v>60</v>
      </c>
      <c r="AL87" t="s">
        <v>536</v>
      </c>
      <c r="AM87" t="s">
        <v>245</v>
      </c>
      <c r="AN87" t="s">
        <v>63</v>
      </c>
      <c r="AO87" t="s">
        <v>246</v>
      </c>
      <c r="AP87" t="s">
        <v>530</v>
      </c>
    </row>
    <row r="88" spans="1:42" x14ac:dyDescent="0.45">
      <c r="A88" t="s">
        <v>42</v>
      </c>
      <c r="B88" t="s">
        <v>43</v>
      </c>
      <c r="C88" t="s">
        <v>236</v>
      </c>
      <c r="D88">
        <v>2025</v>
      </c>
      <c r="E88" t="s">
        <v>45</v>
      </c>
      <c r="F88" t="s">
        <v>46</v>
      </c>
      <c r="J88" t="s">
        <v>537</v>
      </c>
      <c r="K88" t="s">
        <v>538</v>
      </c>
      <c r="L88" t="s">
        <v>539</v>
      </c>
      <c r="M88" t="s">
        <v>540</v>
      </c>
      <c r="N88" t="s">
        <v>291</v>
      </c>
      <c r="O88" t="s">
        <v>292</v>
      </c>
      <c r="P88" t="s">
        <v>293</v>
      </c>
      <c r="S88">
        <v>2</v>
      </c>
      <c r="T88" t="s">
        <v>541</v>
      </c>
      <c r="U88">
        <v>3843</v>
      </c>
      <c r="V88">
        <v>12188</v>
      </c>
      <c r="W88">
        <v>0.31530000000000002</v>
      </c>
      <c r="X88" t="s">
        <v>56</v>
      </c>
      <c r="Y88" t="s">
        <v>243</v>
      </c>
      <c r="Z88">
        <v>132.76</v>
      </c>
      <c r="AA88">
        <v>160.21</v>
      </c>
      <c r="AB88">
        <v>21270</v>
      </c>
      <c r="AC88" t="b">
        <v>0</v>
      </c>
      <c r="AD88" t="b">
        <v>0</v>
      </c>
      <c r="AE88" t="b">
        <v>0</v>
      </c>
      <c r="AF88" t="b">
        <v>0</v>
      </c>
      <c r="AG88" t="s">
        <v>58</v>
      </c>
      <c r="AH88">
        <v>6</v>
      </c>
      <c r="AI88" t="s">
        <v>386</v>
      </c>
      <c r="AJ88" t="s">
        <v>387</v>
      </c>
      <c r="AL88" t="s">
        <v>388</v>
      </c>
      <c r="AM88" t="s">
        <v>245</v>
      </c>
      <c r="AN88" t="s">
        <v>63</v>
      </c>
      <c r="AO88" t="s">
        <v>246</v>
      </c>
      <c r="AP88" t="s">
        <v>538</v>
      </c>
    </row>
    <row r="89" spans="1:42" x14ac:dyDescent="0.45">
      <c r="A89" t="s">
        <v>42</v>
      </c>
      <c r="B89" t="s">
        <v>43</v>
      </c>
      <c r="C89" t="s">
        <v>236</v>
      </c>
      <c r="D89">
        <v>2025</v>
      </c>
      <c r="E89" t="s">
        <v>45</v>
      </c>
      <c r="F89" t="s">
        <v>46</v>
      </c>
      <c r="J89" t="s">
        <v>542</v>
      </c>
      <c r="K89" t="s">
        <v>543</v>
      </c>
      <c r="L89" t="s">
        <v>544</v>
      </c>
      <c r="M89" t="s">
        <v>545</v>
      </c>
      <c r="N89" t="s">
        <v>546</v>
      </c>
      <c r="O89" t="s">
        <v>547</v>
      </c>
      <c r="P89" t="s">
        <v>293</v>
      </c>
      <c r="S89">
        <v>4</v>
      </c>
      <c r="T89" t="s">
        <v>548</v>
      </c>
      <c r="U89">
        <v>897</v>
      </c>
      <c r="V89">
        <v>12188</v>
      </c>
      <c r="W89">
        <v>7.3599999999999999E-2</v>
      </c>
      <c r="X89" t="s">
        <v>56</v>
      </c>
      <c r="Y89" t="s">
        <v>243</v>
      </c>
      <c r="Z89">
        <v>240.81</v>
      </c>
      <c r="AA89">
        <v>432.88</v>
      </c>
      <c r="AB89">
        <v>104240</v>
      </c>
      <c r="AC89" t="b">
        <v>0</v>
      </c>
      <c r="AD89" t="b">
        <v>0</v>
      </c>
      <c r="AE89" t="b">
        <v>0</v>
      </c>
      <c r="AF89" t="b">
        <v>0</v>
      </c>
      <c r="AG89" t="s">
        <v>58</v>
      </c>
      <c r="AH89">
        <v>4</v>
      </c>
      <c r="AI89" t="s">
        <v>169</v>
      </c>
      <c r="AJ89" t="s">
        <v>60</v>
      </c>
      <c r="AL89" t="s">
        <v>549</v>
      </c>
      <c r="AM89" t="s">
        <v>245</v>
      </c>
      <c r="AN89" t="s">
        <v>63</v>
      </c>
      <c r="AO89" t="s">
        <v>246</v>
      </c>
      <c r="AP89" t="s">
        <v>543</v>
      </c>
    </row>
    <row r="90" spans="1:42" x14ac:dyDescent="0.45">
      <c r="A90" t="s">
        <v>42</v>
      </c>
      <c r="B90" t="s">
        <v>43</v>
      </c>
      <c r="C90" t="s">
        <v>236</v>
      </c>
      <c r="D90">
        <v>2025</v>
      </c>
      <c r="E90" t="s">
        <v>45</v>
      </c>
      <c r="F90" t="s">
        <v>46</v>
      </c>
      <c r="G90">
        <v>11</v>
      </c>
      <c r="J90" t="s">
        <v>142</v>
      </c>
      <c r="K90" t="s">
        <v>550</v>
      </c>
      <c r="L90" t="s">
        <v>144</v>
      </c>
      <c r="M90" t="s">
        <v>145</v>
      </c>
      <c r="N90" t="s">
        <v>89</v>
      </c>
      <c r="O90" t="s">
        <v>90</v>
      </c>
      <c r="P90" t="s">
        <v>91</v>
      </c>
      <c r="S90">
        <v>2</v>
      </c>
      <c r="T90" t="s">
        <v>146</v>
      </c>
      <c r="U90">
        <v>17319</v>
      </c>
      <c r="V90">
        <v>12188</v>
      </c>
      <c r="W90">
        <v>1.421</v>
      </c>
      <c r="X90" t="s">
        <v>70</v>
      </c>
      <c r="Y90" t="s">
        <v>243</v>
      </c>
      <c r="Z90">
        <v>717.74</v>
      </c>
      <c r="AA90">
        <v>25247.05</v>
      </c>
      <c r="AB90">
        <v>18120906</v>
      </c>
      <c r="AC90" t="b">
        <v>1</v>
      </c>
      <c r="AD90" t="b">
        <v>0</v>
      </c>
      <c r="AE90" t="b">
        <v>0</v>
      </c>
      <c r="AF90" t="b">
        <v>0</v>
      </c>
      <c r="AG90" t="s">
        <v>58</v>
      </c>
      <c r="AH90">
        <v>14</v>
      </c>
      <c r="AI90" t="s">
        <v>59</v>
      </c>
      <c r="AJ90" t="s">
        <v>60</v>
      </c>
      <c r="AK90" t="s">
        <v>252</v>
      </c>
      <c r="AL90" t="s">
        <v>253</v>
      </c>
      <c r="AM90" t="s">
        <v>245</v>
      </c>
      <c r="AN90" t="s">
        <v>63</v>
      </c>
      <c r="AO90" t="s">
        <v>246</v>
      </c>
      <c r="AP90" t="s">
        <v>550</v>
      </c>
    </row>
    <row r="91" spans="1:42" x14ac:dyDescent="0.45">
      <c r="A91" t="s">
        <v>42</v>
      </c>
      <c r="B91" t="s">
        <v>43</v>
      </c>
      <c r="C91" t="s">
        <v>236</v>
      </c>
      <c r="D91">
        <v>2025</v>
      </c>
      <c r="E91" t="s">
        <v>45</v>
      </c>
      <c r="F91" t="s">
        <v>46</v>
      </c>
      <c r="G91">
        <v>4</v>
      </c>
      <c r="J91" t="s">
        <v>551</v>
      </c>
      <c r="K91" t="s">
        <v>552</v>
      </c>
      <c r="L91" t="s">
        <v>553</v>
      </c>
      <c r="M91" t="s">
        <v>554</v>
      </c>
      <c r="N91" t="s">
        <v>555</v>
      </c>
      <c r="O91" t="s">
        <v>556</v>
      </c>
      <c r="P91" t="s">
        <v>293</v>
      </c>
      <c r="S91">
        <v>1</v>
      </c>
      <c r="T91" t="s">
        <v>557</v>
      </c>
      <c r="U91">
        <v>2730</v>
      </c>
      <c r="V91">
        <v>12188</v>
      </c>
      <c r="W91">
        <v>0.224</v>
      </c>
      <c r="X91" t="s">
        <v>56</v>
      </c>
      <c r="Y91" t="s">
        <v>243</v>
      </c>
      <c r="Z91">
        <v>302.69</v>
      </c>
      <c r="AA91">
        <v>333.71</v>
      </c>
      <c r="AB91">
        <v>101011</v>
      </c>
      <c r="AC91" t="b">
        <v>0</v>
      </c>
      <c r="AD91" t="b">
        <v>0</v>
      </c>
      <c r="AE91" t="b">
        <v>0</v>
      </c>
      <c r="AF91" t="b">
        <v>0</v>
      </c>
      <c r="AG91" t="s">
        <v>58</v>
      </c>
      <c r="AH91">
        <v>-15</v>
      </c>
      <c r="AI91" t="s">
        <v>59</v>
      </c>
      <c r="AJ91" t="s">
        <v>60</v>
      </c>
      <c r="AK91" t="s">
        <v>558</v>
      </c>
      <c r="AL91" t="s">
        <v>559</v>
      </c>
      <c r="AM91" t="s">
        <v>245</v>
      </c>
      <c r="AN91" t="s">
        <v>63</v>
      </c>
      <c r="AO91" t="s">
        <v>246</v>
      </c>
      <c r="AP91" t="s">
        <v>552</v>
      </c>
    </row>
    <row r="92" spans="1:42" x14ac:dyDescent="0.45">
      <c r="A92" t="s">
        <v>42</v>
      </c>
      <c r="B92" t="s">
        <v>43</v>
      </c>
      <c r="C92" t="s">
        <v>236</v>
      </c>
      <c r="D92">
        <v>2025</v>
      </c>
      <c r="E92" t="s">
        <v>45</v>
      </c>
      <c r="F92" t="s">
        <v>46</v>
      </c>
      <c r="J92" t="s">
        <v>560</v>
      </c>
      <c r="K92" t="s">
        <v>561</v>
      </c>
      <c r="L92" t="s">
        <v>562</v>
      </c>
      <c r="M92" t="s">
        <v>563</v>
      </c>
      <c r="N92" t="s">
        <v>291</v>
      </c>
      <c r="O92" t="s">
        <v>292</v>
      </c>
      <c r="P92" t="s">
        <v>293</v>
      </c>
      <c r="S92">
        <v>3</v>
      </c>
      <c r="T92" t="s">
        <v>564</v>
      </c>
      <c r="U92">
        <v>2686</v>
      </c>
      <c r="V92">
        <v>12188</v>
      </c>
      <c r="W92">
        <v>0.22040000000000001</v>
      </c>
      <c r="X92" t="s">
        <v>56</v>
      </c>
      <c r="Y92" t="s">
        <v>243</v>
      </c>
      <c r="Z92">
        <v>260.70999999999998</v>
      </c>
      <c r="AA92">
        <v>149.25</v>
      </c>
      <c r="AB92">
        <v>38911</v>
      </c>
      <c r="AC92" t="b">
        <v>0</v>
      </c>
      <c r="AD92" t="b">
        <v>0</v>
      </c>
      <c r="AE92" t="b">
        <v>0</v>
      </c>
      <c r="AF92" t="b">
        <v>0</v>
      </c>
      <c r="AG92" t="s">
        <v>58</v>
      </c>
      <c r="AH92">
        <v>6</v>
      </c>
      <c r="AI92" t="s">
        <v>386</v>
      </c>
      <c r="AJ92" t="s">
        <v>387</v>
      </c>
      <c r="AL92" t="s">
        <v>388</v>
      </c>
      <c r="AM92" t="s">
        <v>245</v>
      </c>
      <c r="AN92" t="s">
        <v>63</v>
      </c>
      <c r="AO92" t="s">
        <v>246</v>
      </c>
      <c r="AP92" t="s">
        <v>561</v>
      </c>
    </row>
    <row r="93" spans="1:42" x14ac:dyDescent="0.45">
      <c r="A93" t="s">
        <v>42</v>
      </c>
      <c r="B93" t="s">
        <v>43</v>
      </c>
      <c r="C93" t="s">
        <v>236</v>
      </c>
      <c r="D93">
        <v>2025</v>
      </c>
      <c r="E93" t="s">
        <v>45</v>
      </c>
      <c r="F93" t="s">
        <v>46</v>
      </c>
      <c r="G93">
        <v>13</v>
      </c>
      <c r="J93" t="s">
        <v>565</v>
      </c>
      <c r="K93" t="s">
        <v>566</v>
      </c>
      <c r="L93" t="s">
        <v>567</v>
      </c>
      <c r="M93" t="s">
        <v>568</v>
      </c>
      <c r="N93" t="s">
        <v>51</v>
      </c>
      <c r="O93" t="s">
        <v>52</v>
      </c>
      <c r="P93" t="s">
        <v>53</v>
      </c>
      <c r="S93">
        <v>0</v>
      </c>
      <c r="T93" t="s">
        <v>569</v>
      </c>
      <c r="U93">
        <v>12125</v>
      </c>
      <c r="V93">
        <v>12188</v>
      </c>
      <c r="W93">
        <v>0.99480000000000002</v>
      </c>
      <c r="X93" t="s">
        <v>70</v>
      </c>
      <c r="Y93" t="s">
        <v>243</v>
      </c>
      <c r="Z93">
        <v>248.76</v>
      </c>
      <c r="AA93">
        <v>12670.56</v>
      </c>
      <c r="AB93">
        <v>3151985</v>
      </c>
      <c r="AC93" t="b">
        <v>1</v>
      </c>
      <c r="AD93" t="b">
        <v>1</v>
      </c>
      <c r="AE93" t="b">
        <v>0</v>
      </c>
      <c r="AF93" t="b">
        <v>0</v>
      </c>
      <c r="AG93" t="s">
        <v>58</v>
      </c>
      <c r="AH93">
        <v>14</v>
      </c>
      <c r="AI93" t="s">
        <v>59</v>
      </c>
      <c r="AJ93" t="s">
        <v>71</v>
      </c>
      <c r="AL93" t="s">
        <v>244</v>
      </c>
      <c r="AM93" t="s">
        <v>245</v>
      </c>
      <c r="AN93" t="s">
        <v>63</v>
      </c>
      <c r="AO93" t="s">
        <v>246</v>
      </c>
      <c r="AP93" t="s">
        <v>566</v>
      </c>
    </row>
    <row r="94" spans="1:42" x14ac:dyDescent="0.45">
      <c r="A94" t="s">
        <v>42</v>
      </c>
      <c r="B94" t="s">
        <v>43</v>
      </c>
      <c r="C94" t="s">
        <v>236</v>
      </c>
      <c r="D94">
        <v>2025</v>
      </c>
      <c r="E94" t="s">
        <v>45</v>
      </c>
      <c r="F94" t="s">
        <v>46</v>
      </c>
      <c r="G94">
        <v>11</v>
      </c>
      <c r="J94" t="s">
        <v>570</v>
      </c>
      <c r="K94" t="s">
        <v>571</v>
      </c>
      <c r="L94" t="s">
        <v>572</v>
      </c>
      <c r="M94" t="s">
        <v>573</v>
      </c>
      <c r="N94" t="s">
        <v>89</v>
      </c>
      <c r="O94" t="s">
        <v>90</v>
      </c>
      <c r="P94" t="s">
        <v>91</v>
      </c>
      <c r="S94">
        <v>1</v>
      </c>
      <c r="T94" t="s">
        <v>574</v>
      </c>
      <c r="U94">
        <v>734</v>
      </c>
      <c r="V94">
        <v>12188</v>
      </c>
      <c r="W94">
        <v>6.0199999999999997E-2</v>
      </c>
      <c r="X94" t="s">
        <v>56</v>
      </c>
      <c r="Y94" t="s">
        <v>243</v>
      </c>
      <c r="Z94">
        <v>262.99</v>
      </c>
      <c r="AA94">
        <v>50.92</v>
      </c>
      <c r="AB94">
        <v>13392</v>
      </c>
      <c r="AC94" t="b">
        <v>1</v>
      </c>
      <c r="AD94" t="b">
        <v>0</v>
      </c>
      <c r="AE94" t="b">
        <v>0</v>
      </c>
      <c r="AF94" t="b">
        <v>0</v>
      </c>
      <c r="AG94" t="s">
        <v>58</v>
      </c>
      <c r="AH94">
        <v>12</v>
      </c>
      <c r="AI94" t="s">
        <v>59</v>
      </c>
      <c r="AJ94" t="s">
        <v>60</v>
      </c>
      <c r="AK94" t="s">
        <v>252</v>
      </c>
      <c r="AL94" t="s">
        <v>415</v>
      </c>
      <c r="AM94" t="s">
        <v>245</v>
      </c>
      <c r="AN94" t="s">
        <v>63</v>
      </c>
      <c r="AO94" t="s">
        <v>246</v>
      </c>
      <c r="AP94" t="s">
        <v>571</v>
      </c>
    </row>
    <row r="95" spans="1:42" x14ac:dyDescent="0.45">
      <c r="A95" t="s">
        <v>42</v>
      </c>
      <c r="B95" t="s">
        <v>43</v>
      </c>
      <c r="C95" t="s">
        <v>236</v>
      </c>
      <c r="D95">
        <v>2025</v>
      </c>
      <c r="E95" t="s">
        <v>45</v>
      </c>
      <c r="F95" t="s">
        <v>46</v>
      </c>
      <c r="G95">
        <v>9</v>
      </c>
      <c r="J95" t="s">
        <v>85</v>
      </c>
      <c r="K95" t="s">
        <v>575</v>
      </c>
      <c r="L95" t="s">
        <v>87</v>
      </c>
      <c r="M95" t="s">
        <v>88</v>
      </c>
      <c r="N95" t="s">
        <v>89</v>
      </c>
      <c r="O95" t="s">
        <v>90</v>
      </c>
      <c r="P95" t="s">
        <v>91</v>
      </c>
      <c r="S95">
        <v>1</v>
      </c>
      <c r="T95" t="s">
        <v>92</v>
      </c>
      <c r="U95">
        <v>15596</v>
      </c>
      <c r="V95">
        <v>12188</v>
      </c>
      <c r="W95">
        <v>1.2796000000000001</v>
      </c>
      <c r="X95" t="s">
        <v>70</v>
      </c>
      <c r="Y95" t="s">
        <v>243</v>
      </c>
      <c r="Z95">
        <v>724.74</v>
      </c>
      <c r="AA95">
        <v>22576.639999999999</v>
      </c>
      <c r="AB95">
        <v>16362275</v>
      </c>
      <c r="AC95" t="b">
        <v>1</v>
      </c>
      <c r="AD95" t="b">
        <v>0</v>
      </c>
      <c r="AE95" t="b">
        <v>0</v>
      </c>
      <c r="AF95" t="b">
        <v>0</v>
      </c>
      <c r="AG95" t="s">
        <v>58</v>
      </c>
      <c r="AH95">
        <v>14</v>
      </c>
      <c r="AI95" t="s">
        <v>59</v>
      </c>
      <c r="AJ95" t="s">
        <v>60</v>
      </c>
      <c r="AK95" t="s">
        <v>252</v>
      </c>
      <c r="AL95" t="s">
        <v>253</v>
      </c>
      <c r="AM95" t="s">
        <v>245</v>
      </c>
      <c r="AN95" t="s">
        <v>63</v>
      </c>
      <c r="AO95" t="s">
        <v>246</v>
      </c>
      <c r="AP95" t="s">
        <v>575</v>
      </c>
    </row>
    <row r="96" spans="1:42" x14ac:dyDescent="0.45">
      <c r="A96" t="s">
        <v>42</v>
      </c>
      <c r="B96" t="s">
        <v>43</v>
      </c>
      <c r="C96" t="s">
        <v>236</v>
      </c>
      <c r="D96">
        <v>2025</v>
      </c>
      <c r="E96" t="s">
        <v>45</v>
      </c>
      <c r="F96" t="s">
        <v>46</v>
      </c>
      <c r="G96">
        <v>9</v>
      </c>
      <c r="J96" t="s">
        <v>576</v>
      </c>
      <c r="K96" t="s">
        <v>577</v>
      </c>
      <c r="L96" t="s">
        <v>578</v>
      </c>
      <c r="M96" t="s">
        <v>579</v>
      </c>
      <c r="N96" t="s">
        <v>51</v>
      </c>
      <c r="O96" t="s">
        <v>52</v>
      </c>
      <c r="P96" t="s">
        <v>53</v>
      </c>
      <c r="S96">
        <v>4</v>
      </c>
      <c r="T96" t="s">
        <v>580</v>
      </c>
      <c r="U96">
        <v>1322</v>
      </c>
      <c r="V96">
        <v>12188</v>
      </c>
      <c r="W96">
        <v>0.1085</v>
      </c>
      <c r="X96" t="s">
        <v>56</v>
      </c>
      <c r="Y96" t="s">
        <v>243</v>
      </c>
      <c r="Z96">
        <v>272.74</v>
      </c>
      <c r="AA96">
        <v>1482.19</v>
      </c>
      <c r="AB96">
        <v>404256</v>
      </c>
      <c r="AC96" t="b">
        <v>0</v>
      </c>
      <c r="AD96" t="b">
        <v>0</v>
      </c>
      <c r="AE96" t="b">
        <v>0</v>
      </c>
      <c r="AF96" t="b">
        <v>0</v>
      </c>
      <c r="AG96" t="s">
        <v>58</v>
      </c>
      <c r="AH96">
        <v>-15</v>
      </c>
      <c r="AI96" t="s">
        <v>59</v>
      </c>
      <c r="AJ96" t="s">
        <v>60</v>
      </c>
      <c r="AK96" t="s">
        <v>433</v>
      </c>
      <c r="AL96" t="s">
        <v>434</v>
      </c>
      <c r="AM96" t="s">
        <v>245</v>
      </c>
      <c r="AN96" t="s">
        <v>63</v>
      </c>
      <c r="AO96" t="s">
        <v>246</v>
      </c>
      <c r="AP96" t="s">
        <v>577</v>
      </c>
    </row>
    <row r="97" spans="1:42" x14ac:dyDescent="0.45">
      <c r="A97" t="s">
        <v>42</v>
      </c>
      <c r="B97" t="s">
        <v>43</v>
      </c>
      <c r="C97" t="s">
        <v>236</v>
      </c>
      <c r="D97">
        <v>2025</v>
      </c>
      <c r="E97" t="s">
        <v>45</v>
      </c>
      <c r="F97" t="s">
        <v>46</v>
      </c>
      <c r="G97">
        <v>12</v>
      </c>
      <c r="J97" t="s">
        <v>152</v>
      </c>
      <c r="K97" t="s">
        <v>581</v>
      </c>
      <c r="L97" t="s">
        <v>154</v>
      </c>
      <c r="M97" t="s">
        <v>155</v>
      </c>
      <c r="N97" t="s">
        <v>51</v>
      </c>
      <c r="O97" t="s">
        <v>52</v>
      </c>
      <c r="P97" t="s">
        <v>53</v>
      </c>
      <c r="S97">
        <v>1</v>
      </c>
      <c r="T97" t="s">
        <v>156</v>
      </c>
      <c r="U97">
        <v>9143</v>
      </c>
      <c r="V97">
        <v>12188</v>
      </c>
      <c r="W97">
        <v>0.75019999999999998</v>
      </c>
      <c r="X97" t="s">
        <v>70</v>
      </c>
      <c r="Y97" t="s">
        <v>243</v>
      </c>
      <c r="Z97">
        <v>710.74</v>
      </c>
      <c r="AA97">
        <v>13682.27</v>
      </c>
      <c r="AB97">
        <v>9724585</v>
      </c>
      <c r="AC97" t="b">
        <v>1</v>
      </c>
      <c r="AD97" t="b">
        <v>1</v>
      </c>
      <c r="AE97" t="b">
        <v>0</v>
      </c>
      <c r="AF97" t="b">
        <v>0</v>
      </c>
      <c r="AG97" t="s">
        <v>58</v>
      </c>
      <c r="AH97">
        <v>14</v>
      </c>
      <c r="AI97" t="s">
        <v>59</v>
      </c>
      <c r="AJ97" t="s">
        <v>71</v>
      </c>
      <c r="AL97" t="s">
        <v>244</v>
      </c>
      <c r="AM97" t="s">
        <v>245</v>
      </c>
      <c r="AN97" t="s">
        <v>63</v>
      </c>
      <c r="AO97" t="s">
        <v>246</v>
      </c>
      <c r="AP97" t="s">
        <v>581</v>
      </c>
    </row>
    <row r="98" spans="1:42" x14ac:dyDescent="0.45">
      <c r="A98" t="s">
        <v>42</v>
      </c>
      <c r="B98" t="s">
        <v>43</v>
      </c>
      <c r="C98" t="s">
        <v>236</v>
      </c>
      <c r="D98">
        <v>2025</v>
      </c>
      <c r="E98" t="s">
        <v>45</v>
      </c>
      <c r="F98" t="s">
        <v>46</v>
      </c>
      <c r="J98" t="s">
        <v>582</v>
      </c>
      <c r="K98" t="s">
        <v>583</v>
      </c>
      <c r="L98" t="s">
        <v>584</v>
      </c>
      <c r="M98" t="s">
        <v>585</v>
      </c>
      <c r="N98" t="s">
        <v>51</v>
      </c>
      <c r="O98" t="s">
        <v>52</v>
      </c>
      <c r="P98" t="s">
        <v>53</v>
      </c>
      <c r="S98">
        <v>3</v>
      </c>
      <c r="T98" t="s">
        <v>586</v>
      </c>
      <c r="U98">
        <v>8163</v>
      </c>
      <c r="V98">
        <v>12188</v>
      </c>
      <c r="W98">
        <v>0.66979999999999995</v>
      </c>
      <c r="X98" t="s">
        <v>70</v>
      </c>
      <c r="Y98" t="s">
        <v>243</v>
      </c>
      <c r="Z98">
        <v>250.07</v>
      </c>
      <c r="AA98">
        <v>295.58999999999997</v>
      </c>
      <c r="AB98">
        <v>73920</v>
      </c>
      <c r="AC98" t="b">
        <v>0</v>
      </c>
      <c r="AD98" t="b">
        <v>0</v>
      </c>
      <c r="AE98" t="b">
        <v>0</v>
      </c>
      <c r="AF98" t="b">
        <v>0</v>
      </c>
      <c r="AG98" t="s">
        <v>58</v>
      </c>
      <c r="AH98">
        <v>-15</v>
      </c>
      <c r="AI98" t="s">
        <v>59</v>
      </c>
      <c r="AJ98" t="s">
        <v>60</v>
      </c>
      <c r="AK98" t="s">
        <v>333</v>
      </c>
      <c r="AL98" t="s">
        <v>334</v>
      </c>
      <c r="AM98" t="s">
        <v>245</v>
      </c>
      <c r="AN98" t="s">
        <v>63</v>
      </c>
      <c r="AO98" t="s">
        <v>246</v>
      </c>
      <c r="AP98" t="s">
        <v>583</v>
      </c>
    </row>
    <row r="99" spans="1:42" x14ac:dyDescent="0.45">
      <c r="A99" t="s">
        <v>42</v>
      </c>
      <c r="B99" t="s">
        <v>43</v>
      </c>
      <c r="C99" t="s">
        <v>236</v>
      </c>
      <c r="D99">
        <v>2025</v>
      </c>
      <c r="E99" t="s">
        <v>45</v>
      </c>
      <c r="F99" t="s">
        <v>46</v>
      </c>
      <c r="G99">
        <v>12</v>
      </c>
      <c r="J99" t="s">
        <v>587</v>
      </c>
      <c r="K99" t="s">
        <v>588</v>
      </c>
      <c r="L99" t="s">
        <v>589</v>
      </c>
      <c r="M99" t="s">
        <v>590</v>
      </c>
      <c r="N99" t="s">
        <v>51</v>
      </c>
      <c r="O99" t="s">
        <v>52</v>
      </c>
      <c r="P99" t="s">
        <v>53</v>
      </c>
      <c r="S99">
        <v>0</v>
      </c>
      <c r="T99" t="s">
        <v>591</v>
      </c>
      <c r="U99">
        <v>11225</v>
      </c>
      <c r="V99">
        <v>12188</v>
      </c>
      <c r="W99">
        <v>0.92100000000000004</v>
      </c>
      <c r="X99" t="s">
        <v>70</v>
      </c>
      <c r="Y99" t="s">
        <v>243</v>
      </c>
      <c r="Z99">
        <v>255.76</v>
      </c>
      <c r="AA99">
        <v>13736.86</v>
      </c>
      <c r="AB99">
        <v>3513400</v>
      </c>
      <c r="AC99" t="b">
        <v>1</v>
      </c>
      <c r="AD99" t="b">
        <v>0</v>
      </c>
      <c r="AE99" t="b">
        <v>0</v>
      </c>
      <c r="AF99" t="b">
        <v>0</v>
      </c>
      <c r="AG99" t="s">
        <v>58</v>
      </c>
      <c r="AH99">
        <v>14</v>
      </c>
      <c r="AI99" t="s">
        <v>59</v>
      </c>
      <c r="AJ99" t="s">
        <v>60</v>
      </c>
      <c r="AK99" t="s">
        <v>252</v>
      </c>
      <c r="AL99" t="s">
        <v>253</v>
      </c>
      <c r="AM99" t="s">
        <v>245</v>
      </c>
      <c r="AN99" t="s">
        <v>63</v>
      </c>
      <c r="AO99" t="s">
        <v>246</v>
      </c>
      <c r="AP99" t="s">
        <v>588</v>
      </c>
    </row>
    <row r="100" spans="1:42" x14ac:dyDescent="0.45">
      <c r="A100" t="s">
        <v>42</v>
      </c>
      <c r="B100" t="s">
        <v>43</v>
      </c>
      <c r="C100" t="s">
        <v>236</v>
      </c>
      <c r="D100">
        <v>2025</v>
      </c>
      <c r="E100" t="s">
        <v>45</v>
      </c>
      <c r="F100" t="s">
        <v>46</v>
      </c>
      <c r="G100">
        <v>10</v>
      </c>
      <c r="J100" t="s">
        <v>592</v>
      </c>
      <c r="K100" t="s">
        <v>593</v>
      </c>
      <c r="L100" t="s">
        <v>594</v>
      </c>
      <c r="M100" t="s">
        <v>595</v>
      </c>
      <c r="N100" t="s">
        <v>89</v>
      </c>
      <c r="O100" t="s">
        <v>90</v>
      </c>
      <c r="P100" t="s">
        <v>91</v>
      </c>
      <c r="S100">
        <v>1</v>
      </c>
      <c r="T100" t="s">
        <v>596</v>
      </c>
      <c r="U100">
        <v>754</v>
      </c>
      <c r="V100">
        <v>12188</v>
      </c>
      <c r="W100">
        <v>6.1899999999999997E-2</v>
      </c>
      <c r="X100" t="s">
        <v>56</v>
      </c>
      <c r="Y100" t="s">
        <v>243</v>
      </c>
      <c r="Z100">
        <v>266.12</v>
      </c>
      <c r="AA100">
        <v>157.59</v>
      </c>
      <c r="AB100">
        <v>41937</v>
      </c>
      <c r="AC100" t="b">
        <v>0</v>
      </c>
      <c r="AD100" t="b">
        <v>0</v>
      </c>
      <c r="AE100" t="b">
        <v>0</v>
      </c>
      <c r="AF100" t="b">
        <v>0</v>
      </c>
      <c r="AG100" t="s">
        <v>58</v>
      </c>
      <c r="AH100">
        <v>-15</v>
      </c>
      <c r="AI100" t="s">
        <v>59</v>
      </c>
      <c r="AJ100" t="s">
        <v>60</v>
      </c>
      <c r="AK100" t="s">
        <v>78</v>
      </c>
      <c r="AL100" t="s">
        <v>79</v>
      </c>
      <c r="AM100" t="s">
        <v>245</v>
      </c>
      <c r="AN100" t="s">
        <v>63</v>
      </c>
      <c r="AO100" t="s">
        <v>246</v>
      </c>
      <c r="AP100" t="s">
        <v>593</v>
      </c>
    </row>
    <row r="101" spans="1:42" x14ac:dyDescent="0.45">
      <c r="A101" t="s">
        <v>42</v>
      </c>
      <c r="B101" t="s">
        <v>43</v>
      </c>
      <c r="C101" t="s">
        <v>236</v>
      </c>
      <c r="D101">
        <v>2025</v>
      </c>
      <c r="E101" t="s">
        <v>45</v>
      </c>
      <c r="F101" t="s">
        <v>46</v>
      </c>
      <c r="G101">
        <v>5</v>
      </c>
      <c r="J101" t="s">
        <v>597</v>
      </c>
      <c r="K101" t="s">
        <v>598</v>
      </c>
      <c r="L101" t="s">
        <v>599</v>
      </c>
      <c r="M101" t="s">
        <v>600</v>
      </c>
      <c r="N101" t="s">
        <v>359</v>
      </c>
      <c r="O101" t="s">
        <v>360</v>
      </c>
      <c r="P101" t="s">
        <v>293</v>
      </c>
      <c r="S101">
        <v>3</v>
      </c>
      <c r="T101" t="s">
        <v>601</v>
      </c>
      <c r="U101">
        <v>3458</v>
      </c>
      <c r="V101">
        <v>12188</v>
      </c>
      <c r="W101">
        <v>0.28370000000000001</v>
      </c>
      <c r="X101" t="s">
        <v>56</v>
      </c>
      <c r="Y101" t="s">
        <v>243</v>
      </c>
      <c r="Z101">
        <v>8.7899999999999991</v>
      </c>
      <c r="AA101">
        <v>17457.740000000002</v>
      </c>
      <c r="AB101">
        <v>153372</v>
      </c>
      <c r="AC101" t="b">
        <v>0</v>
      </c>
      <c r="AD101" t="b">
        <v>0</v>
      </c>
      <c r="AE101" t="b">
        <v>0</v>
      </c>
      <c r="AF101" t="b">
        <v>0</v>
      </c>
      <c r="AG101" t="s">
        <v>58</v>
      </c>
      <c r="AH101">
        <v>6</v>
      </c>
      <c r="AI101" t="s">
        <v>59</v>
      </c>
      <c r="AJ101" t="s">
        <v>60</v>
      </c>
      <c r="AL101" t="s">
        <v>536</v>
      </c>
      <c r="AM101" t="s">
        <v>245</v>
      </c>
      <c r="AN101" t="s">
        <v>63</v>
      </c>
      <c r="AO101" t="s">
        <v>246</v>
      </c>
      <c r="AP101" t="s">
        <v>598</v>
      </c>
    </row>
    <row r="102" spans="1:42" x14ac:dyDescent="0.45">
      <c r="A102" t="s">
        <v>42</v>
      </c>
      <c r="B102" t="s">
        <v>43</v>
      </c>
      <c r="C102" t="s">
        <v>236</v>
      </c>
      <c r="D102">
        <v>2025</v>
      </c>
      <c r="E102" t="s">
        <v>45</v>
      </c>
      <c r="F102" t="s">
        <v>46</v>
      </c>
      <c r="G102">
        <v>10</v>
      </c>
      <c r="J102" t="s">
        <v>602</v>
      </c>
      <c r="K102" t="s">
        <v>603</v>
      </c>
      <c r="L102" t="s">
        <v>604</v>
      </c>
      <c r="M102" t="s">
        <v>605</v>
      </c>
      <c r="N102" t="s">
        <v>606</v>
      </c>
      <c r="O102" t="s">
        <v>607</v>
      </c>
      <c r="P102" t="s">
        <v>293</v>
      </c>
      <c r="S102">
        <v>4</v>
      </c>
      <c r="T102" t="s">
        <v>608</v>
      </c>
      <c r="U102">
        <v>2593</v>
      </c>
      <c r="V102">
        <v>12188</v>
      </c>
      <c r="W102">
        <v>0.21279999999999999</v>
      </c>
      <c r="X102" t="s">
        <v>56</v>
      </c>
      <c r="Y102" t="s">
        <v>243</v>
      </c>
      <c r="Z102">
        <v>268.14999999999998</v>
      </c>
      <c r="AA102">
        <v>2.27</v>
      </c>
      <c r="AB102">
        <v>610</v>
      </c>
      <c r="AC102" t="b">
        <v>0</v>
      </c>
      <c r="AD102" t="b">
        <v>0</v>
      </c>
      <c r="AE102" t="b">
        <v>0</v>
      </c>
      <c r="AF102" t="b">
        <v>0</v>
      </c>
      <c r="AG102" t="s">
        <v>58</v>
      </c>
      <c r="AH102">
        <v>10</v>
      </c>
      <c r="AI102" t="s">
        <v>386</v>
      </c>
      <c r="AJ102" t="s">
        <v>387</v>
      </c>
      <c r="AL102" t="s">
        <v>609</v>
      </c>
      <c r="AM102" t="s">
        <v>245</v>
      </c>
      <c r="AN102" t="s">
        <v>63</v>
      </c>
      <c r="AO102" t="s">
        <v>246</v>
      </c>
      <c r="AP102" t="s">
        <v>603</v>
      </c>
    </row>
    <row r="103" spans="1:42" x14ac:dyDescent="0.45">
      <c r="A103" t="s">
        <v>42</v>
      </c>
      <c r="B103" t="s">
        <v>43</v>
      </c>
      <c r="C103" t="s">
        <v>236</v>
      </c>
      <c r="D103">
        <v>2025</v>
      </c>
      <c r="E103" t="s">
        <v>45</v>
      </c>
      <c r="F103" t="s">
        <v>46</v>
      </c>
      <c r="G103">
        <v>5</v>
      </c>
      <c r="J103" t="e">
        <v>#NAME?</v>
      </c>
      <c r="K103" t="s">
        <v>610</v>
      </c>
      <c r="L103" t="s">
        <v>611</v>
      </c>
      <c r="M103" t="s">
        <v>612</v>
      </c>
      <c r="N103" t="s">
        <v>89</v>
      </c>
      <c r="O103" t="s">
        <v>90</v>
      </c>
      <c r="P103" t="s">
        <v>91</v>
      </c>
      <c r="S103">
        <v>1</v>
      </c>
      <c r="T103" t="s">
        <v>613</v>
      </c>
      <c r="U103">
        <v>8560</v>
      </c>
      <c r="V103">
        <v>12188</v>
      </c>
      <c r="W103">
        <v>0.70230000000000004</v>
      </c>
      <c r="X103" t="s">
        <v>70</v>
      </c>
      <c r="Y103" t="s">
        <v>243</v>
      </c>
      <c r="Z103">
        <v>293.83</v>
      </c>
      <c r="AA103">
        <v>46.66</v>
      </c>
      <c r="AB103">
        <v>13710</v>
      </c>
      <c r="AC103" t="b">
        <v>1</v>
      </c>
      <c r="AD103" t="b">
        <v>0</v>
      </c>
      <c r="AE103" t="b">
        <v>0</v>
      </c>
      <c r="AF103" t="b">
        <v>0</v>
      </c>
      <c r="AG103" t="s">
        <v>58</v>
      </c>
      <c r="AH103">
        <v>14</v>
      </c>
      <c r="AI103" t="s">
        <v>59</v>
      </c>
      <c r="AJ103" t="s">
        <v>60</v>
      </c>
      <c r="AK103" t="s">
        <v>252</v>
      </c>
      <c r="AL103" t="s">
        <v>253</v>
      </c>
      <c r="AM103" t="s">
        <v>245</v>
      </c>
      <c r="AN103" t="s">
        <v>63</v>
      </c>
      <c r="AO103" t="s">
        <v>246</v>
      </c>
      <c r="AP103" t="s">
        <v>610</v>
      </c>
    </row>
    <row r="104" spans="1:42" x14ac:dyDescent="0.45">
      <c r="A104" t="s">
        <v>42</v>
      </c>
      <c r="B104" t="s">
        <v>43</v>
      </c>
      <c r="C104" t="s">
        <v>236</v>
      </c>
      <c r="D104">
        <v>2025</v>
      </c>
      <c r="E104" t="s">
        <v>45</v>
      </c>
      <c r="F104" t="s">
        <v>46</v>
      </c>
      <c r="G104">
        <v>2</v>
      </c>
      <c r="J104" t="s">
        <v>614</v>
      </c>
      <c r="K104" t="s">
        <v>615</v>
      </c>
      <c r="L104" t="s">
        <v>616</v>
      </c>
      <c r="M104" t="s">
        <v>617</v>
      </c>
      <c r="N104" t="s">
        <v>51</v>
      </c>
      <c r="O104" t="s">
        <v>52</v>
      </c>
      <c r="P104" t="s">
        <v>53</v>
      </c>
      <c r="S104">
        <v>4</v>
      </c>
      <c r="T104" t="s">
        <v>618</v>
      </c>
      <c r="U104">
        <v>15128</v>
      </c>
      <c r="V104">
        <v>12188</v>
      </c>
      <c r="W104">
        <v>1.2412000000000001</v>
      </c>
      <c r="X104" t="s">
        <v>70</v>
      </c>
      <c r="Y104" t="s">
        <v>243</v>
      </c>
      <c r="Z104">
        <v>31.74</v>
      </c>
      <c r="AA104">
        <v>153449.84</v>
      </c>
      <c r="AB104">
        <v>4871060</v>
      </c>
      <c r="AC104" t="b">
        <v>0</v>
      </c>
      <c r="AD104" t="b">
        <v>0</v>
      </c>
      <c r="AE104" t="b">
        <v>0</v>
      </c>
      <c r="AF104" t="b">
        <v>0</v>
      </c>
      <c r="AG104" t="s">
        <v>58</v>
      </c>
      <c r="AH104">
        <v>-15</v>
      </c>
      <c r="AI104" t="s">
        <v>59</v>
      </c>
      <c r="AJ104" t="s">
        <v>60</v>
      </c>
      <c r="AK104" t="s">
        <v>264</v>
      </c>
      <c r="AL104" t="s">
        <v>265</v>
      </c>
      <c r="AM104" t="s">
        <v>245</v>
      </c>
      <c r="AN104" t="s">
        <v>63</v>
      </c>
      <c r="AO104" t="s">
        <v>246</v>
      </c>
      <c r="AP104" t="s">
        <v>615</v>
      </c>
    </row>
    <row r="105" spans="1:42" x14ac:dyDescent="0.45">
      <c r="A105" t="s">
        <v>42</v>
      </c>
      <c r="B105" t="s">
        <v>43</v>
      </c>
      <c r="C105" t="s">
        <v>236</v>
      </c>
      <c r="D105">
        <v>2025</v>
      </c>
      <c r="E105" t="s">
        <v>45</v>
      </c>
      <c r="F105" t="s">
        <v>46</v>
      </c>
      <c r="G105">
        <v>10</v>
      </c>
      <c r="J105" t="s">
        <v>103</v>
      </c>
      <c r="K105" t="s">
        <v>619</v>
      </c>
      <c r="L105" t="s">
        <v>105</v>
      </c>
      <c r="M105" t="s">
        <v>106</v>
      </c>
      <c r="N105" t="s">
        <v>89</v>
      </c>
      <c r="O105" t="s">
        <v>90</v>
      </c>
      <c r="P105" t="s">
        <v>91</v>
      </c>
      <c r="S105">
        <v>3</v>
      </c>
      <c r="T105" t="s">
        <v>107</v>
      </c>
      <c r="U105">
        <v>10987</v>
      </c>
      <c r="V105">
        <v>12188</v>
      </c>
      <c r="W105">
        <v>0.90149999999999997</v>
      </c>
      <c r="X105" t="s">
        <v>70</v>
      </c>
      <c r="Y105" t="s">
        <v>243</v>
      </c>
      <c r="Z105">
        <v>723.74</v>
      </c>
      <c r="AA105">
        <v>17047.240000000002</v>
      </c>
      <c r="AB105">
        <v>12337828</v>
      </c>
      <c r="AC105" t="b">
        <v>1</v>
      </c>
      <c r="AD105" t="b">
        <v>0</v>
      </c>
      <c r="AE105" t="b">
        <v>0</v>
      </c>
      <c r="AF105" t="b">
        <v>0</v>
      </c>
      <c r="AG105" t="s">
        <v>58</v>
      </c>
      <c r="AH105">
        <v>14</v>
      </c>
      <c r="AI105" t="s">
        <v>59</v>
      </c>
      <c r="AJ105" t="s">
        <v>60</v>
      </c>
      <c r="AK105" t="s">
        <v>252</v>
      </c>
      <c r="AL105" t="s">
        <v>253</v>
      </c>
      <c r="AM105" t="s">
        <v>245</v>
      </c>
      <c r="AN105" t="s">
        <v>63</v>
      </c>
      <c r="AO105" t="s">
        <v>246</v>
      </c>
      <c r="AP105" t="s">
        <v>619</v>
      </c>
    </row>
    <row r="106" spans="1:42" x14ac:dyDescent="0.45">
      <c r="A106" t="s">
        <v>42</v>
      </c>
      <c r="B106" t="s">
        <v>43</v>
      </c>
      <c r="C106" t="s">
        <v>236</v>
      </c>
      <c r="D106">
        <v>2025</v>
      </c>
      <c r="E106" t="s">
        <v>45</v>
      </c>
      <c r="F106" t="s">
        <v>46</v>
      </c>
      <c r="G106">
        <v>14</v>
      </c>
      <c r="J106" t="s">
        <v>620</v>
      </c>
      <c r="K106" t="s">
        <v>621</v>
      </c>
      <c r="L106" t="s">
        <v>622</v>
      </c>
      <c r="M106" t="s">
        <v>623</v>
      </c>
      <c r="N106" t="s">
        <v>51</v>
      </c>
      <c r="O106" t="s">
        <v>52</v>
      </c>
      <c r="P106" t="s">
        <v>53</v>
      </c>
      <c r="T106" t="s">
        <v>624</v>
      </c>
      <c r="U106">
        <v>15276</v>
      </c>
      <c r="V106">
        <v>12188</v>
      </c>
      <c r="W106">
        <v>1.2534000000000001</v>
      </c>
      <c r="X106" t="s">
        <v>70</v>
      </c>
      <c r="Y106" t="s">
        <v>243</v>
      </c>
      <c r="Z106">
        <v>241.57</v>
      </c>
      <c r="AA106">
        <v>19508.060000000001</v>
      </c>
      <c r="AB106">
        <v>4712541</v>
      </c>
      <c r="AC106" t="b">
        <v>1</v>
      </c>
      <c r="AD106" t="b">
        <v>1</v>
      </c>
      <c r="AE106" t="b">
        <v>0</v>
      </c>
      <c r="AF106" t="b">
        <v>0</v>
      </c>
      <c r="AG106" t="s">
        <v>58</v>
      </c>
      <c r="AH106">
        <v>14</v>
      </c>
      <c r="AI106" t="s">
        <v>59</v>
      </c>
      <c r="AJ106" t="s">
        <v>71</v>
      </c>
      <c r="AL106" t="s">
        <v>244</v>
      </c>
      <c r="AM106" t="s">
        <v>245</v>
      </c>
      <c r="AN106" t="s">
        <v>63</v>
      </c>
      <c r="AO106" t="s">
        <v>246</v>
      </c>
      <c r="AP106" t="s">
        <v>621</v>
      </c>
    </row>
    <row r="107" spans="1:42" x14ac:dyDescent="0.45">
      <c r="A107" t="s">
        <v>625</v>
      </c>
      <c r="B107" t="s">
        <v>626</v>
      </c>
      <c r="C107" t="s">
        <v>627</v>
      </c>
      <c r="D107">
        <v>2025</v>
      </c>
      <c r="E107" t="s">
        <v>45</v>
      </c>
      <c r="F107" t="s">
        <v>46</v>
      </c>
      <c r="G107">
        <v>5</v>
      </c>
      <c r="J107" t="s">
        <v>628</v>
      </c>
      <c r="K107" t="s">
        <v>629</v>
      </c>
      <c r="L107" t="s">
        <v>630</v>
      </c>
      <c r="M107" t="s">
        <v>631</v>
      </c>
      <c r="N107" t="s">
        <v>51</v>
      </c>
      <c r="O107" t="s">
        <v>52</v>
      </c>
      <c r="P107" t="s">
        <v>53</v>
      </c>
      <c r="Q107" t="s">
        <v>632</v>
      </c>
      <c r="S107">
        <v>9</v>
      </c>
      <c r="T107" t="s">
        <v>633</v>
      </c>
      <c r="U107">
        <v>10668</v>
      </c>
      <c r="V107">
        <v>14474</v>
      </c>
      <c r="W107">
        <v>0.73699999999999999</v>
      </c>
      <c r="X107" t="s">
        <v>70</v>
      </c>
      <c r="Y107" t="s">
        <v>634</v>
      </c>
      <c r="Z107">
        <v>409.73</v>
      </c>
      <c r="AA107">
        <v>18109.939999999999</v>
      </c>
      <c r="AB107">
        <v>7420143</v>
      </c>
      <c r="AC107" t="b">
        <v>1</v>
      </c>
      <c r="AD107" t="b">
        <v>1</v>
      </c>
      <c r="AE107" t="b">
        <v>0</v>
      </c>
      <c r="AF107" t="b">
        <v>0</v>
      </c>
      <c r="AG107" t="s">
        <v>58</v>
      </c>
      <c r="AH107">
        <v>20</v>
      </c>
      <c r="AI107" t="s">
        <v>59</v>
      </c>
      <c r="AJ107" t="s">
        <v>71</v>
      </c>
      <c r="AL107" t="s">
        <v>72</v>
      </c>
      <c r="AM107" t="s">
        <v>62</v>
      </c>
      <c r="AN107" t="s">
        <v>63</v>
      </c>
      <c r="AO107" t="s">
        <v>635</v>
      </c>
      <c r="AP107" t="s">
        <v>629</v>
      </c>
    </row>
    <row r="108" spans="1:42" x14ac:dyDescent="0.45">
      <c r="A108" t="s">
        <v>625</v>
      </c>
      <c r="B108" t="s">
        <v>626</v>
      </c>
      <c r="C108" t="s">
        <v>627</v>
      </c>
      <c r="D108">
        <v>2025</v>
      </c>
      <c r="E108" t="s">
        <v>45</v>
      </c>
      <c r="F108" t="s">
        <v>46</v>
      </c>
      <c r="J108" t="s">
        <v>636</v>
      </c>
      <c r="K108" t="s">
        <v>637</v>
      </c>
      <c r="L108" t="s">
        <v>638</v>
      </c>
      <c r="M108" t="s">
        <v>639</v>
      </c>
      <c r="N108" t="s">
        <v>51</v>
      </c>
      <c r="O108" t="s">
        <v>52</v>
      </c>
      <c r="P108" t="s">
        <v>53</v>
      </c>
      <c r="Q108" t="s">
        <v>632</v>
      </c>
      <c r="S108">
        <v>22</v>
      </c>
      <c r="T108" t="s">
        <v>640</v>
      </c>
      <c r="U108">
        <v>969</v>
      </c>
      <c r="V108">
        <v>14474</v>
      </c>
      <c r="W108">
        <v>6.6900000000000001E-2</v>
      </c>
      <c r="X108" t="s">
        <v>56</v>
      </c>
      <c r="Y108" t="s">
        <v>634</v>
      </c>
      <c r="Z108">
        <v>442.06</v>
      </c>
      <c r="AA108">
        <v>47.26</v>
      </c>
      <c r="AB108">
        <v>20890</v>
      </c>
      <c r="AC108" t="b">
        <v>0</v>
      </c>
      <c r="AD108" t="b">
        <v>0</v>
      </c>
      <c r="AE108" t="b">
        <v>0</v>
      </c>
      <c r="AF108" t="b">
        <v>0</v>
      </c>
      <c r="AG108" t="s">
        <v>58</v>
      </c>
      <c r="AH108">
        <v>10</v>
      </c>
      <c r="AI108" t="s">
        <v>59</v>
      </c>
      <c r="AJ108" t="s">
        <v>60</v>
      </c>
      <c r="AL108" t="s">
        <v>61</v>
      </c>
      <c r="AM108" t="s">
        <v>62</v>
      </c>
      <c r="AN108" t="s">
        <v>63</v>
      </c>
      <c r="AO108" t="s">
        <v>635</v>
      </c>
      <c r="AP108" t="s">
        <v>637</v>
      </c>
    </row>
    <row r="109" spans="1:42" x14ac:dyDescent="0.45">
      <c r="A109" t="s">
        <v>625</v>
      </c>
      <c r="B109" t="s">
        <v>626</v>
      </c>
      <c r="C109" t="s">
        <v>627</v>
      </c>
      <c r="D109">
        <v>2025</v>
      </c>
      <c r="E109" t="s">
        <v>45</v>
      </c>
      <c r="F109" t="s">
        <v>46</v>
      </c>
      <c r="J109" t="s">
        <v>641</v>
      </c>
      <c r="K109" t="s">
        <v>642</v>
      </c>
      <c r="L109" t="s">
        <v>643</v>
      </c>
      <c r="M109" t="s">
        <v>644</v>
      </c>
      <c r="N109" t="s">
        <v>51</v>
      </c>
      <c r="O109" t="s">
        <v>52</v>
      </c>
      <c r="P109" t="s">
        <v>53</v>
      </c>
      <c r="Q109" t="s">
        <v>632</v>
      </c>
      <c r="S109">
        <v>20</v>
      </c>
      <c r="T109" t="s">
        <v>645</v>
      </c>
      <c r="U109">
        <v>122</v>
      </c>
      <c r="V109">
        <v>14474</v>
      </c>
      <c r="W109">
        <v>8.3999999999999995E-3</v>
      </c>
      <c r="X109" t="s">
        <v>56</v>
      </c>
      <c r="Y109" t="s">
        <v>634</v>
      </c>
      <c r="Z109">
        <v>463.98</v>
      </c>
      <c r="AA109">
        <v>64.69</v>
      </c>
      <c r="AB109">
        <v>30015</v>
      </c>
      <c r="AC109" t="b">
        <v>0</v>
      </c>
      <c r="AD109" t="b">
        <v>0</v>
      </c>
      <c r="AE109" t="b">
        <v>0</v>
      </c>
      <c r="AF109" t="b">
        <v>0</v>
      </c>
      <c r="AG109" t="s">
        <v>58</v>
      </c>
      <c r="AH109">
        <v>-15</v>
      </c>
      <c r="AI109" t="s">
        <v>59</v>
      </c>
      <c r="AJ109" t="s">
        <v>60</v>
      </c>
      <c r="AK109" t="s">
        <v>128</v>
      </c>
      <c r="AL109" t="s">
        <v>129</v>
      </c>
      <c r="AM109" t="s">
        <v>62</v>
      </c>
      <c r="AN109" t="s">
        <v>63</v>
      </c>
      <c r="AO109" t="s">
        <v>635</v>
      </c>
      <c r="AP109" t="s">
        <v>642</v>
      </c>
    </row>
    <row r="110" spans="1:42" x14ac:dyDescent="0.45">
      <c r="A110" t="s">
        <v>625</v>
      </c>
      <c r="B110" t="s">
        <v>626</v>
      </c>
      <c r="C110" t="s">
        <v>627</v>
      </c>
      <c r="D110">
        <v>2025</v>
      </c>
      <c r="E110" t="s">
        <v>45</v>
      </c>
      <c r="F110" t="s">
        <v>46</v>
      </c>
      <c r="G110">
        <v>6</v>
      </c>
      <c r="J110" t="s">
        <v>646</v>
      </c>
      <c r="K110" t="s">
        <v>647</v>
      </c>
      <c r="L110" t="s">
        <v>648</v>
      </c>
      <c r="M110" t="s">
        <v>649</v>
      </c>
      <c r="N110" t="s">
        <v>51</v>
      </c>
      <c r="O110" t="s">
        <v>52</v>
      </c>
      <c r="P110" t="s">
        <v>53</v>
      </c>
      <c r="Q110" t="s">
        <v>632</v>
      </c>
      <c r="S110">
        <v>8</v>
      </c>
      <c r="T110" t="s">
        <v>650</v>
      </c>
      <c r="U110">
        <v>16829</v>
      </c>
      <c r="V110">
        <v>14474</v>
      </c>
      <c r="W110">
        <v>1.1627000000000001</v>
      </c>
      <c r="X110" t="s">
        <v>70</v>
      </c>
      <c r="Y110" t="s">
        <v>634</v>
      </c>
      <c r="Z110">
        <v>402.73</v>
      </c>
      <c r="AA110">
        <v>23538.65</v>
      </c>
      <c r="AB110">
        <v>9479666</v>
      </c>
      <c r="AC110" t="b">
        <v>1</v>
      </c>
      <c r="AD110" t="b">
        <v>1</v>
      </c>
      <c r="AE110" t="b">
        <v>0</v>
      </c>
      <c r="AF110" t="b">
        <v>0</v>
      </c>
      <c r="AG110" t="s">
        <v>58</v>
      </c>
      <c r="AH110">
        <v>20</v>
      </c>
      <c r="AI110" t="s">
        <v>59</v>
      </c>
      <c r="AJ110" t="s">
        <v>71</v>
      </c>
      <c r="AL110" t="s">
        <v>72</v>
      </c>
      <c r="AM110" t="s">
        <v>62</v>
      </c>
      <c r="AN110" t="s">
        <v>63</v>
      </c>
      <c r="AO110" t="s">
        <v>635</v>
      </c>
      <c r="AP110" t="s">
        <v>647</v>
      </c>
    </row>
    <row r="111" spans="1:42" x14ac:dyDescent="0.45">
      <c r="A111" t="s">
        <v>625</v>
      </c>
      <c r="B111" t="s">
        <v>626</v>
      </c>
      <c r="C111" t="s">
        <v>627</v>
      </c>
      <c r="D111">
        <v>2025</v>
      </c>
      <c r="E111" t="s">
        <v>45</v>
      </c>
      <c r="F111" t="s">
        <v>46</v>
      </c>
      <c r="G111">
        <v>1</v>
      </c>
      <c r="J111" t="s">
        <v>651</v>
      </c>
      <c r="K111" t="s">
        <v>652</v>
      </c>
      <c r="L111" t="s">
        <v>653</v>
      </c>
      <c r="M111" t="s">
        <v>654</v>
      </c>
      <c r="N111" t="s">
        <v>51</v>
      </c>
      <c r="O111" t="s">
        <v>52</v>
      </c>
      <c r="P111" t="s">
        <v>53</v>
      </c>
      <c r="Q111" t="s">
        <v>632</v>
      </c>
      <c r="S111">
        <v>13</v>
      </c>
      <c r="T111" t="s">
        <v>655</v>
      </c>
      <c r="U111">
        <v>15925</v>
      </c>
      <c r="V111">
        <v>14474</v>
      </c>
      <c r="W111">
        <v>1.1002000000000001</v>
      </c>
      <c r="X111" t="s">
        <v>70</v>
      </c>
      <c r="Y111" t="s">
        <v>634</v>
      </c>
      <c r="Z111">
        <v>437.75</v>
      </c>
      <c r="AA111">
        <v>31052.799999999999</v>
      </c>
      <c r="AB111">
        <v>13593319</v>
      </c>
      <c r="AC111" t="b">
        <v>1</v>
      </c>
      <c r="AD111" t="b">
        <v>1</v>
      </c>
      <c r="AE111" t="b">
        <v>0</v>
      </c>
      <c r="AF111" t="b">
        <v>0</v>
      </c>
      <c r="AG111" t="s">
        <v>58</v>
      </c>
      <c r="AH111">
        <v>20</v>
      </c>
      <c r="AI111" t="s">
        <v>59</v>
      </c>
      <c r="AJ111" t="s">
        <v>71</v>
      </c>
      <c r="AL111" t="s">
        <v>72</v>
      </c>
      <c r="AM111" t="s">
        <v>62</v>
      </c>
      <c r="AN111" t="s">
        <v>63</v>
      </c>
      <c r="AO111" t="s">
        <v>635</v>
      </c>
      <c r="AP111" t="s">
        <v>652</v>
      </c>
    </row>
    <row r="112" spans="1:42" x14ac:dyDescent="0.45">
      <c r="A112" t="s">
        <v>625</v>
      </c>
      <c r="B112" t="s">
        <v>626</v>
      </c>
      <c r="C112" t="s">
        <v>627</v>
      </c>
      <c r="D112">
        <v>2025</v>
      </c>
      <c r="E112" t="s">
        <v>45</v>
      </c>
      <c r="F112" t="s">
        <v>46</v>
      </c>
      <c r="J112" t="s">
        <v>656</v>
      </c>
      <c r="K112" t="s">
        <v>657</v>
      </c>
      <c r="L112" t="s">
        <v>658</v>
      </c>
      <c r="M112" t="s">
        <v>659</v>
      </c>
      <c r="N112" t="s">
        <v>51</v>
      </c>
      <c r="O112" t="s">
        <v>52</v>
      </c>
      <c r="P112" t="s">
        <v>53</v>
      </c>
      <c r="Q112" t="s">
        <v>632</v>
      </c>
      <c r="S112">
        <v>15</v>
      </c>
      <c r="T112" t="s">
        <v>660</v>
      </c>
      <c r="U112">
        <v>809</v>
      </c>
      <c r="V112">
        <v>14474</v>
      </c>
      <c r="W112">
        <v>5.5899999999999998E-2</v>
      </c>
      <c r="X112" t="s">
        <v>56</v>
      </c>
      <c r="Y112" t="s">
        <v>634</v>
      </c>
      <c r="Z112">
        <v>441.72</v>
      </c>
      <c r="AA112">
        <v>900.27</v>
      </c>
      <c r="AB112">
        <v>397668</v>
      </c>
      <c r="AC112" t="b">
        <v>0</v>
      </c>
      <c r="AD112" t="b">
        <v>0</v>
      </c>
      <c r="AE112" t="b">
        <v>0</v>
      </c>
      <c r="AF112" t="b">
        <v>0</v>
      </c>
      <c r="AG112" t="s">
        <v>58</v>
      </c>
      <c r="AH112">
        <v>14</v>
      </c>
      <c r="AI112" t="s">
        <v>169</v>
      </c>
      <c r="AJ112" t="s">
        <v>60</v>
      </c>
      <c r="AL112" t="s">
        <v>170</v>
      </c>
      <c r="AM112" t="s">
        <v>62</v>
      </c>
      <c r="AN112" t="s">
        <v>63</v>
      </c>
      <c r="AO112" t="s">
        <v>635</v>
      </c>
      <c r="AP112" t="s">
        <v>657</v>
      </c>
    </row>
    <row r="113" spans="1:42" x14ac:dyDescent="0.45">
      <c r="A113" t="s">
        <v>625</v>
      </c>
      <c r="B113" t="s">
        <v>626</v>
      </c>
      <c r="C113" t="s">
        <v>627</v>
      </c>
      <c r="D113">
        <v>2025</v>
      </c>
      <c r="E113" t="s">
        <v>45</v>
      </c>
      <c r="F113" t="s">
        <v>46</v>
      </c>
      <c r="J113" t="s">
        <v>661</v>
      </c>
      <c r="K113" t="s">
        <v>662</v>
      </c>
      <c r="L113" t="s">
        <v>663</v>
      </c>
      <c r="M113" t="s">
        <v>664</v>
      </c>
      <c r="N113" t="s">
        <v>51</v>
      </c>
      <c r="O113" t="s">
        <v>52</v>
      </c>
      <c r="P113" t="s">
        <v>53</v>
      </c>
      <c r="Q113" t="s">
        <v>632</v>
      </c>
      <c r="S113">
        <v>24</v>
      </c>
      <c r="T113" t="s">
        <v>665</v>
      </c>
      <c r="U113">
        <v>108</v>
      </c>
      <c r="V113">
        <v>14474</v>
      </c>
      <c r="W113">
        <v>7.4999999999999997E-3</v>
      </c>
      <c r="X113" t="s">
        <v>56</v>
      </c>
      <c r="Y113" t="s">
        <v>634</v>
      </c>
      <c r="Z113">
        <v>463.06</v>
      </c>
      <c r="AA113">
        <v>57.87</v>
      </c>
      <c r="AB113">
        <v>26799</v>
      </c>
      <c r="AC113" t="b">
        <v>0</v>
      </c>
      <c r="AD113" t="b">
        <v>0</v>
      </c>
      <c r="AE113" t="b">
        <v>0</v>
      </c>
      <c r="AF113" t="b">
        <v>0</v>
      </c>
      <c r="AG113" t="s">
        <v>58</v>
      </c>
      <c r="AH113">
        <v>-15</v>
      </c>
      <c r="AI113" t="s">
        <v>59</v>
      </c>
      <c r="AJ113" t="s">
        <v>60</v>
      </c>
      <c r="AK113" t="s">
        <v>128</v>
      </c>
      <c r="AL113" t="s">
        <v>129</v>
      </c>
      <c r="AM113" t="s">
        <v>62</v>
      </c>
      <c r="AN113" t="s">
        <v>63</v>
      </c>
      <c r="AO113" t="s">
        <v>635</v>
      </c>
      <c r="AP113" t="s">
        <v>662</v>
      </c>
    </row>
    <row r="114" spans="1:42" x14ac:dyDescent="0.45">
      <c r="A114" t="s">
        <v>625</v>
      </c>
      <c r="B114" t="s">
        <v>626</v>
      </c>
      <c r="C114" t="s">
        <v>627</v>
      </c>
      <c r="D114">
        <v>2025</v>
      </c>
      <c r="E114" t="s">
        <v>45</v>
      </c>
      <c r="F114" t="s">
        <v>46</v>
      </c>
      <c r="G114">
        <v>2</v>
      </c>
      <c r="J114" t="s">
        <v>666</v>
      </c>
      <c r="K114" t="s">
        <v>667</v>
      </c>
      <c r="L114" t="s">
        <v>668</v>
      </c>
      <c r="M114" t="s">
        <v>669</v>
      </c>
      <c r="N114" t="s">
        <v>51</v>
      </c>
      <c r="O114" t="s">
        <v>52</v>
      </c>
      <c r="P114" t="s">
        <v>53</v>
      </c>
      <c r="Q114" t="s">
        <v>632</v>
      </c>
      <c r="S114">
        <v>12</v>
      </c>
      <c r="T114" t="s">
        <v>670</v>
      </c>
      <c r="U114">
        <v>11376</v>
      </c>
      <c r="V114">
        <v>14474</v>
      </c>
      <c r="W114">
        <v>0.78600000000000003</v>
      </c>
      <c r="X114" t="s">
        <v>70</v>
      </c>
      <c r="Y114" t="s">
        <v>634</v>
      </c>
      <c r="Z114">
        <v>430.73</v>
      </c>
      <c r="AA114">
        <v>21425.360000000001</v>
      </c>
      <c r="AB114">
        <v>9228499</v>
      </c>
      <c r="AC114" t="b">
        <v>1</v>
      </c>
      <c r="AD114" t="b">
        <v>1</v>
      </c>
      <c r="AE114" t="b">
        <v>0</v>
      </c>
      <c r="AF114" t="b">
        <v>0</v>
      </c>
      <c r="AG114" t="s">
        <v>58</v>
      </c>
      <c r="AH114">
        <v>20</v>
      </c>
      <c r="AI114" t="s">
        <v>59</v>
      </c>
      <c r="AJ114" t="s">
        <v>71</v>
      </c>
      <c r="AL114" t="s">
        <v>72</v>
      </c>
      <c r="AM114" t="s">
        <v>62</v>
      </c>
      <c r="AN114" t="s">
        <v>63</v>
      </c>
      <c r="AO114" t="s">
        <v>635</v>
      </c>
      <c r="AP114" t="s">
        <v>667</v>
      </c>
    </row>
    <row r="115" spans="1:42" x14ac:dyDescent="0.45">
      <c r="A115" t="s">
        <v>625</v>
      </c>
      <c r="B115" t="s">
        <v>626</v>
      </c>
      <c r="C115" t="s">
        <v>627</v>
      </c>
      <c r="D115">
        <v>2025</v>
      </c>
      <c r="E115" t="s">
        <v>45</v>
      </c>
      <c r="F115" t="s">
        <v>46</v>
      </c>
      <c r="J115" t="s">
        <v>671</v>
      </c>
      <c r="K115" t="s">
        <v>672</v>
      </c>
      <c r="L115" t="s">
        <v>673</v>
      </c>
      <c r="M115" t="s">
        <v>674</v>
      </c>
      <c r="N115" t="s">
        <v>51</v>
      </c>
      <c r="O115" t="s">
        <v>52</v>
      </c>
      <c r="P115" t="s">
        <v>53</v>
      </c>
      <c r="Q115" t="s">
        <v>632</v>
      </c>
      <c r="S115">
        <v>25</v>
      </c>
      <c r="T115" t="s">
        <v>675</v>
      </c>
      <c r="U115">
        <v>267</v>
      </c>
      <c r="V115">
        <v>14474</v>
      </c>
      <c r="W115">
        <v>1.84E-2</v>
      </c>
      <c r="X115" t="s">
        <v>56</v>
      </c>
      <c r="Y115" t="s">
        <v>634</v>
      </c>
      <c r="Z115">
        <v>446.81</v>
      </c>
      <c r="AA115">
        <v>82.95</v>
      </c>
      <c r="AB115">
        <v>37063</v>
      </c>
      <c r="AC115" t="b">
        <v>0</v>
      </c>
      <c r="AD115" t="b">
        <v>0</v>
      </c>
      <c r="AE115" t="b">
        <v>0</v>
      </c>
      <c r="AF115" t="b">
        <v>0</v>
      </c>
      <c r="AG115" t="s">
        <v>58</v>
      </c>
      <c r="AH115">
        <v>14</v>
      </c>
      <c r="AI115" t="s">
        <v>169</v>
      </c>
      <c r="AJ115" t="s">
        <v>60</v>
      </c>
      <c r="AL115" t="s">
        <v>170</v>
      </c>
      <c r="AM115" t="s">
        <v>62</v>
      </c>
      <c r="AN115" t="s">
        <v>63</v>
      </c>
      <c r="AO115" t="s">
        <v>635</v>
      </c>
      <c r="AP115" t="s">
        <v>672</v>
      </c>
    </row>
    <row r="116" spans="1:42" x14ac:dyDescent="0.45">
      <c r="A116" t="s">
        <v>625</v>
      </c>
      <c r="B116" t="s">
        <v>626</v>
      </c>
      <c r="C116" t="s">
        <v>627</v>
      </c>
      <c r="D116">
        <v>2025</v>
      </c>
      <c r="E116" t="s">
        <v>45</v>
      </c>
      <c r="F116" t="s">
        <v>46</v>
      </c>
      <c r="J116" t="s">
        <v>676</v>
      </c>
      <c r="K116" t="s">
        <v>677</v>
      </c>
      <c r="L116" t="s">
        <v>678</v>
      </c>
      <c r="M116" t="s">
        <v>679</v>
      </c>
      <c r="N116" t="s">
        <v>51</v>
      </c>
      <c r="O116" t="s">
        <v>52</v>
      </c>
      <c r="P116" t="s">
        <v>53</v>
      </c>
      <c r="Q116" t="s">
        <v>632</v>
      </c>
      <c r="S116">
        <v>16</v>
      </c>
      <c r="T116" t="s">
        <v>680</v>
      </c>
      <c r="U116">
        <v>22</v>
      </c>
      <c r="V116">
        <v>14474</v>
      </c>
      <c r="W116">
        <v>1.5E-3</v>
      </c>
      <c r="X116" t="s">
        <v>56</v>
      </c>
      <c r="Y116" t="s">
        <v>634</v>
      </c>
      <c r="Z116">
        <v>453.92</v>
      </c>
      <c r="AA116">
        <v>450.2</v>
      </c>
      <c r="AB116">
        <v>204351</v>
      </c>
      <c r="AC116" t="b">
        <v>0</v>
      </c>
      <c r="AD116" t="b">
        <v>0</v>
      </c>
      <c r="AE116" t="b">
        <v>0</v>
      </c>
      <c r="AF116" t="b">
        <v>0</v>
      </c>
      <c r="AG116" t="s">
        <v>58</v>
      </c>
      <c r="AH116">
        <v>-15</v>
      </c>
      <c r="AI116" t="s">
        <v>59</v>
      </c>
      <c r="AJ116" t="s">
        <v>60</v>
      </c>
      <c r="AK116" t="s">
        <v>128</v>
      </c>
      <c r="AL116" t="s">
        <v>129</v>
      </c>
      <c r="AM116" t="s">
        <v>62</v>
      </c>
      <c r="AN116" t="s">
        <v>63</v>
      </c>
      <c r="AO116" t="s">
        <v>635</v>
      </c>
      <c r="AP116" t="s">
        <v>677</v>
      </c>
    </row>
    <row r="117" spans="1:42" x14ac:dyDescent="0.45">
      <c r="A117" t="s">
        <v>625</v>
      </c>
      <c r="B117" t="s">
        <v>626</v>
      </c>
      <c r="C117" t="s">
        <v>627</v>
      </c>
      <c r="D117">
        <v>2025</v>
      </c>
      <c r="E117" t="s">
        <v>45</v>
      </c>
      <c r="F117" t="s">
        <v>46</v>
      </c>
      <c r="J117" t="s">
        <v>681</v>
      </c>
      <c r="K117" t="s">
        <v>682</v>
      </c>
      <c r="L117" t="s">
        <v>683</v>
      </c>
      <c r="M117" t="s">
        <v>684</v>
      </c>
      <c r="N117" t="s">
        <v>51</v>
      </c>
      <c r="O117" t="s">
        <v>52</v>
      </c>
      <c r="P117" t="s">
        <v>53</v>
      </c>
      <c r="Q117" t="s">
        <v>632</v>
      </c>
      <c r="S117">
        <v>27</v>
      </c>
      <c r="T117" t="s">
        <v>685</v>
      </c>
      <c r="U117">
        <v>177</v>
      </c>
      <c r="V117">
        <v>14474</v>
      </c>
      <c r="W117">
        <v>1.2200000000000001E-2</v>
      </c>
      <c r="X117" t="s">
        <v>56</v>
      </c>
      <c r="Y117" t="s">
        <v>634</v>
      </c>
      <c r="Z117">
        <v>462.98</v>
      </c>
      <c r="AA117">
        <v>48.49</v>
      </c>
      <c r="AB117">
        <v>22448</v>
      </c>
      <c r="AC117" t="b">
        <v>0</v>
      </c>
      <c r="AD117" t="b">
        <v>0</v>
      </c>
      <c r="AE117" t="b">
        <v>0</v>
      </c>
      <c r="AF117" t="b">
        <v>0</v>
      </c>
      <c r="AG117" t="s">
        <v>58</v>
      </c>
      <c r="AH117">
        <v>10</v>
      </c>
      <c r="AI117" t="s">
        <v>59</v>
      </c>
      <c r="AJ117" t="s">
        <v>60</v>
      </c>
      <c r="AL117" t="s">
        <v>61</v>
      </c>
      <c r="AM117" t="s">
        <v>62</v>
      </c>
      <c r="AN117" t="s">
        <v>63</v>
      </c>
      <c r="AO117" t="s">
        <v>635</v>
      </c>
      <c r="AP117" t="s">
        <v>682</v>
      </c>
    </row>
    <row r="118" spans="1:42" x14ac:dyDescent="0.45">
      <c r="A118" t="s">
        <v>625</v>
      </c>
      <c r="B118" t="s">
        <v>626</v>
      </c>
      <c r="C118" t="s">
        <v>627</v>
      </c>
      <c r="D118">
        <v>2025</v>
      </c>
      <c r="E118" t="s">
        <v>45</v>
      </c>
      <c r="F118" t="s">
        <v>46</v>
      </c>
      <c r="J118" t="s">
        <v>686</v>
      </c>
      <c r="K118" t="s">
        <v>687</v>
      </c>
      <c r="L118" t="s">
        <v>688</v>
      </c>
      <c r="M118" t="s">
        <v>689</v>
      </c>
      <c r="N118" t="s">
        <v>51</v>
      </c>
      <c r="O118" t="s">
        <v>52</v>
      </c>
      <c r="P118" t="s">
        <v>53</v>
      </c>
      <c r="Q118" t="s">
        <v>632</v>
      </c>
      <c r="S118">
        <v>18</v>
      </c>
      <c r="T118" t="s">
        <v>690</v>
      </c>
      <c r="U118">
        <v>730</v>
      </c>
      <c r="V118">
        <v>14474</v>
      </c>
      <c r="W118">
        <v>5.04E-2</v>
      </c>
      <c r="X118" t="s">
        <v>56</v>
      </c>
      <c r="Y118" t="s">
        <v>634</v>
      </c>
      <c r="Z118">
        <v>461.69</v>
      </c>
      <c r="AA118">
        <v>71.260000000000005</v>
      </c>
      <c r="AB118">
        <v>32900</v>
      </c>
      <c r="AC118" t="b">
        <v>0</v>
      </c>
      <c r="AD118" t="b">
        <v>0</v>
      </c>
      <c r="AE118" t="b">
        <v>0</v>
      </c>
      <c r="AF118" t="b">
        <v>0</v>
      </c>
      <c r="AG118" t="s">
        <v>58</v>
      </c>
      <c r="AH118">
        <v>14</v>
      </c>
      <c r="AI118" t="s">
        <v>169</v>
      </c>
      <c r="AJ118" t="s">
        <v>60</v>
      </c>
      <c r="AL118" t="s">
        <v>170</v>
      </c>
      <c r="AM118" t="s">
        <v>62</v>
      </c>
      <c r="AN118" t="s">
        <v>63</v>
      </c>
      <c r="AO118" t="s">
        <v>635</v>
      </c>
      <c r="AP118" t="s">
        <v>687</v>
      </c>
    </row>
    <row r="119" spans="1:42" x14ac:dyDescent="0.45">
      <c r="A119" t="s">
        <v>625</v>
      </c>
      <c r="B119" t="s">
        <v>626</v>
      </c>
      <c r="C119" t="s">
        <v>627</v>
      </c>
      <c r="D119">
        <v>2025</v>
      </c>
      <c r="E119" t="s">
        <v>45</v>
      </c>
      <c r="F119" t="s">
        <v>46</v>
      </c>
      <c r="J119" t="s">
        <v>691</v>
      </c>
      <c r="K119" t="s">
        <v>692</v>
      </c>
      <c r="L119" t="s">
        <v>693</v>
      </c>
      <c r="M119" t="s">
        <v>694</v>
      </c>
      <c r="N119" t="s">
        <v>51</v>
      </c>
      <c r="O119" t="s">
        <v>52</v>
      </c>
      <c r="P119" t="s">
        <v>53</v>
      </c>
      <c r="Q119" t="s">
        <v>632</v>
      </c>
      <c r="S119">
        <v>26</v>
      </c>
      <c r="T119" t="s">
        <v>695</v>
      </c>
      <c r="U119">
        <v>654</v>
      </c>
      <c r="V119">
        <v>14474</v>
      </c>
      <c r="W119">
        <v>4.5199999999999997E-2</v>
      </c>
      <c r="X119" t="s">
        <v>56</v>
      </c>
      <c r="Y119" t="s">
        <v>634</v>
      </c>
      <c r="Z119">
        <v>460.77</v>
      </c>
      <c r="AA119">
        <v>28.47</v>
      </c>
      <c r="AB119">
        <v>13119</v>
      </c>
      <c r="AC119" t="b">
        <v>0</v>
      </c>
      <c r="AD119" t="b">
        <v>0</v>
      </c>
      <c r="AE119" t="b">
        <v>0</v>
      </c>
      <c r="AF119" t="b">
        <v>0</v>
      </c>
      <c r="AG119" t="s">
        <v>58</v>
      </c>
      <c r="AH119">
        <v>14</v>
      </c>
      <c r="AI119" t="s">
        <v>169</v>
      </c>
      <c r="AJ119" t="s">
        <v>60</v>
      </c>
      <c r="AL119" t="s">
        <v>170</v>
      </c>
      <c r="AM119" t="s">
        <v>62</v>
      </c>
      <c r="AN119" t="s">
        <v>63</v>
      </c>
      <c r="AO119" t="s">
        <v>635</v>
      </c>
      <c r="AP119" t="s">
        <v>692</v>
      </c>
    </row>
    <row r="120" spans="1:42" x14ac:dyDescent="0.45">
      <c r="A120" t="s">
        <v>625</v>
      </c>
      <c r="B120" t="s">
        <v>626</v>
      </c>
      <c r="C120" t="s">
        <v>627</v>
      </c>
      <c r="D120">
        <v>2025</v>
      </c>
      <c r="E120" t="s">
        <v>45</v>
      </c>
      <c r="F120" t="s">
        <v>46</v>
      </c>
      <c r="G120">
        <v>8</v>
      </c>
      <c r="J120" t="s">
        <v>696</v>
      </c>
      <c r="K120" t="s">
        <v>697</v>
      </c>
      <c r="L120" t="s">
        <v>698</v>
      </c>
      <c r="M120" t="s">
        <v>699</v>
      </c>
      <c r="N120" t="s">
        <v>89</v>
      </c>
      <c r="O120" t="s">
        <v>90</v>
      </c>
      <c r="P120" t="s">
        <v>91</v>
      </c>
      <c r="Q120" t="s">
        <v>632</v>
      </c>
      <c r="S120">
        <v>6</v>
      </c>
      <c r="T120" t="s">
        <v>700</v>
      </c>
      <c r="U120">
        <v>16612</v>
      </c>
      <c r="V120">
        <v>14474</v>
      </c>
      <c r="W120">
        <v>1.1476999999999999</v>
      </c>
      <c r="X120" t="s">
        <v>70</v>
      </c>
      <c r="Y120" t="s">
        <v>634</v>
      </c>
      <c r="Z120">
        <v>388.73</v>
      </c>
      <c r="AA120">
        <v>22065.040000000001</v>
      </c>
      <c r="AB120">
        <v>8577295</v>
      </c>
      <c r="AC120" t="b">
        <v>1</v>
      </c>
      <c r="AD120" t="b">
        <v>1</v>
      </c>
      <c r="AE120" t="b">
        <v>0</v>
      </c>
      <c r="AF120" t="b">
        <v>0</v>
      </c>
      <c r="AG120" t="s">
        <v>58</v>
      </c>
      <c r="AH120">
        <v>20</v>
      </c>
      <c r="AI120" t="s">
        <v>59</v>
      </c>
      <c r="AJ120" t="s">
        <v>71</v>
      </c>
      <c r="AL120" t="s">
        <v>72</v>
      </c>
      <c r="AM120" t="s">
        <v>62</v>
      </c>
      <c r="AN120" t="s">
        <v>63</v>
      </c>
      <c r="AO120" t="s">
        <v>635</v>
      </c>
      <c r="AP120" t="s">
        <v>697</v>
      </c>
    </row>
    <row r="121" spans="1:42" x14ac:dyDescent="0.45">
      <c r="A121" t="s">
        <v>625</v>
      </c>
      <c r="B121" t="s">
        <v>626</v>
      </c>
      <c r="C121" t="s">
        <v>627</v>
      </c>
      <c r="D121">
        <v>2025</v>
      </c>
      <c r="E121" t="s">
        <v>45</v>
      </c>
      <c r="F121" t="s">
        <v>46</v>
      </c>
      <c r="G121">
        <v>12</v>
      </c>
      <c r="J121" t="s">
        <v>701</v>
      </c>
      <c r="K121" t="s">
        <v>702</v>
      </c>
      <c r="L121" t="s">
        <v>703</v>
      </c>
      <c r="M121" t="s">
        <v>704</v>
      </c>
      <c r="N121" t="s">
        <v>51</v>
      </c>
      <c r="O121" t="s">
        <v>52</v>
      </c>
      <c r="P121" t="s">
        <v>53</v>
      </c>
      <c r="Q121" t="s">
        <v>632</v>
      </c>
      <c r="S121">
        <v>2</v>
      </c>
      <c r="T121" t="s">
        <v>705</v>
      </c>
      <c r="U121">
        <v>11601</v>
      </c>
      <c r="V121">
        <v>14474</v>
      </c>
      <c r="W121">
        <v>0.80149999999999999</v>
      </c>
      <c r="X121" t="s">
        <v>70</v>
      </c>
      <c r="Y121" t="s">
        <v>634</v>
      </c>
      <c r="Z121">
        <v>360.73</v>
      </c>
      <c r="AA121">
        <v>16537.72</v>
      </c>
      <c r="AB121">
        <v>5965613</v>
      </c>
      <c r="AC121" t="b">
        <v>1</v>
      </c>
      <c r="AD121" t="b">
        <v>1</v>
      </c>
      <c r="AE121" t="b">
        <v>0</v>
      </c>
      <c r="AF121" t="b">
        <v>0</v>
      </c>
      <c r="AG121" t="s">
        <v>58</v>
      </c>
      <c r="AH121">
        <v>20</v>
      </c>
      <c r="AI121" t="s">
        <v>59</v>
      </c>
      <c r="AJ121" t="s">
        <v>71</v>
      </c>
      <c r="AL121" t="s">
        <v>72</v>
      </c>
      <c r="AM121" t="s">
        <v>62</v>
      </c>
      <c r="AN121" t="s">
        <v>63</v>
      </c>
      <c r="AO121" t="s">
        <v>635</v>
      </c>
      <c r="AP121" t="s">
        <v>702</v>
      </c>
    </row>
    <row r="122" spans="1:42" x14ac:dyDescent="0.45">
      <c r="A122" t="s">
        <v>625</v>
      </c>
      <c r="B122" t="s">
        <v>626</v>
      </c>
      <c r="C122" t="s">
        <v>627</v>
      </c>
      <c r="D122">
        <v>2025</v>
      </c>
      <c r="E122" t="s">
        <v>45</v>
      </c>
      <c r="F122" t="s">
        <v>46</v>
      </c>
      <c r="J122" t="s">
        <v>706</v>
      </c>
      <c r="K122" t="s">
        <v>707</v>
      </c>
      <c r="L122" t="s">
        <v>708</v>
      </c>
      <c r="M122" t="s">
        <v>709</v>
      </c>
      <c r="N122" t="s">
        <v>51</v>
      </c>
      <c r="O122" t="s">
        <v>52</v>
      </c>
      <c r="P122" t="s">
        <v>53</v>
      </c>
      <c r="Q122" t="s">
        <v>632</v>
      </c>
      <c r="S122">
        <v>29</v>
      </c>
      <c r="T122" t="s">
        <v>710</v>
      </c>
      <c r="U122">
        <v>11</v>
      </c>
      <c r="V122">
        <v>14474</v>
      </c>
      <c r="W122">
        <v>8.0000000000000004E-4</v>
      </c>
      <c r="X122" t="s">
        <v>56</v>
      </c>
      <c r="Y122" t="s">
        <v>634</v>
      </c>
      <c r="Z122">
        <v>454.79</v>
      </c>
      <c r="AA122">
        <v>72.8</v>
      </c>
      <c r="AB122">
        <v>33107</v>
      </c>
      <c r="AC122" t="b">
        <v>0</v>
      </c>
      <c r="AD122" t="b">
        <v>0</v>
      </c>
      <c r="AE122" t="b">
        <v>0</v>
      </c>
      <c r="AF122" t="b">
        <v>0</v>
      </c>
      <c r="AG122" t="s">
        <v>58</v>
      </c>
      <c r="AH122">
        <v>10</v>
      </c>
      <c r="AI122" t="s">
        <v>59</v>
      </c>
      <c r="AJ122" t="s">
        <v>60</v>
      </c>
      <c r="AL122" t="s">
        <v>61</v>
      </c>
      <c r="AM122" t="s">
        <v>62</v>
      </c>
      <c r="AN122" t="s">
        <v>63</v>
      </c>
      <c r="AO122" t="s">
        <v>635</v>
      </c>
      <c r="AP122" t="s">
        <v>707</v>
      </c>
    </row>
    <row r="123" spans="1:42" x14ac:dyDescent="0.45">
      <c r="A123" t="s">
        <v>625</v>
      </c>
      <c r="B123" t="s">
        <v>626</v>
      </c>
      <c r="C123" t="s">
        <v>627</v>
      </c>
      <c r="D123">
        <v>2025</v>
      </c>
      <c r="E123" t="s">
        <v>45</v>
      </c>
      <c r="F123" t="s">
        <v>46</v>
      </c>
      <c r="G123">
        <v>7</v>
      </c>
      <c r="J123" t="e">
        <v>#NAME?</v>
      </c>
      <c r="K123" t="s">
        <v>711</v>
      </c>
      <c r="L123" t="s">
        <v>712</v>
      </c>
      <c r="M123" t="s">
        <v>713</v>
      </c>
      <c r="N123" t="s">
        <v>89</v>
      </c>
      <c r="O123" t="s">
        <v>90</v>
      </c>
      <c r="P123" t="s">
        <v>91</v>
      </c>
      <c r="Q123" t="s">
        <v>632</v>
      </c>
      <c r="S123">
        <v>7</v>
      </c>
      <c r="T123" t="s">
        <v>714</v>
      </c>
      <c r="U123">
        <v>9028</v>
      </c>
      <c r="V123">
        <v>14474</v>
      </c>
      <c r="W123">
        <v>0.62370000000000003</v>
      </c>
      <c r="X123" t="s">
        <v>70</v>
      </c>
      <c r="Y123" t="s">
        <v>634</v>
      </c>
      <c r="Z123">
        <v>395.73</v>
      </c>
      <c r="AA123">
        <v>16306.21</v>
      </c>
      <c r="AB123">
        <v>6452819</v>
      </c>
      <c r="AC123" t="b">
        <v>1</v>
      </c>
      <c r="AD123" t="b">
        <v>1</v>
      </c>
      <c r="AE123" t="b">
        <v>0</v>
      </c>
      <c r="AF123" t="b">
        <v>0</v>
      </c>
      <c r="AG123" t="s">
        <v>58</v>
      </c>
      <c r="AH123">
        <v>20</v>
      </c>
      <c r="AI123" t="s">
        <v>59</v>
      </c>
      <c r="AJ123" t="s">
        <v>71</v>
      </c>
      <c r="AL123" t="s">
        <v>72</v>
      </c>
      <c r="AM123" t="s">
        <v>62</v>
      </c>
      <c r="AN123" t="s">
        <v>63</v>
      </c>
      <c r="AO123" t="s">
        <v>635</v>
      </c>
      <c r="AP123" t="s">
        <v>711</v>
      </c>
    </row>
    <row r="124" spans="1:42" x14ac:dyDescent="0.45">
      <c r="A124" t="s">
        <v>625</v>
      </c>
      <c r="B124" t="s">
        <v>626</v>
      </c>
      <c r="C124" t="s">
        <v>627</v>
      </c>
      <c r="D124">
        <v>2025</v>
      </c>
      <c r="E124" t="s">
        <v>45</v>
      </c>
      <c r="F124" t="s">
        <v>46</v>
      </c>
      <c r="G124">
        <v>9</v>
      </c>
      <c r="J124" t="s">
        <v>715</v>
      </c>
      <c r="K124" t="s">
        <v>716</v>
      </c>
      <c r="L124" t="s">
        <v>717</v>
      </c>
      <c r="M124" t="s">
        <v>718</v>
      </c>
      <c r="N124" t="s">
        <v>51</v>
      </c>
      <c r="O124" t="s">
        <v>52</v>
      </c>
      <c r="P124" t="s">
        <v>53</v>
      </c>
      <c r="Q124" t="s">
        <v>632</v>
      </c>
      <c r="S124">
        <v>5</v>
      </c>
      <c r="T124" t="s">
        <v>719</v>
      </c>
      <c r="U124">
        <v>18184</v>
      </c>
      <c r="V124">
        <v>14474</v>
      </c>
      <c r="W124">
        <v>1.2563</v>
      </c>
      <c r="X124" t="s">
        <v>70</v>
      </c>
      <c r="Y124" t="s">
        <v>634</v>
      </c>
      <c r="Z124">
        <v>381.73</v>
      </c>
      <c r="AA124">
        <v>29948.15</v>
      </c>
      <c r="AB124">
        <v>11432038</v>
      </c>
      <c r="AC124" t="b">
        <v>1</v>
      </c>
      <c r="AD124" t="b">
        <v>1</v>
      </c>
      <c r="AE124" t="b">
        <v>0</v>
      </c>
      <c r="AF124" t="b">
        <v>0</v>
      </c>
      <c r="AG124" t="s">
        <v>58</v>
      </c>
      <c r="AH124">
        <v>20</v>
      </c>
      <c r="AI124" t="s">
        <v>59</v>
      </c>
      <c r="AJ124" t="s">
        <v>71</v>
      </c>
      <c r="AL124" t="s">
        <v>72</v>
      </c>
      <c r="AM124" t="s">
        <v>62</v>
      </c>
      <c r="AN124" t="s">
        <v>63</v>
      </c>
      <c r="AO124" t="s">
        <v>635</v>
      </c>
      <c r="AP124" t="s">
        <v>716</v>
      </c>
    </row>
    <row r="125" spans="1:42" x14ac:dyDescent="0.45">
      <c r="A125" t="s">
        <v>625</v>
      </c>
      <c r="B125" t="s">
        <v>626</v>
      </c>
      <c r="C125" t="s">
        <v>627</v>
      </c>
      <c r="D125">
        <v>2025</v>
      </c>
      <c r="E125" t="s">
        <v>45</v>
      </c>
      <c r="F125" t="s">
        <v>46</v>
      </c>
      <c r="G125">
        <v>14</v>
      </c>
      <c r="J125" t="s">
        <v>720</v>
      </c>
      <c r="K125" t="s">
        <v>721</v>
      </c>
      <c r="L125" t="s">
        <v>722</v>
      </c>
      <c r="M125" t="s">
        <v>723</v>
      </c>
      <c r="N125" t="s">
        <v>51</v>
      </c>
      <c r="O125" t="s">
        <v>52</v>
      </c>
      <c r="P125" t="s">
        <v>53</v>
      </c>
      <c r="Q125" t="s">
        <v>632</v>
      </c>
      <c r="S125">
        <v>0</v>
      </c>
      <c r="T125" t="s">
        <v>724</v>
      </c>
      <c r="U125">
        <v>16532</v>
      </c>
      <c r="V125">
        <v>14474</v>
      </c>
      <c r="W125">
        <v>1.1422000000000001</v>
      </c>
      <c r="X125" t="s">
        <v>70</v>
      </c>
      <c r="Y125" t="s">
        <v>634</v>
      </c>
      <c r="Z125">
        <v>353.52</v>
      </c>
      <c r="AA125">
        <v>21417.55</v>
      </c>
      <c r="AB125">
        <v>7571557</v>
      </c>
      <c r="AC125" t="b">
        <v>1</v>
      </c>
      <c r="AD125" t="b">
        <v>1</v>
      </c>
      <c r="AE125" t="b">
        <v>0</v>
      </c>
      <c r="AF125" t="b">
        <v>0</v>
      </c>
      <c r="AG125" t="s">
        <v>58</v>
      </c>
      <c r="AH125">
        <v>20</v>
      </c>
      <c r="AI125" t="s">
        <v>59</v>
      </c>
      <c r="AJ125" t="s">
        <v>71</v>
      </c>
      <c r="AL125" t="s">
        <v>72</v>
      </c>
      <c r="AM125" t="s">
        <v>62</v>
      </c>
      <c r="AN125" t="s">
        <v>63</v>
      </c>
      <c r="AO125" t="s">
        <v>635</v>
      </c>
      <c r="AP125" t="s">
        <v>721</v>
      </c>
    </row>
    <row r="126" spans="1:42" x14ac:dyDescent="0.45">
      <c r="A126" t="s">
        <v>625</v>
      </c>
      <c r="B126" t="s">
        <v>626</v>
      </c>
      <c r="C126" t="s">
        <v>627</v>
      </c>
      <c r="D126">
        <v>2025</v>
      </c>
      <c r="E126" t="s">
        <v>45</v>
      </c>
      <c r="F126" t="s">
        <v>46</v>
      </c>
      <c r="J126" t="s">
        <v>725</v>
      </c>
      <c r="K126" t="s">
        <v>726</v>
      </c>
      <c r="L126" t="s">
        <v>727</v>
      </c>
      <c r="M126" t="s">
        <v>728</v>
      </c>
      <c r="N126" t="s">
        <v>51</v>
      </c>
      <c r="O126" t="s">
        <v>52</v>
      </c>
      <c r="P126" t="s">
        <v>53</v>
      </c>
      <c r="Q126" t="s">
        <v>632</v>
      </c>
      <c r="S126">
        <v>28</v>
      </c>
      <c r="T126" t="s">
        <v>729</v>
      </c>
      <c r="U126">
        <v>123</v>
      </c>
      <c r="V126">
        <v>14474</v>
      </c>
      <c r="W126">
        <v>8.5000000000000006E-3</v>
      </c>
      <c r="X126" t="s">
        <v>56</v>
      </c>
      <c r="Y126" t="s">
        <v>634</v>
      </c>
      <c r="Z126">
        <v>462.06</v>
      </c>
      <c r="AA126">
        <v>41.02</v>
      </c>
      <c r="AB126">
        <v>18956</v>
      </c>
      <c r="AC126" t="b">
        <v>0</v>
      </c>
      <c r="AD126" t="b">
        <v>0</v>
      </c>
      <c r="AE126" t="b">
        <v>0</v>
      </c>
      <c r="AF126" t="b">
        <v>0</v>
      </c>
      <c r="AG126" t="s">
        <v>58</v>
      </c>
      <c r="AH126">
        <v>-15</v>
      </c>
      <c r="AI126" t="s">
        <v>59</v>
      </c>
      <c r="AJ126" t="s">
        <v>60</v>
      </c>
      <c r="AK126" t="s">
        <v>128</v>
      </c>
      <c r="AL126" t="s">
        <v>129</v>
      </c>
      <c r="AM126" t="s">
        <v>62</v>
      </c>
      <c r="AN126" t="s">
        <v>63</v>
      </c>
      <c r="AO126" t="s">
        <v>635</v>
      </c>
      <c r="AP126" t="s">
        <v>726</v>
      </c>
    </row>
    <row r="127" spans="1:42" x14ac:dyDescent="0.45">
      <c r="A127" t="s">
        <v>625</v>
      </c>
      <c r="B127" t="s">
        <v>626</v>
      </c>
      <c r="C127" t="s">
        <v>627</v>
      </c>
      <c r="D127">
        <v>2025</v>
      </c>
      <c r="E127" t="s">
        <v>45</v>
      </c>
      <c r="F127" t="s">
        <v>46</v>
      </c>
      <c r="G127">
        <v>11</v>
      </c>
      <c r="J127" t="s">
        <v>730</v>
      </c>
      <c r="K127" t="s">
        <v>731</v>
      </c>
      <c r="L127" t="s">
        <v>732</v>
      </c>
      <c r="M127" t="s">
        <v>733</v>
      </c>
      <c r="N127" t="s">
        <v>51</v>
      </c>
      <c r="O127" t="s">
        <v>52</v>
      </c>
      <c r="P127" t="s">
        <v>53</v>
      </c>
      <c r="Q127" t="s">
        <v>632</v>
      </c>
      <c r="S127">
        <v>3</v>
      </c>
      <c r="T127" t="s">
        <v>734</v>
      </c>
      <c r="U127">
        <v>21229</v>
      </c>
      <c r="V127">
        <v>14474</v>
      </c>
      <c r="W127">
        <v>1.4666999999999999</v>
      </c>
      <c r="X127" t="s">
        <v>70</v>
      </c>
      <c r="Y127" t="s">
        <v>634</v>
      </c>
      <c r="Z127">
        <v>367.73</v>
      </c>
      <c r="AA127">
        <v>24683.13</v>
      </c>
      <c r="AB127">
        <v>9076673</v>
      </c>
      <c r="AC127" t="b">
        <v>1</v>
      </c>
      <c r="AD127" t="b">
        <v>1</v>
      </c>
      <c r="AE127" t="b">
        <v>0</v>
      </c>
      <c r="AF127" t="b">
        <v>0</v>
      </c>
      <c r="AG127" t="s">
        <v>58</v>
      </c>
      <c r="AH127">
        <v>20</v>
      </c>
      <c r="AI127" t="s">
        <v>59</v>
      </c>
      <c r="AJ127" t="s">
        <v>71</v>
      </c>
      <c r="AL127" t="s">
        <v>72</v>
      </c>
      <c r="AM127" t="s">
        <v>62</v>
      </c>
      <c r="AN127" t="s">
        <v>63</v>
      </c>
      <c r="AO127" t="s">
        <v>635</v>
      </c>
      <c r="AP127" t="s">
        <v>731</v>
      </c>
    </row>
    <row r="128" spans="1:42" x14ac:dyDescent="0.45">
      <c r="A128" t="s">
        <v>625</v>
      </c>
      <c r="B128" t="s">
        <v>626</v>
      </c>
      <c r="C128" t="s">
        <v>627</v>
      </c>
      <c r="D128">
        <v>2025</v>
      </c>
      <c r="E128" t="s">
        <v>45</v>
      </c>
      <c r="F128" t="s">
        <v>46</v>
      </c>
      <c r="G128">
        <v>10</v>
      </c>
      <c r="J128" t="s">
        <v>735</v>
      </c>
      <c r="K128" t="s">
        <v>736</v>
      </c>
      <c r="L128" t="s">
        <v>737</v>
      </c>
      <c r="M128" t="s">
        <v>738</v>
      </c>
      <c r="N128" t="s">
        <v>51</v>
      </c>
      <c r="O128" t="s">
        <v>52</v>
      </c>
      <c r="P128" t="s">
        <v>53</v>
      </c>
      <c r="Q128" t="s">
        <v>632</v>
      </c>
      <c r="S128">
        <v>4</v>
      </c>
      <c r="T128" t="s">
        <v>739</v>
      </c>
      <c r="U128">
        <v>13023</v>
      </c>
      <c r="V128">
        <v>14474</v>
      </c>
      <c r="W128">
        <v>0.89980000000000004</v>
      </c>
      <c r="X128" t="s">
        <v>70</v>
      </c>
      <c r="Y128" t="s">
        <v>634</v>
      </c>
      <c r="Z128">
        <v>374.73</v>
      </c>
      <c r="AA128">
        <v>19029.88</v>
      </c>
      <c r="AB128">
        <v>7131023</v>
      </c>
      <c r="AC128" t="b">
        <v>1</v>
      </c>
      <c r="AD128" t="b">
        <v>1</v>
      </c>
      <c r="AE128" t="b">
        <v>0</v>
      </c>
      <c r="AF128" t="b">
        <v>0</v>
      </c>
      <c r="AG128" t="s">
        <v>58</v>
      </c>
      <c r="AH128">
        <v>20</v>
      </c>
      <c r="AI128" t="s">
        <v>59</v>
      </c>
      <c r="AJ128" t="s">
        <v>71</v>
      </c>
      <c r="AL128" t="s">
        <v>72</v>
      </c>
      <c r="AM128" t="s">
        <v>62</v>
      </c>
      <c r="AN128" t="s">
        <v>63</v>
      </c>
      <c r="AO128" t="s">
        <v>635</v>
      </c>
      <c r="AP128" t="s">
        <v>736</v>
      </c>
    </row>
    <row r="129" spans="1:42" x14ac:dyDescent="0.45">
      <c r="A129" t="s">
        <v>625</v>
      </c>
      <c r="B129" t="s">
        <v>626</v>
      </c>
      <c r="C129" t="s">
        <v>627</v>
      </c>
      <c r="D129">
        <v>2025</v>
      </c>
      <c r="E129" t="s">
        <v>45</v>
      </c>
      <c r="F129" t="s">
        <v>46</v>
      </c>
      <c r="G129">
        <v>3</v>
      </c>
      <c r="J129" t="s">
        <v>740</v>
      </c>
      <c r="K129" t="s">
        <v>741</v>
      </c>
      <c r="L129" t="s">
        <v>742</v>
      </c>
      <c r="M129" t="s">
        <v>743</v>
      </c>
      <c r="N129" t="s">
        <v>51</v>
      </c>
      <c r="O129" t="s">
        <v>52</v>
      </c>
      <c r="P129" t="s">
        <v>53</v>
      </c>
      <c r="Q129" t="s">
        <v>632</v>
      </c>
      <c r="S129">
        <v>11</v>
      </c>
      <c r="T129" t="s">
        <v>744</v>
      </c>
      <c r="U129">
        <v>18462</v>
      </c>
      <c r="V129">
        <v>14474</v>
      </c>
      <c r="W129">
        <v>1.2755000000000001</v>
      </c>
      <c r="X129" t="s">
        <v>70</v>
      </c>
      <c r="Y129" t="s">
        <v>634</v>
      </c>
      <c r="Z129">
        <v>423.73</v>
      </c>
      <c r="AA129">
        <v>29063.45</v>
      </c>
      <c r="AB129">
        <v>12314990</v>
      </c>
      <c r="AC129" t="b">
        <v>1</v>
      </c>
      <c r="AD129" t="b">
        <v>1</v>
      </c>
      <c r="AE129" t="b">
        <v>0</v>
      </c>
      <c r="AF129" t="b">
        <v>0</v>
      </c>
      <c r="AG129" t="s">
        <v>58</v>
      </c>
      <c r="AH129">
        <v>20</v>
      </c>
      <c r="AI129" t="s">
        <v>59</v>
      </c>
      <c r="AJ129" t="s">
        <v>71</v>
      </c>
      <c r="AL129" t="s">
        <v>72</v>
      </c>
      <c r="AM129" t="s">
        <v>62</v>
      </c>
      <c r="AN129" t="s">
        <v>63</v>
      </c>
      <c r="AO129" t="s">
        <v>635</v>
      </c>
      <c r="AP129" t="s">
        <v>741</v>
      </c>
    </row>
    <row r="130" spans="1:42" x14ac:dyDescent="0.45">
      <c r="A130" t="s">
        <v>625</v>
      </c>
      <c r="B130" t="s">
        <v>626</v>
      </c>
      <c r="C130" t="s">
        <v>627</v>
      </c>
      <c r="D130">
        <v>2025</v>
      </c>
      <c r="E130" t="s">
        <v>45</v>
      </c>
      <c r="F130" t="s">
        <v>46</v>
      </c>
      <c r="J130" t="s">
        <v>745</v>
      </c>
      <c r="K130" t="s">
        <v>746</v>
      </c>
      <c r="L130" t="s">
        <v>747</v>
      </c>
      <c r="M130" t="s">
        <v>748</v>
      </c>
      <c r="N130" t="s">
        <v>51</v>
      </c>
      <c r="O130" t="s">
        <v>52</v>
      </c>
      <c r="P130" t="s">
        <v>53</v>
      </c>
      <c r="Q130" t="s">
        <v>632</v>
      </c>
      <c r="S130">
        <v>23</v>
      </c>
      <c r="T130" t="s">
        <v>749</v>
      </c>
      <c r="U130">
        <v>545</v>
      </c>
      <c r="V130">
        <v>14474</v>
      </c>
      <c r="W130">
        <v>3.7699999999999997E-2</v>
      </c>
      <c r="X130" t="s">
        <v>56</v>
      </c>
      <c r="Y130" t="s">
        <v>634</v>
      </c>
      <c r="Z130">
        <v>459.77</v>
      </c>
      <c r="AA130">
        <v>37.950000000000003</v>
      </c>
      <c r="AB130">
        <v>17448</v>
      </c>
      <c r="AC130" t="b">
        <v>0</v>
      </c>
      <c r="AD130" t="b">
        <v>0</v>
      </c>
      <c r="AE130" t="b">
        <v>0</v>
      </c>
      <c r="AF130" t="b">
        <v>0</v>
      </c>
      <c r="AG130" t="s">
        <v>58</v>
      </c>
      <c r="AH130">
        <v>14</v>
      </c>
      <c r="AI130" t="s">
        <v>169</v>
      </c>
      <c r="AJ130" t="s">
        <v>60</v>
      </c>
      <c r="AL130" t="s">
        <v>170</v>
      </c>
      <c r="AM130" t="s">
        <v>62</v>
      </c>
      <c r="AN130" t="s">
        <v>63</v>
      </c>
      <c r="AO130" t="s">
        <v>635</v>
      </c>
      <c r="AP130" t="s">
        <v>746</v>
      </c>
    </row>
    <row r="131" spans="1:42" x14ac:dyDescent="0.45">
      <c r="A131" t="s">
        <v>625</v>
      </c>
      <c r="B131" t="s">
        <v>626</v>
      </c>
      <c r="C131" t="s">
        <v>627</v>
      </c>
      <c r="D131">
        <v>2025</v>
      </c>
      <c r="E131" t="s">
        <v>45</v>
      </c>
      <c r="F131" t="s">
        <v>46</v>
      </c>
      <c r="J131" t="s">
        <v>750</v>
      </c>
      <c r="K131" t="s">
        <v>751</v>
      </c>
      <c r="L131" t="s">
        <v>752</v>
      </c>
      <c r="M131" t="s">
        <v>753</v>
      </c>
      <c r="N131" t="s">
        <v>51</v>
      </c>
      <c r="O131" t="s">
        <v>52</v>
      </c>
      <c r="P131" t="s">
        <v>53</v>
      </c>
      <c r="Q131" t="s">
        <v>632</v>
      </c>
      <c r="S131">
        <v>21</v>
      </c>
      <c r="T131" t="s">
        <v>754</v>
      </c>
      <c r="U131">
        <v>674</v>
      </c>
      <c r="V131">
        <v>14474</v>
      </c>
      <c r="W131">
        <v>4.6600000000000003E-2</v>
      </c>
      <c r="X131" t="s">
        <v>56</v>
      </c>
      <c r="Y131" t="s">
        <v>634</v>
      </c>
      <c r="Z131">
        <v>454.77</v>
      </c>
      <c r="AA131">
        <v>42.16</v>
      </c>
      <c r="AB131">
        <v>19175</v>
      </c>
      <c r="AC131" t="b">
        <v>0</v>
      </c>
      <c r="AD131" t="b">
        <v>0</v>
      </c>
      <c r="AE131" t="b">
        <v>0</v>
      </c>
      <c r="AF131" t="b">
        <v>0</v>
      </c>
      <c r="AG131" t="s">
        <v>58</v>
      </c>
      <c r="AH131">
        <v>14</v>
      </c>
      <c r="AI131" t="s">
        <v>169</v>
      </c>
      <c r="AJ131" t="s">
        <v>60</v>
      </c>
      <c r="AL131" t="s">
        <v>170</v>
      </c>
      <c r="AM131" t="s">
        <v>62</v>
      </c>
      <c r="AN131" t="s">
        <v>63</v>
      </c>
      <c r="AO131" t="s">
        <v>635</v>
      </c>
      <c r="AP131" t="s">
        <v>751</v>
      </c>
    </row>
    <row r="132" spans="1:42" x14ac:dyDescent="0.45">
      <c r="A132" t="s">
        <v>625</v>
      </c>
      <c r="B132" t="s">
        <v>626</v>
      </c>
      <c r="C132" t="s">
        <v>627</v>
      </c>
      <c r="D132">
        <v>2025</v>
      </c>
      <c r="E132" t="s">
        <v>45</v>
      </c>
      <c r="F132" t="s">
        <v>46</v>
      </c>
      <c r="G132">
        <v>13</v>
      </c>
      <c r="J132" t="s">
        <v>755</v>
      </c>
      <c r="K132" t="s">
        <v>756</v>
      </c>
      <c r="L132" t="s">
        <v>757</v>
      </c>
      <c r="M132" t="s">
        <v>758</v>
      </c>
      <c r="N132" t="s">
        <v>51</v>
      </c>
      <c r="O132" t="s">
        <v>52</v>
      </c>
      <c r="P132" t="s">
        <v>53</v>
      </c>
      <c r="Q132" t="s">
        <v>632</v>
      </c>
      <c r="S132">
        <v>1</v>
      </c>
      <c r="T132" t="s">
        <v>759</v>
      </c>
      <c r="U132">
        <v>8886</v>
      </c>
      <c r="V132">
        <v>14474</v>
      </c>
      <c r="W132">
        <v>0.6139</v>
      </c>
      <c r="X132" t="s">
        <v>70</v>
      </c>
      <c r="Y132" t="s">
        <v>634</v>
      </c>
      <c r="Z132">
        <v>359.73</v>
      </c>
      <c r="AA132">
        <v>11983.52</v>
      </c>
      <c r="AB132">
        <v>4310805</v>
      </c>
      <c r="AC132" t="b">
        <v>1</v>
      </c>
      <c r="AD132" t="b">
        <v>1</v>
      </c>
      <c r="AE132" t="b">
        <v>0</v>
      </c>
      <c r="AF132" t="b">
        <v>0</v>
      </c>
      <c r="AG132" t="s">
        <v>58</v>
      </c>
      <c r="AH132">
        <v>20</v>
      </c>
      <c r="AI132" t="s">
        <v>59</v>
      </c>
      <c r="AJ132" t="s">
        <v>71</v>
      </c>
      <c r="AL132" t="s">
        <v>72</v>
      </c>
      <c r="AM132" t="s">
        <v>62</v>
      </c>
      <c r="AN132" t="s">
        <v>63</v>
      </c>
      <c r="AO132" t="s">
        <v>635</v>
      </c>
      <c r="AP132" t="s">
        <v>756</v>
      </c>
    </row>
    <row r="133" spans="1:42" x14ac:dyDescent="0.45">
      <c r="A133" t="s">
        <v>625</v>
      </c>
      <c r="B133" t="s">
        <v>626</v>
      </c>
      <c r="C133" t="s">
        <v>627</v>
      </c>
      <c r="D133">
        <v>2025</v>
      </c>
      <c r="E133" t="s">
        <v>45</v>
      </c>
      <c r="F133" t="s">
        <v>46</v>
      </c>
      <c r="J133" t="s">
        <v>760</v>
      </c>
      <c r="K133" t="s">
        <v>761</v>
      </c>
      <c r="L133" t="s">
        <v>762</v>
      </c>
      <c r="M133" t="s">
        <v>763</v>
      </c>
      <c r="N133" t="s">
        <v>51</v>
      </c>
      <c r="O133" t="s">
        <v>52</v>
      </c>
      <c r="P133" t="s">
        <v>53</v>
      </c>
      <c r="Q133" t="s">
        <v>632</v>
      </c>
      <c r="S133">
        <v>19</v>
      </c>
      <c r="T133" t="s">
        <v>764</v>
      </c>
      <c r="U133">
        <v>783</v>
      </c>
      <c r="V133">
        <v>14474</v>
      </c>
      <c r="W133">
        <v>5.4100000000000002E-2</v>
      </c>
      <c r="X133" t="s">
        <v>56</v>
      </c>
      <c r="Y133" t="s">
        <v>634</v>
      </c>
      <c r="Z133">
        <v>461.73</v>
      </c>
      <c r="AA133">
        <v>58.62</v>
      </c>
      <c r="AB133">
        <v>27066</v>
      </c>
      <c r="AC133" t="b">
        <v>0</v>
      </c>
      <c r="AD133" t="b">
        <v>0</v>
      </c>
      <c r="AE133" t="b">
        <v>0</v>
      </c>
      <c r="AF133" t="b">
        <v>0</v>
      </c>
      <c r="AG133" t="s">
        <v>58</v>
      </c>
      <c r="AH133">
        <v>14</v>
      </c>
      <c r="AI133" t="s">
        <v>169</v>
      </c>
      <c r="AJ133" t="s">
        <v>60</v>
      </c>
      <c r="AL133" t="s">
        <v>170</v>
      </c>
      <c r="AM133" t="s">
        <v>62</v>
      </c>
      <c r="AN133" t="s">
        <v>63</v>
      </c>
      <c r="AO133" t="s">
        <v>635</v>
      </c>
      <c r="AP133" t="s">
        <v>761</v>
      </c>
    </row>
    <row r="134" spans="1:42" x14ac:dyDescent="0.45">
      <c r="A134" t="s">
        <v>625</v>
      </c>
      <c r="B134" t="s">
        <v>626</v>
      </c>
      <c r="C134" t="s">
        <v>627</v>
      </c>
      <c r="D134">
        <v>2025</v>
      </c>
      <c r="E134" t="s">
        <v>45</v>
      </c>
      <c r="F134" t="s">
        <v>46</v>
      </c>
      <c r="G134">
        <v>4</v>
      </c>
      <c r="J134" t="s">
        <v>765</v>
      </c>
      <c r="K134" t="s">
        <v>766</v>
      </c>
      <c r="L134" t="s">
        <v>767</v>
      </c>
      <c r="M134" t="s">
        <v>768</v>
      </c>
      <c r="N134" t="s">
        <v>51</v>
      </c>
      <c r="O134" t="s">
        <v>52</v>
      </c>
      <c r="P134" t="s">
        <v>53</v>
      </c>
      <c r="Q134" t="s">
        <v>632</v>
      </c>
      <c r="S134">
        <v>10</v>
      </c>
      <c r="T134" t="s">
        <v>769</v>
      </c>
      <c r="U134">
        <v>9118</v>
      </c>
      <c r="V134">
        <v>14474</v>
      </c>
      <c r="W134">
        <v>0.63</v>
      </c>
      <c r="X134" t="s">
        <v>70</v>
      </c>
      <c r="Y134" t="s">
        <v>634</v>
      </c>
      <c r="Z134">
        <v>416.73</v>
      </c>
      <c r="AA134">
        <v>19320.900000000001</v>
      </c>
      <c r="AB134">
        <v>8051553</v>
      </c>
      <c r="AC134" t="b">
        <v>1</v>
      </c>
      <c r="AD134" t="b">
        <v>1</v>
      </c>
      <c r="AE134" t="b">
        <v>0</v>
      </c>
      <c r="AF134" t="b">
        <v>0</v>
      </c>
      <c r="AG134" t="s">
        <v>58</v>
      </c>
      <c r="AH134">
        <v>20</v>
      </c>
      <c r="AI134" t="s">
        <v>59</v>
      </c>
      <c r="AJ134" t="s">
        <v>71</v>
      </c>
      <c r="AL134" t="s">
        <v>72</v>
      </c>
      <c r="AM134" t="s">
        <v>62</v>
      </c>
      <c r="AN134" t="s">
        <v>63</v>
      </c>
      <c r="AO134" t="s">
        <v>635</v>
      </c>
      <c r="AP134" t="s">
        <v>766</v>
      </c>
    </row>
    <row r="135" spans="1:42" x14ac:dyDescent="0.45">
      <c r="A135" t="s">
        <v>625</v>
      </c>
      <c r="B135" t="s">
        <v>626</v>
      </c>
      <c r="C135" t="s">
        <v>627</v>
      </c>
      <c r="D135">
        <v>2025</v>
      </c>
      <c r="E135" t="s">
        <v>45</v>
      </c>
      <c r="F135" t="s">
        <v>46</v>
      </c>
      <c r="J135" t="s">
        <v>770</v>
      </c>
      <c r="K135" t="s">
        <v>771</v>
      </c>
      <c r="L135" t="s">
        <v>772</v>
      </c>
      <c r="M135" t="s">
        <v>773</v>
      </c>
      <c r="N135" t="s">
        <v>51</v>
      </c>
      <c r="O135" t="s">
        <v>52</v>
      </c>
      <c r="P135" t="s">
        <v>53</v>
      </c>
      <c r="Q135" t="s">
        <v>632</v>
      </c>
      <c r="S135">
        <v>17</v>
      </c>
      <c r="T135" t="s">
        <v>774</v>
      </c>
      <c r="U135">
        <v>656</v>
      </c>
      <c r="V135">
        <v>14474</v>
      </c>
      <c r="W135">
        <v>4.53E-2</v>
      </c>
      <c r="X135" t="s">
        <v>56</v>
      </c>
      <c r="Y135" t="s">
        <v>634</v>
      </c>
      <c r="Z135">
        <v>462.1</v>
      </c>
      <c r="AA135">
        <v>118.69</v>
      </c>
      <c r="AB135">
        <v>54849</v>
      </c>
      <c r="AC135" t="b">
        <v>0</v>
      </c>
      <c r="AD135" t="b">
        <v>0</v>
      </c>
      <c r="AE135" t="b">
        <v>0</v>
      </c>
      <c r="AF135" t="b">
        <v>0</v>
      </c>
      <c r="AG135" t="s">
        <v>58</v>
      </c>
      <c r="AH135">
        <v>14</v>
      </c>
      <c r="AI135" t="s">
        <v>169</v>
      </c>
      <c r="AJ135" t="s">
        <v>60</v>
      </c>
      <c r="AL135" t="s">
        <v>170</v>
      </c>
      <c r="AM135" t="s">
        <v>62</v>
      </c>
      <c r="AN135" t="s">
        <v>63</v>
      </c>
      <c r="AO135" t="s">
        <v>635</v>
      </c>
      <c r="AP135" t="s">
        <v>771</v>
      </c>
    </row>
    <row r="136" spans="1:42" x14ac:dyDescent="0.45">
      <c r="A136" t="s">
        <v>625</v>
      </c>
      <c r="B136" t="s">
        <v>626</v>
      </c>
      <c r="C136" t="s">
        <v>627</v>
      </c>
      <c r="D136">
        <v>2025</v>
      </c>
      <c r="E136" t="s">
        <v>45</v>
      </c>
      <c r="F136" t="s">
        <v>46</v>
      </c>
      <c r="J136" t="s">
        <v>775</v>
      </c>
      <c r="K136" t="s">
        <v>776</v>
      </c>
      <c r="L136" t="s">
        <v>777</v>
      </c>
      <c r="M136" t="s">
        <v>778</v>
      </c>
      <c r="N136" t="s">
        <v>201</v>
      </c>
      <c r="O136" t="s">
        <v>202</v>
      </c>
      <c r="P136" t="s">
        <v>203</v>
      </c>
      <c r="Q136" t="s">
        <v>632</v>
      </c>
      <c r="S136">
        <v>14</v>
      </c>
      <c r="T136" t="s">
        <v>779</v>
      </c>
      <c r="U136">
        <v>389</v>
      </c>
      <c r="V136">
        <v>14474</v>
      </c>
      <c r="W136">
        <v>2.69E-2</v>
      </c>
      <c r="X136" t="s">
        <v>56</v>
      </c>
      <c r="Y136" t="s">
        <v>634</v>
      </c>
      <c r="Z136">
        <v>440.73</v>
      </c>
      <c r="AA136">
        <v>12270.36</v>
      </c>
      <c r="AB136">
        <v>5407888</v>
      </c>
      <c r="AC136" t="b">
        <v>0</v>
      </c>
      <c r="AD136" t="b">
        <v>0</v>
      </c>
      <c r="AE136" t="b">
        <v>0</v>
      </c>
      <c r="AF136" t="b">
        <v>0</v>
      </c>
      <c r="AG136" t="s">
        <v>58</v>
      </c>
      <c r="AH136">
        <v>-15</v>
      </c>
      <c r="AI136" t="s">
        <v>59</v>
      </c>
      <c r="AJ136" t="s">
        <v>60</v>
      </c>
      <c r="AK136" t="s">
        <v>205</v>
      </c>
      <c r="AL136" t="s">
        <v>206</v>
      </c>
      <c r="AM136" t="s">
        <v>62</v>
      </c>
      <c r="AN136" t="s">
        <v>63</v>
      </c>
      <c r="AO136" t="s">
        <v>635</v>
      </c>
      <c r="AP136" t="s">
        <v>776</v>
      </c>
    </row>
    <row r="137" spans="1:42" x14ac:dyDescent="0.45">
      <c r="A137" t="s">
        <v>780</v>
      </c>
      <c r="B137" t="s">
        <v>781</v>
      </c>
      <c r="C137" t="s">
        <v>782</v>
      </c>
      <c r="D137">
        <v>2026</v>
      </c>
      <c r="E137" t="s">
        <v>783</v>
      </c>
      <c r="F137" t="s">
        <v>46</v>
      </c>
      <c r="J137" t="s">
        <v>784</v>
      </c>
      <c r="K137" t="s">
        <v>785</v>
      </c>
      <c r="L137" t="s">
        <v>786</v>
      </c>
      <c r="M137" t="s">
        <v>787</v>
      </c>
      <c r="N137" t="s">
        <v>533</v>
      </c>
      <c r="O137" t="s">
        <v>534</v>
      </c>
      <c r="P137" t="s">
        <v>293</v>
      </c>
      <c r="S137">
        <v>1</v>
      </c>
      <c r="T137" t="s">
        <v>788</v>
      </c>
      <c r="U137">
        <v>1419</v>
      </c>
      <c r="V137">
        <v>18248.5</v>
      </c>
      <c r="W137">
        <v>7.7799999999999994E-2</v>
      </c>
      <c r="X137" t="s">
        <v>56</v>
      </c>
      <c r="Y137" t="s">
        <v>789</v>
      </c>
      <c r="Z137">
        <v>11.17</v>
      </c>
      <c r="AA137">
        <v>3366.57</v>
      </c>
      <c r="AB137">
        <v>37602</v>
      </c>
      <c r="AC137" t="b">
        <v>0</v>
      </c>
      <c r="AD137" t="b">
        <v>0</v>
      </c>
      <c r="AE137" t="b">
        <v>0</v>
      </c>
      <c r="AF137" t="b">
        <v>0</v>
      </c>
      <c r="AG137" t="s">
        <v>58</v>
      </c>
      <c r="AH137">
        <v>4</v>
      </c>
      <c r="AI137" t="s">
        <v>169</v>
      </c>
      <c r="AJ137" t="s">
        <v>60</v>
      </c>
      <c r="AL137" t="s">
        <v>549</v>
      </c>
      <c r="AM137" t="s">
        <v>245</v>
      </c>
      <c r="AN137" t="s">
        <v>63</v>
      </c>
      <c r="AO137" t="s">
        <v>790</v>
      </c>
      <c r="AP137" t="s">
        <v>785</v>
      </c>
    </row>
    <row r="138" spans="1:42" x14ac:dyDescent="0.45">
      <c r="A138" t="s">
        <v>780</v>
      </c>
      <c r="B138" t="s">
        <v>781</v>
      </c>
      <c r="C138" t="s">
        <v>782</v>
      </c>
      <c r="D138">
        <v>2026</v>
      </c>
      <c r="E138" t="s">
        <v>783</v>
      </c>
      <c r="F138" t="s">
        <v>46</v>
      </c>
      <c r="J138" t="s">
        <v>791</v>
      </c>
      <c r="K138" t="s">
        <v>792</v>
      </c>
      <c r="L138" t="s">
        <v>793</v>
      </c>
      <c r="M138" t="s">
        <v>794</v>
      </c>
      <c r="N138" t="s">
        <v>201</v>
      </c>
      <c r="O138" t="s">
        <v>202</v>
      </c>
      <c r="P138" t="s">
        <v>203</v>
      </c>
      <c r="S138">
        <v>10</v>
      </c>
      <c r="T138" t="s">
        <v>795</v>
      </c>
      <c r="U138">
        <v>305</v>
      </c>
      <c r="V138">
        <v>18248.5</v>
      </c>
      <c r="W138">
        <v>1.67E-2</v>
      </c>
      <c r="X138" t="s">
        <v>56</v>
      </c>
      <c r="Y138" t="s">
        <v>789</v>
      </c>
      <c r="Z138">
        <v>6.79</v>
      </c>
      <c r="AA138">
        <v>5958.38</v>
      </c>
      <c r="AB138">
        <v>40434</v>
      </c>
      <c r="AC138" t="b">
        <v>0</v>
      </c>
      <c r="AD138" t="b">
        <v>0</v>
      </c>
      <c r="AE138" t="b">
        <v>0</v>
      </c>
      <c r="AF138" t="b">
        <v>0</v>
      </c>
      <c r="AG138" t="s">
        <v>58</v>
      </c>
      <c r="AH138">
        <v>4</v>
      </c>
      <c r="AI138" t="s">
        <v>169</v>
      </c>
      <c r="AJ138" t="s">
        <v>60</v>
      </c>
      <c r="AL138" t="s">
        <v>549</v>
      </c>
      <c r="AM138" t="s">
        <v>245</v>
      </c>
      <c r="AN138" t="s">
        <v>63</v>
      </c>
      <c r="AO138" t="s">
        <v>790</v>
      </c>
      <c r="AP138" t="s">
        <v>792</v>
      </c>
    </row>
    <row r="139" spans="1:42" x14ac:dyDescent="0.45">
      <c r="A139" t="s">
        <v>780</v>
      </c>
      <c r="B139" t="s">
        <v>781</v>
      </c>
      <c r="C139" t="s">
        <v>782</v>
      </c>
      <c r="D139">
        <v>2026</v>
      </c>
      <c r="E139" t="s">
        <v>783</v>
      </c>
      <c r="F139" t="s">
        <v>46</v>
      </c>
      <c r="J139" t="s">
        <v>461</v>
      </c>
      <c r="K139" t="s">
        <v>462</v>
      </c>
      <c r="L139" t="s">
        <v>463</v>
      </c>
      <c r="M139" t="s">
        <v>464</v>
      </c>
      <c r="N139" t="s">
        <v>51</v>
      </c>
      <c r="O139" t="s">
        <v>52</v>
      </c>
      <c r="P139" t="s">
        <v>53</v>
      </c>
      <c r="S139">
        <v>3</v>
      </c>
      <c r="T139" t="s">
        <v>465</v>
      </c>
      <c r="U139">
        <v>1615</v>
      </c>
      <c r="V139">
        <v>18248.5</v>
      </c>
      <c r="W139">
        <v>8.8499999999999995E-2</v>
      </c>
      <c r="X139" t="s">
        <v>56</v>
      </c>
      <c r="Y139" t="s">
        <v>789</v>
      </c>
      <c r="Z139">
        <v>2.0699999999999998</v>
      </c>
      <c r="AA139">
        <v>14599.42</v>
      </c>
      <c r="AB139">
        <v>30185</v>
      </c>
      <c r="AC139" t="b">
        <v>0</v>
      </c>
      <c r="AD139" t="b">
        <v>0</v>
      </c>
      <c r="AE139" t="b">
        <v>0</v>
      </c>
      <c r="AF139" t="b">
        <v>0</v>
      </c>
      <c r="AG139" t="s">
        <v>58</v>
      </c>
      <c r="AH139">
        <v>-15</v>
      </c>
      <c r="AI139" t="s">
        <v>59</v>
      </c>
      <c r="AJ139" t="s">
        <v>60</v>
      </c>
      <c r="AK139" t="s">
        <v>333</v>
      </c>
      <c r="AL139" t="s">
        <v>334</v>
      </c>
      <c r="AM139" t="s">
        <v>245</v>
      </c>
      <c r="AN139" t="s">
        <v>63</v>
      </c>
      <c r="AO139" t="s">
        <v>790</v>
      </c>
      <c r="AP139" t="s">
        <v>462</v>
      </c>
    </row>
    <row r="140" spans="1:42" x14ac:dyDescent="0.45">
      <c r="A140" t="s">
        <v>780</v>
      </c>
      <c r="B140" t="s">
        <v>781</v>
      </c>
      <c r="C140" t="s">
        <v>782</v>
      </c>
      <c r="D140">
        <v>2026</v>
      </c>
      <c r="E140" t="s">
        <v>783</v>
      </c>
      <c r="F140" t="s">
        <v>46</v>
      </c>
      <c r="G140">
        <v>6</v>
      </c>
      <c r="J140" t="s">
        <v>404</v>
      </c>
      <c r="K140" t="s">
        <v>405</v>
      </c>
      <c r="L140" t="s">
        <v>406</v>
      </c>
      <c r="M140" t="s">
        <v>407</v>
      </c>
      <c r="N140" t="s">
        <v>359</v>
      </c>
      <c r="O140" t="s">
        <v>360</v>
      </c>
      <c r="P140" t="s">
        <v>293</v>
      </c>
      <c r="S140">
        <v>5</v>
      </c>
      <c r="T140" t="s">
        <v>408</v>
      </c>
      <c r="U140">
        <v>1274</v>
      </c>
      <c r="V140">
        <v>18248.5</v>
      </c>
      <c r="W140">
        <v>6.9800000000000001E-2</v>
      </c>
      <c r="X140" t="s">
        <v>56</v>
      </c>
      <c r="Y140" t="s">
        <v>789</v>
      </c>
      <c r="Z140">
        <v>1.08</v>
      </c>
      <c r="AA140">
        <v>11765.11</v>
      </c>
      <c r="AB140">
        <v>12681</v>
      </c>
      <c r="AC140" t="b">
        <v>0</v>
      </c>
      <c r="AD140" t="b">
        <v>0</v>
      </c>
      <c r="AE140" t="b">
        <v>0</v>
      </c>
      <c r="AF140" t="b">
        <v>0</v>
      </c>
      <c r="AG140" t="s">
        <v>58</v>
      </c>
      <c r="AH140">
        <v>8</v>
      </c>
      <c r="AI140" t="s">
        <v>386</v>
      </c>
      <c r="AJ140" t="s">
        <v>387</v>
      </c>
      <c r="AL140" t="s">
        <v>796</v>
      </c>
      <c r="AM140" t="s">
        <v>245</v>
      </c>
      <c r="AN140" t="s">
        <v>63</v>
      </c>
      <c r="AO140" t="s">
        <v>790</v>
      </c>
      <c r="AP140" t="s">
        <v>405</v>
      </c>
    </row>
    <row r="141" spans="1:42" x14ac:dyDescent="0.45">
      <c r="A141" t="s">
        <v>780</v>
      </c>
      <c r="B141" t="s">
        <v>781</v>
      </c>
      <c r="C141" t="s">
        <v>782</v>
      </c>
      <c r="D141">
        <v>2026</v>
      </c>
      <c r="E141" t="s">
        <v>783</v>
      </c>
      <c r="F141" t="s">
        <v>46</v>
      </c>
      <c r="J141" t="s">
        <v>323</v>
      </c>
      <c r="K141" t="s">
        <v>324</v>
      </c>
      <c r="L141" t="s">
        <v>325</v>
      </c>
      <c r="M141" t="s">
        <v>326</v>
      </c>
      <c r="N141" t="s">
        <v>201</v>
      </c>
      <c r="O141" t="s">
        <v>202</v>
      </c>
      <c r="P141" t="s">
        <v>203</v>
      </c>
      <c r="S141">
        <v>6</v>
      </c>
      <c r="T141" t="s">
        <v>327</v>
      </c>
      <c r="U141">
        <v>372</v>
      </c>
      <c r="V141">
        <v>18248.5</v>
      </c>
      <c r="W141">
        <v>2.0400000000000001E-2</v>
      </c>
      <c r="X141" t="s">
        <v>56</v>
      </c>
      <c r="Y141" t="s">
        <v>789</v>
      </c>
      <c r="Z141">
        <v>3.12</v>
      </c>
      <c r="AA141">
        <v>266605.63</v>
      </c>
      <c r="AB141">
        <v>831708</v>
      </c>
      <c r="AC141" t="b">
        <v>0</v>
      </c>
      <c r="AD141" t="b">
        <v>0</v>
      </c>
      <c r="AE141" t="b">
        <v>0</v>
      </c>
      <c r="AF141" t="b">
        <v>0</v>
      </c>
      <c r="AG141" t="s">
        <v>58</v>
      </c>
      <c r="AH141">
        <v>-15</v>
      </c>
      <c r="AI141" t="s">
        <v>59</v>
      </c>
      <c r="AJ141" t="s">
        <v>60</v>
      </c>
      <c r="AK141" t="s">
        <v>264</v>
      </c>
      <c r="AL141" t="s">
        <v>265</v>
      </c>
      <c r="AM141" t="s">
        <v>245</v>
      </c>
      <c r="AN141" t="s">
        <v>63</v>
      </c>
      <c r="AO141" t="s">
        <v>790</v>
      </c>
      <c r="AP141" t="s">
        <v>324</v>
      </c>
    </row>
    <row r="142" spans="1:42" x14ac:dyDescent="0.45">
      <c r="A142" t="s">
        <v>780</v>
      </c>
      <c r="B142" t="s">
        <v>781</v>
      </c>
      <c r="C142" t="s">
        <v>782</v>
      </c>
      <c r="D142">
        <v>2026</v>
      </c>
      <c r="E142" t="s">
        <v>783</v>
      </c>
      <c r="F142" t="s">
        <v>46</v>
      </c>
      <c r="J142" t="s">
        <v>797</v>
      </c>
      <c r="K142" t="s">
        <v>798</v>
      </c>
      <c r="L142" t="s">
        <v>799</v>
      </c>
      <c r="M142" t="s">
        <v>800</v>
      </c>
      <c r="N142" t="s">
        <v>291</v>
      </c>
      <c r="O142" t="s">
        <v>292</v>
      </c>
      <c r="P142" t="s">
        <v>293</v>
      </c>
      <c r="S142">
        <v>8</v>
      </c>
      <c r="T142" t="s">
        <v>801</v>
      </c>
      <c r="U142">
        <v>1228</v>
      </c>
      <c r="V142">
        <v>18248.5</v>
      </c>
      <c r="W142">
        <v>6.7299999999999999E-2</v>
      </c>
      <c r="X142" t="s">
        <v>56</v>
      </c>
      <c r="Y142" t="s">
        <v>789</v>
      </c>
      <c r="Z142">
        <v>4.74</v>
      </c>
      <c r="AA142">
        <v>2943.15</v>
      </c>
      <c r="AB142">
        <v>13963</v>
      </c>
      <c r="AC142" t="b">
        <v>0</v>
      </c>
      <c r="AD142" t="b">
        <v>0</v>
      </c>
      <c r="AE142" t="b">
        <v>0</v>
      </c>
      <c r="AF142" t="b">
        <v>0</v>
      </c>
      <c r="AG142" t="s">
        <v>58</v>
      </c>
      <c r="AH142">
        <v>4</v>
      </c>
      <c r="AI142" t="s">
        <v>169</v>
      </c>
      <c r="AJ142" t="s">
        <v>60</v>
      </c>
      <c r="AL142" t="s">
        <v>549</v>
      </c>
      <c r="AM142" t="s">
        <v>245</v>
      </c>
      <c r="AN142" t="s">
        <v>63</v>
      </c>
      <c r="AO142" t="s">
        <v>790</v>
      </c>
      <c r="AP142" t="s">
        <v>798</v>
      </c>
    </row>
    <row r="143" spans="1:42" x14ac:dyDescent="0.45">
      <c r="A143" t="s">
        <v>780</v>
      </c>
      <c r="B143" t="s">
        <v>781</v>
      </c>
      <c r="C143" t="s">
        <v>782</v>
      </c>
      <c r="D143">
        <v>2026</v>
      </c>
      <c r="E143" t="s">
        <v>783</v>
      </c>
      <c r="F143" t="s">
        <v>46</v>
      </c>
      <c r="J143" t="s">
        <v>802</v>
      </c>
      <c r="K143" t="s">
        <v>803</v>
      </c>
      <c r="L143" t="s">
        <v>804</v>
      </c>
      <c r="M143" t="s">
        <v>805</v>
      </c>
      <c r="N143" t="s">
        <v>359</v>
      </c>
      <c r="O143" t="s">
        <v>360</v>
      </c>
      <c r="P143" t="s">
        <v>293</v>
      </c>
      <c r="S143">
        <v>12</v>
      </c>
      <c r="T143" t="s">
        <v>806</v>
      </c>
      <c r="U143">
        <v>970</v>
      </c>
      <c r="V143">
        <v>18248.5</v>
      </c>
      <c r="W143">
        <v>5.3199999999999997E-2</v>
      </c>
      <c r="X143" t="s">
        <v>56</v>
      </c>
      <c r="Y143" t="s">
        <v>789</v>
      </c>
      <c r="Z143">
        <v>34.07</v>
      </c>
      <c r="AA143">
        <v>541.21</v>
      </c>
      <c r="AB143">
        <v>18438</v>
      </c>
      <c r="AC143" t="b">
        <v>0</v>
      </c>
      <c r="AD143" t="b">
        <v>0</v>
      </c>
      <c r="AE143" t="b">
        <v>0</v>
      </c>
      <c r="AF143" t="b">
        <v>0</v>
      </c>
      <c r="AG143" t="s">
        <v>58</v>
      </c>
      <c r="AH143">
        <v>4</v>
      </c>
      <c r="AI143" t="s">
        <v>169</v>
      </c>
      <c r="AJ143" t="s">
        <v>60</v>
      </c>
      <c r="AL143" t="s">
        <v>549</v>
      </c>
      <c r="AM143" t="s">
        <v>245</v>
      </c>
      <c r="AN143" t="s">
        <v>63</v>
      </c>
      <c r="AO143" t="s">
        <v>790</v>
      </c>
      <c r="AP143" t="s">
        <v>803</v>
      </c>
    </row>
    <row r="144" spans="1:42" x14ac:dyDescent="0.45">
      <c r="A144" t="s">
        <v>780</v>
      </c>
      <c r="B144" t="s">
        <v>781</v>
      </c>
      <c r="C144" t="s">
        <v>782</v>
      </c>
      <c r="D144">
        <v>2026</v>
      </c>
      <c r="E144" t="s">
        <v>783</v>
      </c>
      <c r="F144" t="s">
        <v>46</v>
      </c>
      <c r="J144" t="s">
        <v>807</v>
      </c>
      <c r="K144" t="s">
        <v>808</v>
      </c>
      <c r="L144" t="s">
        <v>809</v>
      </c>
      <c r="M144" t="s">
        <v>810</v>
      </c>
      <c r="N144" t="s">
        <v>811</v>
      </c>
      <c r="O144" t="s">
        <v>812</v>
      </c>
      <c r="P144" t="s">
        <v>293</v>
      </c>
      <c r="S144">
        <v>15</v>
      </c>
      <c r="T144" t="s">
        <v>813</v>
      </c>
      <c r="U144">
        <v>1306</v>
      </c>
      <c r="V144">
        <v>18248.5</v>
      </c>
      <c r="W144">
        <v>7.1599999999999997E-2</v>
      </c>
      <c r="X144" t="s">
        <v>56</v>
      </c>
      <c r="Y144" t="s">
        <v>789</v>
      </c>
      <c r="Z144">
        <v>7.77</v>
      </c>
      <c r="AA144">
        <v>1112.49</v>
      </c>
      <c r="AB144">
        <v>8639</v>
      </c>
      <c r="AC144" t="b">
        <v>0</v>
      </c>
      <c r="AD144" t="b">
        <v>0</v>
      </c>
      <c r="AE144" t="b">
        <v>0</v>
      </c>
      <c r="AF144" t="b">
        <v>0</v>
      </c>
      <c r="AG144" t="s">
        <v>58</v>
      </c>
      <c r="AH144">
        <v>4</v>
      </c>
      <c r="AI144" t="s">
        <v>169</v>
      </c>
      <c r="AJ144" t="s">
        <v>60</v>
      </c>
      <c r="AL144" t="s">
        <v>549</v>
      </c>
      <c r="AM144" t="s">
        <v>245</v>
      </c>
      <c r="AN144" t="s">
        <v>63</v>
      </c>
      <c r="AO144" t="s">
        <v>790</v>
      </c>
      <c r="AP144" t="s">
        <v>808</v>
      </c>
    </row>
    <row r="145" spans="1:42" x14ac:dyDescent="0.45">
      <c r="A145" t="s">
        <v>780</v>
      </c>
      <c r="B145" t="s">
        <v>781</v>
      </c>
      <c r="C145" t="s">
        <v>782</v>
      </c>
      <c r="D145">
        <v>2026</v>
      </c>
      <c r="E145" t="s">
        <v>783</v>
      </c>
      <c r="F145" t="s">
        <v>46</v>
      </c>
      <c r="G145">
        <v>6</v>
      </c>
      <c r="J145" t="s">
        <v>428</v>
      </c>
      <c r="K145" t="s">
        <v>429</v>
      </c>
      <c r="L145" t="s">
        <v>430</v>
      </c>
      <c r="M145" t="s">
        <v>431</v>
      </c>
      <c r="N145" t="s">
        <v>51</v>
      </c>
      <c r="O145" t="s">
        <v>52</v>
      </c>
      <c r="P145" t="s">
        <v>53</v>
      </c>
      <c r="S145">
        <v>18</v>
      </c>
      <c r="T145" t="s">
        <v>432</v>
      </c>
      <c r="U145">
        <v>1176</v>
      </c>
      <c r="V145">
        <v>18248.5</v>
      </c>
      <c r="W145">
        <v>6.4399999999999999E-2</v>
      </c>
      <c r="X145" t="s">
        <v>56</v>
      </c>
      <c r="Y145" t="s">
        <v>789</v>
      </c>
      <c r="Z145">
        <v>6.74</v>
      </c>
      <c r="AA145">
        <v>66029.23</v>
      </c>
      <c r="AB145">
        <v>445342</v>
      </c>
      <c r="AC145" t="b">
        <v>0</v>
      </c>
      <c r="AD145" t="b">
        <v>0</v>
      </c>
      <c r="AE145" t="b">
        <v>0</v>
      </c>
      <c r="AF145" t="b">
        <v>0</v>
      </c>
      <c r="AG145" t="s">
        <v>58</v>
      </c>
      <c r="AH145">
        <v>-15</v>
      </c>
      <c r="AI145" t="s">
        <v>59</v>
      </c>
      <c r="AJ145" t="s">
        <v>60</v>
      </c>
      <c r="AK145" t="s">
        <v>433</v>
      </c>
      <c r="AL145" t="s">
        <v>434</v>
      </c>
      <c r="AM145" t="s">
        <v>245</v>
      </c>
      <c r="AN145" t="s">
        <v>63</v>
      </c>
      <c r="AO145" t="s">
        <v>790</v>
      </c>
      <c r="AP145" t="s">
        <v>429</v>
      </c>
    </row>
    <row r="146" spans="1:42" x14ac:dyDescent="0.45">
      <c r="A146" t="s">
        <v>780</v>
      </c>
      <c r="B146" t="s">
        <v>781</v>
      </c>
      <c r="C146" t="s">
        <v>782</v>
      </c>
      <c r="D146">
        <v>2026</v>
      </c>
      <c r="E146" t="s">
        <v>783</v>
      </c>
      <c r="F146" t="s">
        <v>46</v>
      </c>
      <c r="J146" t="s">
        <v>814</v>
      </c>
      <c r="K146" t="s">
        <v>815</v>
      </c>
      <c r="L146" t="s">
        <v>816</v>
      </c>
      <c r="M146" t="s">
        <v>817</v>
      </c>
      <c r="N146" t="s">
        <v>533</v>
      </c>
      <c r="O146" t="s">
        <v>534</v>
      </c>
      <c r="P146" t="s">
        <v>293</v>
      </c>
      <c r="S146">
        <v>17</v>
      </c>
      <c r="T146" t="s">
        <v>818</v>
      </c>
      <c r="U146">
        <v>1204</v>
      </c>
      <c r="V146">
        <v>18248.5</v>
      </c>
      <c r="W146">
        <v>6.6000000000000003E-2</v>
      </c>
      <c r="X146" t="s">
        <v>56</v>
      </c>
      <c r="Y146" t="s">
        <v>789</v>
      </c>
      <c r="Z146">
        <v>27.13</v>
      </c>
      <c r="AA146">
        <v>1777.85</v>
      </c>
      <c r="AB146">
        <v>48238</v>
      </c>
      <c r="AC146" t="b">
        <v>0</v>
      </c>
      <c r="AD146" t="b">
        <v>0</v>
      </c>
      <c r="AE146" t="b">
        <v>0</v>
      </c>
      <c r="AF146" t="b">
        <v>0</v>
      </c>
      <c r="AG146" t="s">
        <v>58</v>
      </c>
      <c r="AH146">
        <v>4</v>
      </c>
      <c r="AI146" t="s">
        <v>169</v>
      </c>
      <c r="AJ146" t="s">
        <v>60</v>
      </c>
      <c r="AL146" t="s">
        <v>549</v>
      </c>
      <c r="AM146" t="s">
        <v>245</v>
      </c>
      <c r="AN146" t="s">
        <v>63</v>
      </c>
      <c r="AO146" t="s">
        <v>790</v>
      </c>
      <c r="AP146" t="s">
        <v>815</v>
      </c>
    </row>
    <row r="147" spans="1:42" x14ac:dyDescent="0.45">
      <c r="A147" t="s">
        <v>780</v>
      </c>
      <c r="B147" t="s">
        <v>781</v>
      </c>
      <c r="C147" t="s">
        <v>782</v>
      </c>
      <c r="D147">
        <v>2026</v>
      </c>
      <c r="E147" t="s">
        <v>783</v>
      </c>
      <c r="F147" t="s">
        <v>46</v>
      </c>
      <c r="G147">
        <v>3</v>
      </c>
      <c r="J147" t="s">
        <v>819</v>
      </c>
      <c r="K147" t="s">
        <v>820</v>
      </c>
      <c r="L147" t="s">
        <v>821</v>
      </c>
      <c r="M147" t="s">
        <v>822</v>
      </c>
      <c r="N147" t="s">
        <v>359</v>
      </c>
      <c r="O147" t="s">
        <v>360</v>
      </c>
      <c r="P147" t="s">
        <v>293</v>
      </c>
      <c r="S147">
        <v>16</v>
      </c>
      <c r="T147" t="s">
        <v>823</v>
      </c>
      <c r="U147">
        <v>863</v>
      </c>
      <c r="V147">
        <v>18248.5</v>
      </c>
      <c r="W147">
        <v>4.7300000000000002E-2</v>
      </c>
      <c r="X147" t="s">
        <v>56</v>
      </c>
      <c r="Y147" t="s">
        <v>789</v>
      </c>
      <c r="Z147">
        <v>19.79</v>
      </c>
      <c r="AA147">
        <v>189.73</v>
      </c>
      <c r="AB147">
        <v>3754</v>
      </c>
      <c r="AC147" t="b">
        <v>0</v>
      </c>
      <c r="AD147" t="b">
        <v>0</v>
      </c>
      <c r="AE147" t="b">
        <v>0</v>
      </c>
      <c r="AF147" t="b">
        <v>0</v>
      </c>
      <c r="AG147" t="s">
        <v>58</v>
      </c>
      <c r="AH147">
        <v>8</v>
      </c>
      <c r="AI147" t="s">
        <v>386</v>
      </c>
      <c r="AJ147" t="s">
        <v>387</v>
      </c>
      <c r="AL147" t="s">
        <v>796</v>
      </c>
      <c r="AM147" t="s">
        <v>245</v>
      </c>
      <c r="AN147" t="s">
        <v>63</v>
      </c>
      <c r="AO147" t="s">
        <v>790</v>
      </c>
      <c r="AP147" t="s">
        <v>820</v>
      </c>
    </row>
    <row r="148" spans="1:42" x14ac:dyDescent="0.45">
      <c r="A148" t="s">
        <v>780</v>
      </c>
      <c r="B148" t="s">
        <v>781</v>
      </c>
      <c r="C148" t="s">
        <v>782</v>
      </c>
      <c r="D148">
        <v>2026</v>
      </c>
      <c r="E148" t="s">
        <v>783</v>
      </c>
      <c r="F148" t="s">
        <v>46</v>
      </c>
      <c r="J148" t="s">
        <v>824</v>
      </c>
      <c r="K148" t="s">
        <v>825</v>
      </c>
      <c r="L148" t="s">
        <v>826</v>
      </c>
      <c r="M148" t="s">
        <v>827</v>
      </c>
      <c r="N148" t="s">
        <v>533</v>
      </c>
      <c r="O148" t="s">
        <v>534</v>
      </c>
      <c r="P148" t="s">
        <v>293</v>
      </c>
      <c r="S148">
        <v>19</v>
      </c>
      <c r="T148" t="s">
        <v>828</v>
      </c>
      <c r="U148">
        <v>2099</v>
      </c>
      <c r="V148">
        <v>18248.5</v>
      </c>
      <c r="W148">
        <v>0.115</v>
      </c>
      <c r="X148" t="s">
        <v>56</v>
      </c>
      <c r="Y148" t="s">
        <v>789</v>
      </c>
      <c r="Z148">
        <v>23</v>
      </c>
      <c r="AA148">
        <v>7700.36</v>
      </c>
      <c r="AB148">
        <v>177099</v>
      </c>
      <c r="AC148" t="b">
        <v>0</v>
      </c>
      <c r="AD148" t="b">
        <v>0</v>
      </c>
      <c r="AE148" t="b">
        <v>0</v>
      </c>
      <c r="AF148" t="b">
        <v>0</v>
      </c>
      <c r="AG148" t="s">
        <v>58</v>
      </c>
      <c r="AH148">
        <v>6</v>
      </c>
      <c r="AI148" t="s">
        <v>386</v>
      </c>
      <c r="AJ148" t="s">
        <v>387</v>
      </c>
      <c r="AL148" t="s">
        <v>388</v>
      </c>
      <c r="AM148" t="s">
        <v>245</v>
      </c>
      <c r="AN148" t="s">
        <v>63</v>
      </c>
      <c r="AO148" t="s">
        <v>790</v>
      </c>
      <c r="AP148" t="s">
        <v>825</v>
      </c>
    </row>
    <row r="149" spans="1:42" x14ac:dyDescent="0.45">
      <c r="A149" t="s">
        <v>780</v>
      </c>
      <c r="B149" t="s">
        <v>781</v>
      </c>
      <c r="C149" t="s">
        <v>782</v>
      </c>
      <c r="D149">
        <v>2026</v>
      </c>
      <c r="E149" t="s">
        <v>783</v>
      </c>
      <c r="F149" t="s">
        <v>46</v>
      </c>
      <c r="G149">
        <v>1</v>
      </c>
      <c r="J149" t="s">
        <v>829</v>
      </c>
      <c r="K149" t="s">
        <v>830</v>
      </c>
      <c r="L149" t="s">
        <v>831</v>
      </c>
      <c r="M149" t="s">
        <v>832</v>
      </c>
      <c r="N149" t="s">
        <v>533</v>
      </c>
      <c r="O149" t="s">
        <v>534</v>
      </c>
      <c r="P149" t="s">
        <v>293</v>
      </c>
      <c r="S149">
        <v>4</v>
      </c>
      <c r="T149" t="s">
        <v>833</v>
      </c>
      <c r="U149">
        <v>12824</v>
      </c>
      <c r="V149">
        <v>18248.5</v>
      </c>
      <c r="W149">
        <v>0.70269999999999999</v>
      </c>
      <c r="X149" t="s">
        <v>70</v>
      </c>
      <c r="Y149" t="s">
        <v>789</v>
      </c>
      <c r="Z149">
        <v>39.08</v>
      </c>
      <c r="AA149">
        <v>1717.23</v>
      </c>
      <c r="AB149">
        <v>67106</v>
      </c>
      <c r="AC149" t="b">
        <v>0</v>
      </c>
      <c r="AD149" t="b">
        <v>0</v>
      </c>
      <c r="AE149" t="b">
        <v>0</v>
      </c>
      <c r="AF149" t="b">
        <v>0</v>
      </c>
      <c r="AG149" t="s">
        <v>58</v>
      </c>
      <c r="AH149">
        <v>10</v>
      </c>
      <c r="AI149" t="s">
        <v>386</v>
      </c>
      <c r="AJ149" t="s">
        <v>387</v>
      </c>
      <c r="AL149" t="s">
        <v>609</v>
      </c>
      <c r="AM149" t="s">
        <v>245</v>
      </c>
      <c r="AN149" t="s">
        <v>63</v>
      </c>
      <c r="AO149" t="s">
        <v>790</v>
      </c>
      <c r="AP149" t="s">
        <v>830</v>
      </c>
    </row>
    <row r="150" spans="1:42" x14ac:dyDescent="0.45">
      <c r="A150" t="s">
        <v>780</v>
      </c>
      <c r="B150" t="s">
        <v>781</v>
      </c>
      <c r="C150" t="s">
        <v>782</v>
      </c>
      <c r="D150">
        <v>2026</v>
      </c>
      <c r="E150" t="s">
        <v>783</v>
      </c>
      <c r="F150" t="s">
        <v>46</v>
      </c>
      <c r="J150" t="s">
        <v>834</v>
      </c>
      <c r="K150" t="s">
        <v>835</v>
      </c>
      <c r="L150" t="s">
        <v>836</v>
      </c>
      <c r="M150" t="s">
        <v>837</v>
      </c>
      <c r="N150" t="s">
        <v>533</v>
      </c>
      <c r="O150" t="s">
        <v>534</v>
      </c>
      <c r="P150" t="s">
        <v>293</v>
      </c>
      <c r="S150">
        <v>2</v>
      </c>
      <c r="T150" t="s">
        <v>838</v>
      </c>
      <c r="U150">
        <v>4410</v>
      </c>
      <c r="V150">
        <v>18248.5</v>
      </c>
      <c r="W150">
        <v>0.2417</v>
      </c>
      <c r="X150" t="s">
        <v>56</v>
      </c>
      <c r="Y150" t="s">
        <v>789</v>
      </c>
      <c r="Z150">
        <v>8.07</v>
      </c>
      <c r="AA150">
        <v>7194.39</v>
      </c>
      <c r="AB150">
        <v>58066</v>
      </c>
      <c r="AC150" t="b">
        <v>0</v>
      </c>
      <c r="AD150" t="b">
        <v>0</v>
      </c>
      <c r="AE150" t="b">
        <v>0</v>
      </c>
      <c r="AF150" t="b">
        <v>0</v>
      </c>
      <c r="AG150" t="s">
        <v>58</v>
      </c>
      <c r="AH150">
        <v>6</v>
      </c>
      <c r="AI150" t="s">
        <v>386</v>
      </c>
      <c r="AJ150" t="s">
        <v>387</v>
      </c>
      <c r="AL150" t="s">
        <v>388</v>
      </c>
      <c r="AM150" t="s">
        <v>245</v>
      </c>
      <c r="AN150" t="s">
        <v>63</v>
      </c>
      <c r="AO150" t="s">
        <v>790</v>
      </c>
      <c r="AP150" t="s">
        <v>835</v>
      </c>
    </row>
    <row r="151" spans="1:42" x14ac:dyDescent="0.45">
      <c r="A151" t="s">
        <v>780</v>
      </c>
      <c r="B151" t="s">
        <v>781</v>
      </c>
      <c r="C151" t="s">
        <v>782</v>
      </c>
      <c r="D151">
        <v>2026</v>
      </c>
      <c r="E151" t="s">
        <v>783</v>
      </c>
      <c r="F151" t="s">
        <v>46</v>
      </c>
      <c r="J151" t="s">
        <v>839</v>
      </c>
      <c r="K151" t="s">
        <v>840</v>
      </c>
      <c r="L151" t="s">
        <v>841</v>
      </c>
      <c r="M151" t="s">
        <v>842</v>
      </c>
      <c r="N151" t="s">
        <v>533</v>
      </c>
      <c r="O151" t="s">
        <v>534</v>
      </c>
      <c r="P151" t="s">
        <v>293</v>
      </c>
      <c r="S151">
        <v>9</v>
      </c>
      <c r="T151" t="s">
        <v>843</v>
      </c>
      <c r="U151">
        <v>1227</v>
      </c>
      <c r="V151">
        <v>18248.5</v>
      </c>
      <c r="W151">
        <v>6.7199999999999996E-2</v>
      </c>
      <c r="X151" t="s">
        <v>56</v>
      </c>
      <c r="Y151" t="s">
        <v>789</v>
      </c>
      <c r="Z151">
        <v>3.14</v>
      </c>
      <c r="AA151">
        <v>17508.939999999999</v>
      </c>
      <c r="AB151">
        <v>54987</v>
      </c>
      <c r="AC151" t="b">
        <v>0</v>
      </c>
      <c r="AD151" t="b">
        <v>0</v>
      </c>
      <c r="AE151" t="b">
        <v>0</v>
      </c>
      <c r="AF151" t="b">
        <v>0</v>
      </c>
      <c r="AG151" t="s">
        <v>58</v>
      </c>
      <c r="AH151">
        <v>4</v>
      </c>
      <c r="AI151" t="s">
        <v>169</v>
      </c>
      <c r="AJ151" t="s">
        <v>60</v>
      </c>
      <c r="AL151" t="s">
        <v>549</v>
      </c>
      <c r="AM151" t="s">
        <v>245</v>
      </c>
      <c r="AN151" t="s">
        <v>63</v>
      </c>
      <c r="AO151" t="s">
        <v>790</v>
      </c>
      <c r="AP151" t="s">
        <v>840</v>
      </c>
    </row>
    <row r="152" spans="1:42" x14ac:dyDescent="0.45">
      <c r="A152" t="s">
        <v>780</v>
      </c>
      <c r="B152" t="s">
        <v>781</v>
      </c>
      <c r="C152" t="s">
        <v>782</v>
      </c>
      <c r="D152">
        <v>2026</v>
      </c>
      <c r="E152" t="s">
        <v>783</v>
      </c>
      <c r="F152" t="s">
        <v>46</v>
      </c>
      <c r="G152">
        <v>6</v>
      </c>
      <c r="J152" t="s">
        <v>844</v>
      </c>
      <c r="K152" t="s">
        <v>845</v>
      </c>
      <c r="L152" t="s">
        <v>846</v>
      </c>
      <c r="M152" t="s">
        <v>847</v>
      </c>
      <c r="N152" t="s">
        <v>848</v>
      </c>
      <c r="O152" t="s">
        <v>849</v>
      </c>
      <c r="P152" t="s">
        <v>293</v>
      </c>
      <c r="S152">
        <v>14</v>
      </c>
      <c r="T152" t="s">
        <v>850</v>
      </c>
      <c r="U152">
        <v>4950</v>
      </c>
      <c r="V152">
        <v>18248.5</v>
      </c>
      <c r="W152">
        <v>0.27129999999999999</v>
      </c>
      <c r="X152" t="s">
        <v>56</v>
      </c>
      <c r="Y152" t="s">
        <v>789</v>
      </c>
      <c r="Z152">
        <v>0.79</v>
      </c>
      <c r="AA152">
        <v>16426.41</v>
      </c>
      <c r="AB152">
        <v>12963</v>
      </c>
      <c r="AC152" t="b">
        <v>0</v>
      </c>
      <c r="AD152" t="b">
        <v>0</v>
      </c>
      <c r="AE152" t="b">
        <v>0</v>
      </c>
      <c r="AF152" t="b">
        <v>0</v>
      </c>
      <c r="AG152" t="s">
        <v>58</v>
      </c>
      <c r="AH152">
        <v>-15</v>
      </c>
      <c r="AI152" t="s">
        <v>59</v>
      </c>
      <c r="AJ152" t="s">
        <v>60</v>
      </c>
      <c r="AK152" t="s">
        <v>558</v>
      </c>
      <c r="AL152" t="s">
        <v>559</v>
      </c>
      <c r="AM152" t="s">
        <v>245</v>
      </c>
      <c r="AN152" t="s">
        <v>63</v>
      </c>
      <c r="AO152" t="s">
        <v>790</v>
      </c>
      <c r="AP152" t="s">
        <v>845</v>
      </c>
    </row>
    <row r="153" spans="1:42" x14ac:dyDescent="0.45">
      <c r="A153" t="s">
        <v>780</v>
      </c>
      <c r="B153" t="s">
        <v>781</v>
      </c>
      <c r="C153" t="s">
        <v>782</v>
      </c>
      <c r="D153">
        <v>2026</v>
      </c>
      <c r="E153" t="s">
        <v>783</v>
      </c>
      <c r="F153" t="s">
        <v>46</v>
      </c>
      <c r="G153">
        <v>1</v>
      </c>
      <c r="J153" t="s">
        <v>276</v>
      </c>
      <c r="K153" t="s">
        <v>277</v>
      </c>
      <c r="L153" t="s">
        <v>278</v>
      </c>
      <c r="M153" t="s">
        <v>279</v>
      </c>
      <c r="N153" t="s">
        <v>51</v>
      </c>
      <c r="O153" t="s">
        <v>52</v>
      </c>
      <c r="P153" t="s">
        <v>53</v>
      </c>
      <c r="S153">
        <v>8</v>
      </c>
      <c r="T153" t="s">
        <v>280</v>
      </c>
      <c r="U153">
        <v>19096</v>
      </c>
      <c r="V153">
        <v>18248.5</v>
      </c>
      <c r="W153">
        <v>1.0464</v>
      </c>
      <c r="X153" t="s">
        <v>70</v>
      </c>
      <c r="Y153" t="s">
        <v>789</v>
      </c>
      <c r="Z153">
        <v>38.79</v>
      </c>
      <c r="AA153">
        <v>207396.37</v>
      </c>
      <c r="AB153">
        <v>8044135</v>
      </c>
      <c r="AC153" t="b">
        <v>1</v>
      </c>
      <c r="AD153" t="b">
        <v>1</v>
      </c>
      <c r="AE153" t="b">
        <v>0</v>
      </c>
      <c r="AF153" t="b">
        <v>0</v>
      </c>
      <c r="AG153" t="s">
        <v>58</v>
      </c>
      <c r="AH153">
        <v>14</v>
      </c>
      <c r="AI153" t="s">
        <v>59</v>
      </c>
      <c r="AJ153" t="s">
        <v>71</v>
      </c>
      <c r="AL153" t="s">
        <v>244</v>
      </c>
      <c r="AM153" t="s">
        <v>245</v>
      </c>
      <c r="AN153" t="s">
        <v>63</v>
      </c>
      <c r="AO153" t="s">
        <v>790</v>
      </c>
      <c r="AP153" t="s">
        <v>277</v>
      </c>
    </row>
    <row r="154" spans="1:42" x14ac:dyDescent="0.45">
      <c r="A154" t="s">
        <v>780</v>
      </c>
      <c r="B154" t="s">
        <v>781</v>
      </c>
      <c r="C154" t="s">
        <v>782</v>
      </c>
      <c r="D154">
        <v>2026</v>
      </c>
      <c r="E154" t="s">
        <v>783</v>
      </c>
      <c r="F154" t="s">
        <v>46</v>
      </c>
      <c r="J154" t="s">
        <v>851</v>
      </c>
      <c r="K154" t="s">
        <v>852</v>
      </c>
      <c r="L154" t="s">
        <v>853</v>
      </c>
      <c r="M154" t="s">
        <v>854</v>
      </c>
      <c r="N154" t="s">
        <v>533</v>
      </c>
      <c r="O154" t="s">
        <v>534</v>
      </c>
      <c r="P154" t="s">
        <v>293</v>
      </c>
      <c r="S154">
        <v>7</v>
      </c>
      <c r="T154" t="s">
        <v>855</v>
      </c>
      <c r="U154">
        <v>1319</v>
      </c>
      <c r="V154">
        <v>18248.5</v>
      </c>
      <c r="W154">
        <v>7.2300000000000003E-2</v>
      </c>
      <c r="X154" t="s">
        <v>56</v>
      </c>
      <c r="Y154" t="s">
        <v>789</v>
      </c>
      <c r="Z154">
        <v>25.2</v>
      </c>
      <c r="AA154">
        <v>1251.3599999999999</v>
      </c>
      <c r="AB154">
        <v>31538</v>
      </c>
      <c r="AC154" t="b">
        <v>0</v>
      </c>
      <c r="AD154" t="b">
        <v>0</v>
      </c>
      <c r="AE154" t="b">
        <v>0</v>
      </c>
      <c r="AF154" t="b">
        <v>0</v>
      </c>
      <c r="AG154" t="s">
        <v>58</v>
      </c>
      <c r="AH154">
        <v>4</v>
      </c>
      <c r="AI154" t="s">
        <v>169</v>
      </c>
      <c r="AJ154" t="s">
        <v>60</v>
      </c>
      <c r="AL154" t="s">
        <v>549</v>
      </c>
      <c r="AM154" t="s">
        <v>245</v>
      </c>
      <c r="AN154" t="s">
        <v>63</v>
      </c>
      <c r="AO154" t="s">
        <v>790</v>
      </c>
      <c r="AP154" t="s">
        <v>852</v>
      </c>
    </row>
    <row r="155" spans="1:42" x14ac:dyDescent="0.45">
      <c r="A155" t="s">
        <v>780</v>
      </c>
      <c r="B155" t="s">
        <v>781</v>
      </c>
      <c r="C155" t="s">
        <v>782</v>
      </c>
      <c r="D155">
        <v>2026</v>
      </c>
      <c r="E155" t="s">
        <v>783</v>
      </c>
      <c r="F155" t="s">
        <v>46</v>
      </c>
      <c r="J155" t="s">
        <v>856</v>
      </c>
      <c r="K155" t="s">
        <v>857</v>
      </c>
      <c r="L155" t="s">
        <v>858</v>
      </c>
      <c r="M155" t="s">
        <v>859</v>
      </c>
      <c r="N155" t="s">
        <v>533</v>
      </c>
      <c r="O155" t="s">
        <v>534</v>
      </c>
      <c r="P155" t="s">
        <v>293</v>
      </c>
      <c r="S155">
        <v>24</v>
      </c>
      <c r="T155" t="s">
        <v>860</v>
      </c>
      <c r="U155">
        <v>1973</v>
      </c>
      <c r="V155">
        <v>18248.5</v>
      </c>
      <c r="W155">
        <v>0.1081</v>
      </c>
      <c r="X155" t="s">
        <v>56</v>
      </c>
      <c r="Y155" t="s">
        <v>789</v>
      </c>
      <c r="Z155">
        <v>3.1</v>
      </c>
      <c r="AA155">
        <v>2946.36</v>
      </c>
      <c r="AB155">
        <v>9130</v>
      </c>
      <c r="AC155" t="b">
        <v>0</v>
      </c>
      <c r="AD155" t="b">
        <v>0</v>
      </c>
      <c r="AE155" t="b">
        <v>0</v>
      </c>
      <c r="AF155" t="b">
        <v>0</v>
      </c>
      <c r="AG155" t="s">
        <v>58</v>
      </c>
      <c r="AH155">
        <v>6</v>
      </c>
      <c r="AI155" t="s">
        <v>386</v>
      </c>
      <c r="AJ155" t="s">
        <v>387</v>
      </c>
      <c r="AL155" t="s">
        <v>388</v>
      </c>
      <c r="AM155" t="s">
        <v>245</v>
      </c>
      <c r="AN155" t="s">
        <v>63</v>
      </c>
      <c r="AO155" t="s">
        <v>790</v>
      </c>
      <c r="AP155" t="s">
        <v>857</v>
      </c>
    </row>
    <row r="156" spans="1:42" x14ac:dyDescent="0.45">
      <c r="A156" t="s">
        <v>780</v>
      </c>
      <c r="B156" t="s">
        <v>781</v>
      </c>
      <c r="C156" t="s">
        <v>782</v>
      </c>
      <c r="D156">
        <v>2026</v>
      </c>
      <c r="E156" t="s">
        <v>783</v>
      </c>
      <c r="F156" t="s">
        <v>46</v>
      </c>
      <c r="J156" t="s">
        <v>861</v>
      </c>
      <c r="K156" t="s">
        <v>862</v>
      </c>
      <c r="L156" t="s">
        <v>863</v>
      </c>
      <c r="M156" t="s">
        <v>864</v>
      </c>
      <c r="N156" t="s">
        <v>533</v>
      </c>
      <c r="O156" t="s">
        <v>534</v>
      </c>
      <c r="P156" t="s">
        <v>293</v>
      </c>
      <c r="S156">
        <v>27</v>
      </c>
      <c r="T156" t="s">
        <v>865</v>
      </c>
      <c r="U156">
        <v>1019</v>
      </c>
      <c r="V156">
        <v>18248.5</v>
      </c>
      <c r="W156">
        <v>5.5800000000000002E-2</v>
      </c>
      <c r="X156" t="s">
        <v>56</v>
      </c>
      <c r="Y156" t="s">
        <v>789</v>
      </c>
      <c r="Z156">
        <v>9.0500000000000007</v>
      </c>
      <c r="AA156">
        <v>2587.89</v>
      </c>
      <c r="AB156">
        <v>23431</v>
      </c>
      <c r="AC156" t="b">
        <v>0</v>
      </c>
      <c r="AD156" t="b">
        <v>0</v>
      </c>
      <c r="AE156" t="b">
        <v>0</v>
      </c>
      <c r="AF156" t="b">
        <v>0</v>
      </c>
      <c r="AG156" t="s">
        <v>58</v>
      </c>
      <c r="AH156">
        <v>4</v>
      </c>
      <c r="AI156" t="s">
        <v>169</v>
      </c>
      <c r="AJ156" t="s">
        <v>60</v>
      </c>
      <c r="AL156" t="s">
        <v>549</v>
      </c>
      <c r="AM156" t="s">
        <v>245</v>
      </c>
      <c r="AN156" t="s">
        <v>63</v>
      </c>
      <c r="AO156" t="s">
        <v>790</v>
      </c>
      <c r="AP156" t="s">
        <v>862</v>
      </c>
    </row>
    <row r="157" spans="1:42" x14ac:dyDescent="0.45">
      <c r="A157" t="s">
        <v>780</v>
      </c>
      <c r="B157" t="s">
        <v>781</v>
      </c>
      <c r="C157" t="s">
        <v>782</v>
      </c>
      <c r="D157">
        <v>2026</v>
      </c>
      <c r="E157" t="s">
        <v>783</v>
      </c>
      <c r="F157" t="s">
        <v>46</v>
      </c>
      <c r="J157" t="s">
        <v>866</v>
      </c>
      <c r="K157" t="s">
        <v>867</v>
      </c>
      <c r="L157" t="s">
        <v>868</v>
      </c>
      <c r="M157" t="s">
        <v>869</v>
      </c>
      <c r="N157" t="s">
        <v>533</v>
      </c>
      <c r="O157" t="s">
        <v>534</v>
      </c>
      <c r="P157" t="s">
        <v>293</v>
      </c>
      <c r="S157">
        <v>23</v>
      </c>
      <c r="T157" t="s">
        <v>870</v>
      </c>
      <c r="U157">
        <v>2074</v>
      </c>
      <c r="V157">
        <v>18248.5</v>
      </c>
      <c r="W157">
        <v>0.1137</v>
      </c>
      <c r="X157" t="s">
        <v>56</v>
      </c>
      <c r="Y157" t="s">
        <v>789</v>
      </c>
      <c r="Z157">
        <v>23.08</v>
      </c>
      <c r="AA157">
        <v>7955.34</v>
      </c>
      <c r="AB157">
        <v>183641</v>
      </c>
      <c r="AC157" t="b">
        <v>0</v>
      </c>
      <c r="AD157" t="b">
        <v>0</v>
      </c>
      <c r="AE157" t="b">
        <v>0</v>
      </c>
      <c r="AF157" t="b">
        <v>0</v>
      </c>
      <c r="AG157" t="s">
        <v>58</v>
      </c>
      <c r="AH157">
        <v>6</v>
      </c>
      <c r="AI157" t="s">
        <v>386</v>
      </c>
      <c r="AJ157" t="s">
        <v>387</v>
      </c>
      <c r="AL157" t="s">
        <v>388</v>
      </c>
      <c r="AM157" t="s">
        <v>245</v>
      </c>
      <c r="AN157" t="s">
        <v>63</v>
      </c>
      <c r="AO157" t="s">
        <v>790</v>
      </c>
      <c r="AP157" t="s">
        <v>867</v>
      </c>
    </row>
    <row r="158" spans="1:42" x14ac:dyDescent="0.45">
      <c r="A158" t="s">
        <v>780</v>
      </c>
      <c r="B158" t="s">
        <v>781</v>
      </c>
      <c r="C158" t="s">
        <v>782</v>
      </c>
      <c r="D158">
        <v>2026</v>
      </c>
      <c r="E158" t="s">
        <v>783</v>
      </c>
      <c r="F158" t="s">
        <v>46</v>
      </c>
      <c r="J158" t="s">
        <v>871</v>
      </c>
      <c r="K158" t="s">
        <v>872</v>
      </c>
      <c r="L158" t="s">
        <v>873</v>
      </c>
      <c r="M158" t="s">
        <v>874</v>
      </c>
      <c r="N158" t="s">
        <v>51</v>
      </c>
      <c r="O158" t="s">
        <v>52</v>
      </c>
      <c r="P158" t="s">
        <v>53</v>
      </c>
      <c r="S158">
        <v>26</v>
      </c>
      <c r="T158" t="s">
        <v>875</v>
      </c>
      <c r="U158">
        <v>511</v>
      </c>
      <c r="V158">
        <v>18248.5</v>
      </c>
      <c r="W158">
        <v>2.8000000000000001E-2</v>
      </c>
      <c r="X158" t="s">
        <v>56</v>
      </c>
      <c r="Y158" t="s">
        <v>789</v>
      </c>
      <c r="Z158">
        <v>0.08</v>
      </c>
      <c r="AA158">
        <v>51080.56</v>
      </c>
      <c r="AB158">
        <v>3918</v>
      </c>
      <c r="AC158" t="b">
        <v>0</v>
      </c>
      <c r="AD158" t="b">
        <v>0</v>
      </c>
      <c r="AE158" t="b">
        <v>0</v>
      </c>
      <c r="AF158" t="b">
        <v>0</v>
      </c>
      <c r="AG158" t="s">
        <v>58</v>
      </c>
      <c r="AH158">
        <v>-15</v>
      </c>
      <c r="AI158" t="s">
        <v>59</v>
      </c>
      <c r="AJ158" t="s">
        <v>60</v>
      </c>
      <c r="AK158" t="s">
        <v>78</v>
      </c>
      <c r="AL158" t="s">
        <v>79</v>
      </c>
      <c r="AM158" t="s">
        <v>245</v>
      </c>
      <c r="AN158" t="s">
        <v>63</v>
      </c>
      <c r="AO158" t="s">
        <v>790</v>
      </c>
      <c r="AP158" t="s">
        <v>872</v>
      </c>
    </row>
    <row r="159" spans="1:42" x14ac:dyDescent="0.45">
      <c r="A159" t="s">
        <v>780</v>
      </c>
      <c r="B159" t="s">
        <v>781</v>
      </c>
      <c r="C159" t="s">
        <v>782</v>
      </c>
      <c r="D159">
        <v>2026</v>
      </c>
      <c r="E159" t="s">
        <v>783</v>
      </c>
      <c r="F159" t="s">
        <v>46</v>
      </c>
      <c r="J159" t="s">
        <v>876</v>
      </c>
      <c r="K159" t="s">
        <v>877</v>
      </c>
      <c r="L159" t="s">
        <v>878</v>
      </c>
      <c r="M159" t="s">
        <v>879</v>
      </c>
      <c r="N159" t="s">
        <v>811</v>
      </c>
      <c r="O159" t="s">
        <v>812</v>
      </c>
      <c r="P159" t="s">
        <v>293</v>
      </c>
      <c r="S159">
        <v>22</v>
      </c>
      <c r="T159" t="s">
        <v>880</v>
      </c>
      <c r="U159">
        <v>1451</v>
      </c>
      <c r="V159">
        <v>18248.5</v>
      </c>
      <c r="W159">
        <v>7.9500000000000001E-2</v>
      </c>
      <c r="X159" t="s">
        <v>56</v>
      </c>
      <c r="Y159" t="s">
        <v>789</v>
      </c>
      <c r="Z159">
        <v>0.77</v>
      </c>
      <c r="AA159">
        <v>7884.23</v>
      </c>
      <c r="AB159">
        <v>6035</v>
      </c>
      <c r="AC159" t="b">
        <v>0</v>
      </c>
      <c r="AD159" t="b">
        <v>0</v>
      </c>
      <c r="AE159" t="b">
        <v>0</v>
      </c>
      <c r="AF159" t="b">
        <v>0</v>
      </c>
      <c r="AG159" t="s">
        <v>58</v>
      </c>
      <c r="AH159">
        <v>4</v>
      </c>
      <c r="AI159" t="s">
        <v>169</v>
      </c>
      <c r="AJ159" t="s">
        <v>60</v>
      </c>
      <c r="AL159" t="s">
        <v>549</v>
      </c>
      <c r="AM159" t="s">
        <v>245</v>
      </c>
      <c r="AN159" t="s">
        <v>63</v>
      </c>
      <c r="AO159" t="s">
        <v>790</v>
      </c>
      <c r="AP159" t="s">
        <v>877</v>
      </c>
    </row>
    <row r="160" spans="1:42" x14ac:dyDescent="0.45">
      <c r="A160" t="s">
        <v>780</v>
      </c>
      <c r="B160" t="s">
        <v>781</v>
      </c>
      <c r="C160" t="s">
        <v>782</v>
      </c>
      <c r="D160">
        <v>2026</v>
      </c>
      <c r="E160" t="s">
        <v>783</v>
      </c>
      <c r="F160" t="s">
        <v>46</v>
      </c>
      <c r="J160" t="s">
        <v>881</v>
      </c>
      <c r="K160" t="s">
        <v>882</v>
      </c>
      <c r="L160" t="s">
        <v>883</v>
      </c>
      <c r="M160" t="s">
        <v>884</v>
      </c>
      <c r="N160" t="s">
        <v>51</v>
      </c>
      <c r="O160" t="s">
        <v>52</v>
      </c>
      <c r="P160" t="s">
        <v>53</v>
      </c>
      <c r="S160">
        <v>29</v>
      </c>
      <c r="T160" t="s">
        <v>885</v>
      </c>
      <c r="U160">
        <v>1390</v>
      </c>
      <c r="V160">
        <v>18248.5</v>
      </c>
      <c r="W160">
        <v>7.6200000000000004E-2</v>
      </c>
      <c r="X160" t="s">
        <v>56</v>
      </c>
      <c r="Y160" t="s">
        <v>789</v>
      </c>
      <c r="Z160">
        <v>7.12</v>
      </c>
      <c r="AA160">
        <v>5143.04</v>
      </c>
      <c r="AB160">
        <v>36610</v>
      </c>
      <c r="AC160" t="b">
        <v>0</v>
      </c>
      <c r="AD160" t="b">
        <v>0</v>
      </c>
      <c r="AE160" t="b">
        <v>0</v>
      </c>
      <c r="AF160" t="b">
        <v>0</v>
      </c>
      <c r="AG160" t="s">
        <v>58</v>
      </c>
      <c r="AH160">
        <v>8</v>
      </c>
      <c r="AI160" t="s">
        <v>169</v>
      </c>
      <c r="AJ160" t="s">
        <v>60</v>
      </c>
      <c r="AL160" t="s">
        <v>380</v>
      </c>
      <c r="AM160" t="s">
        <v>245</v>
      </c>
      <c r="AN160" t="s">
        <v>63</v>
      </c>
      <c r="AO160" t="s">
        <v>790</v>
      </c>
      <c r="AP160" t="s">
        <v>882</v>
      </c>
    </row>
    <row r="161" spans="1:42" x14ac:dyDescent="0.45">
      <c r="A161" t="s">
        <v>780</v>
      </c>
      <c r="B161" t="s">
        <v>781</v>
      </c>
      <c r="C161" t="s">
        <v>782</v>
      </c>
      <c r="D161">
        <v>2026</v>
      </c>
      <c r="E161" t="s">
        <v>783</v>
      </c>
      <c r="F161" t="s">
        <v>46</v>
      </c>
      <c r="J161" t="s">
        <v>886</v>
      </c>
      <c r="K161" t="s">
        <v>887</v>
      </c>
      <c r="L161" t="s">
        <v>888</v>
      </c>
      <c r="M161" t="s">
        <v>889</v>
      </c>
      <c r="N161" t="s">
        <v>291</v>
      </c>
      <c r="O161" t="s">
        <v>292</v>
      </c>
      <c r="P161" t="s">
        <v>293</v>
      </c>
      <c r="S161">
        <v>11</v>
      </c>
      <c r="T161" t="s">
        <v>890</v>
      </c>
      <c r="U161">
        <v>623</v>
      </c>
      <c r="V161">
        <v>18248.5</v>
      </c>
      <c r="W161">
        <v>3.4099999999999998E-2</v>
      </c>
      <c r="X161" t="s">
        <v>56</v>
      </c>
      <c r="Y161" t="s">
        <v>789</v>
      </c>
      <c r="Z161">
        <v>0.79</v>
      </c>
      <c r="AA161">
        <v>2747.5</v>
      </c>
      <c r="AB161">
        <v>2160</v>
      </c>
      <c r="AC161" t="b">
        <v>0</v>
      </c>
      <c r="AD161" t="b">
        <v>0</v>
      </c>
      <c r="AE161" t="b">
        <v>0</v>
      </c>
      <c r="AF161" t="b">
        <v>0</v>
      </c>
      <c r="AG161" t="s">
        <v>58</v>
      </c>
      <c r="AH161">
        <v>4</v>
      </c>
      <c r="AI161" t="s">
        <v>169</v>
      </c>
      <c r="AJ161" t="s">
        <v>60</v>
      </c>
      <c r="AL161" t="s">
        <v>549</v>
      </c>
      <c r="AM161" t="s">
        <v>245</v>
      </c>
      <c r="AN161" t="s">
        <v>63</v>
      </c>
      <c r="AO161" t="s">
        <v>790</v>
      </c>
      <c r="AP161" t="s">
        <v>887</v>
      </c>
    </row>
    <row r="162" spans="1:42" x14ac:dyDescent="0.45">
      <c r="A162" t="s">
        <v>780</v>
      </c>
      <c r="B162" t="s">
        <v>781</v>
      </c>
      <c r="C162" t="s">
        <v>782</v>
      </c>
      <c r="D162">
        <v>2026</v>
      </c>
      <c r="E162" t="s">
        <v>783</v>
      </c>
      <c r="F162" t="s">
        <v>46</v>
      </c>
      <c r="J162" t="s">
        <v>891</v>
      </c>
      <c r="K162" t="s">
        <v>892</v>
      </c>
      <c r="L162" t="s">
        <v>893</v>
      </c>
      <c r="M162" t="s">
        <v>894</v>
      </c>
      <c r="N162" t="s">
        <v>51</v>
      </c>
      <c r="O162" t="s">
        <v>52</v>
      </c>
      <c r="P162" t="s">
        <v>53</v>
      </c>
      <c r="S162">
        <v>25</v>
      </c>
      <c r="T162" t="s">
        <v>895</v>
      </c>
      <c r="U162">
        <v>592</v>
      </c>
      <c r="V162">
        <v>18248.5</v>
      </c>
      <c r="W162">
        <v>3.2399999999999998E-2</v>
      </c>
      <c r="X162" t="s">
        <v>56</v>
      </c>
      <c r="Y162" t="s">
        <v>789</v>
      </c>
      <c r="Z162">
        <v>0.12</v>
      </c>
      <c r="AA162">
        <v>44215.22</v>
      </c>
      <c r="AB162">
        <v>5268</v>
      </c>
      <c r="AC162" t="b">
        <v>0</v>
      </c>
      <c r="AD162" t="b">
        <v>0</v>
      </c>
      <c r="AE162" t="b">
        <v>0</v>
      </c>
      <c r="AF162" t="b">
        <v>0</v>
      </c>
      <c r="AG162" t="s">
        <v>58</v>
      </c>
      <c r="AH162">
        <v>8</v>
      </c>
      <c r="AI162" t="s">
        <v>169</v>
      </c>
      <c r="AJ162" t="s">
        <v>60</v>
      </c>
      <c r="AL162" t="s">
        <v>380</v>
      </c>
      <c r="AM162" t="s">
        <v>245</v>
      </c>
      <c r="AN162" t="s">
        <v>63</v>
      </c>
      <c r="AO162" t="s">
        <v>790</v>
      </c>
      <c r="AP162" t="s">
        <v>892</v>
      </c>
    </row>
    <row r="163" spans="1:42" x14ac:dyDescent="0.45">
      <c r="A163" t="s">
        <v>780</v>
      </c>
      <c r="B163" t="s">
        <v>781</v>
      </c>
      <c r="C163" t="s">
        <v>782</v>
      </c>
      <c r="D163">
        <v>2026</v>
      </c>
      <c r="E163" t="s">
        <v>783</v>
      </c>
      <c r="F163" t="s">
        <v>46</v>
      </c>
      <c r="J163" t="s">
        <v>896</v>
      </c>
      <c r="K163" t="s">
        <v>897</v>
      </c>
      <c r="L163" t="s">
        <v>898</v>
      </c>
      <c r="M163" t="s">
        <v>899</v>
      </c>
      <c r="N163" t="s">
        <v>533</v>
      </c>
      <c r="O163" t="s">
        <v>534</v>
      </c>
      <c r="P163" t="s">
        <v>293</v>
      </c>
      <c r="S163">
        <v>21</v>
      </c>
      <c r="T163" t="s">
        <v>900</v>
      </c>
      <c r="U163">
        <v>1054</v>
      </c>
      <c r="V163">
        <v>18248.5</v>
      </c>
      <c r="W163">
        <v>5.7799999999999997E-2</v>
      </c>
      <c r="X163" t="s">
        <v>56</v>
      </c>
      <c r="Y163" t="s">
        <v>789</v>
      </c>
      <c r="Z163">
        <v>6.2</v>
      </c>
      <c r="AA163">
        <v>20434.28</v>
      </c>
      <c r="AB163">
        <v>126746</v>
      </c>
      <c r="AC163" t="b">
        <v>0</v>
      </c>
      <c r="AD163" t="b">
        <v>0</v>
      </c>
      <c r="AE163" t="b">
        <v>0</v>
      </c>
      <c r="AF163" t="b">
        <v>0</v>
      </c>
      <c r="AG163" t="s">
        <v>58</v>
      </c>
      <c r="AH163">
        <v>4</v>
      </c>
      <c r="AI163" t="s">
        <v>169</v>
      </c>
      <c r="AJ163" t="s">
        <v>60</v>
      </c>
      <c r="AL163" t="s">
        <v>549</v>
      </c>
      <c r="AM163" t="s">
        <v>245</v>
      </c>
      <c r="AN163" t="s">
        <v>63</v>
      </c>
      <c r="AO163" t="s">
        <v>790</v>
      </c>
      <c r="AP163" t="s">
        <v>897</v>
      </c>
    </row>
    <row r="164" spans="1:42" x14ac:dyDescent="0.45">
      <c r="A164" t="s">
        <v>780</v>
      </c>
      <c r="B164" t="s">
        <v>781</v>
      </c>
      <c r="C164" t="s">
        <v>782</v>
      </c>
      <c r="D164">
        <v>2026</v>
      </c>
      <c r="E164" t="s">
        <v>783</v>
      </c>
      <c r="F164" t="s">
        <v>46</v>
      </c>
      <c r="J164" t="s">
        <v>901</v>
      </c>
      <c r="K164" t="s">
        <v>902</v>
      </c>
      <c r="L164" t="s">
        <v>903</v>
      </c>
      <c r="M164" t="s">
        <v>904</v>
      </c>
      <c r="N164" t="s">
        <v>533</v>
      </c>
      <c r="O164" t="s">
        <v>534</v>
      </c>
      <c r="P164" t="s">
        <v>293</v>
      </c>
      <c r="S164">
        <v>13</v>
      </c>
      <c r="T164" t="s">
        <v>905</v>
      </c>
      <c r="U164">
        <v>1485</v>
      </c>
      <c r="V164">
        <v>18248.5</v>
      </c>
      <c r="W164">
        <v>8.14E-2</v>
      </c>
      <c r="X164" t="s">
        <v>56</v>
      </c>
      <c r="Y164" t="s">
        <v>789</v>
      </c>
      <c r="Z164">
        <v>9.14</v>
      </c>
      <c r="AA164">
        <v>6153.18</v>
      </c>
      <c r="AB164">
        <v>56236</v>
      </c>
      <c r="AC164" t="b">
        <v>0</v>
      </c>
      <c r="AD164" t="b">
        <v>0</v>
      </c>
      <c r="AE164" t="b">
        <v>0</v>
      </c>
      <c r="AF164" t="b">
        <v>0</v>
      </c>
      <c r="AG164" t="s">
        <v>58</v>
      </c>
      <c r="AH164">
        <v>4</v>
      </c>
      <c r="AI164" t="s">
        <v>169</v>
      </c>
      <c r="AJ164" t="s">
        <v>60</v>
      </c>
      <c r="AL164" t="s">
        <v>549</v>
      </c>
      <c r="AM164" t="s">
        <v>245</v>
      </c>
      <c r="AN164" t="s">
        <v>63</v>
      </c>
      <c r="AO164" t="s">
        <v>790</v>
      </c>
      <c r="AP164" t="s">
        <v>902</v>
      </c>
    </row>
    <row r="165" spans="1:42" x14ac:dyDescent="0.45">
      <c r="A165" t="s">
        <v>780</v>
      </c>
      <c r="B165" t="s">
        <v>781</v>
      </c>
      <c r="C165" t="s">
        <v>782</v>
      </c>
      <c r="D165">
        <v>2026</v>
      </c>
      <c r="E165" t="s">
        <v>783</v>
      </c>
      <c r="F165" t="s">
        <v>46</v>
      </c>
      <c r="G165">
        <v>6</v>
      </c>
      <c r="J165" t="s">
        <v>906</v>
      </c>
      <c r="K165" t="s">
        <v>907</v>
      </c>
      <c r="L165" t="s">
        <v>908</v>
      </c>
      <c r="M165" t="s">
        <v>909</v>
      </c>
      <c r="N165" t="s">
        <v>359</v>
      </c>
      <c r="O165" t="s">
        <v>360</v>
      </c>
      <c r="P165" t="s">
        <v>293</v>
      </c>
      <c r="S165">
        <v>2</v>
      </c>
      <c r="T165" t="s">
        <v>910</v>
      </c>
      <c r="U165">
        <v>1742</v>
      </c>
      <c r="V165">
        <v>18248.5</v>
      </c>
      <c r="W165">
        <v>9.5500000000000002E-2</v>
      </c>
      <c r="X165" t="s">
        <v>56</v>
      </c>
      <c r="Y165" t="s">
        <v>789</v>
      </c>
      <c r="Z165">
        <v>0.02</v>
      </c>
      <c r="AA165">
        <v>2250.89</v>
      </c>
      <c r="AB165">
        <v>47</v>
      </c>
      <c r="AC165" t="b">
        <v>0</v>
      </c>
      <c r="AD165" t="b">
        <v>0</v>
      </c>
      <c r="AE165" t="b">
        <v>0</v>
      </c>
      <c r="AF165" t="b">
        <v>0</v>
      </c>
      <c r="AG165" t="s">
        <v>58</v>
      </c>
      <c r="AH165">
        <v>10</v>
      </c>
      <c r="AI165" t="s">
        <v>386</v>
      </c>
      <c r="AJ165" t="s">
        <v>387</v>
      </c>
      <c r="AL165" t="s">
        <v>609</v>
      </c>
      <c r="AM165" t="s">
        <v>245</v>
      </c>
      <c r="AN165" t="s">
        <v>63</v>
      </c>
      <c r="AO165" t="s">
        <v>790</v>
      </c>
      <c r="AP165" t="s">
        <v>907</v>
      </c>
    </row>
    <row r="166" spans="1:42" x14ac:dyDescent="0.45">
      <c r="A166" t="s">
        <v>780</v>
      </c>
      <c r="B166" t="s">
        <v>781</v>
      </c>
      <c r="C166" t="s">
        <v>782</v>
      </c>
      <c r="D166">
        <v>2026</v>
      </c>
      <c r="E166" t="s">
        <v>783</v>
      </c>
      <c r="F166" t="s">
        <v>46</v>
      </c>
      <c r="G166">
        <v>1</v>
      </c>
      <c r="J166" t="s">
        <v>911</v>
      </c>
      <c r="K166" t="s">
        <v>912</v>
      </c>
      <c r="L166" t="s">
        <v>913</v>
      </c>
      <c r="M166" t="s">
        <v>914</v>
      </c>
      <c r="N166" t="s">
        <v>359</v>
      </c>
      <c r="O166" t="s">
        <v>360</v>
      </c>
      <c r="P166" t="s">
        <v>293</v>
      </c>
      <c r="S166">
        <v>20</v>
      </c>
      <c r="T166" t="s">
        <v>915</v>
      </c>
      <c r="U166">
        <v>981</v>
      </c>
      <c r="V166">
        <v>18248.5</v>
      </c>
      <c r="W166">
        <v>5.3800000000000001E-2</v>
      </c>
      <c r="X166" t="s">
        <v>56</v>
      </c>
      <c r="Y166" t="s">
        <v>789</v>
      </c>
      <c r="Z166">
        <v>36.08</v>
      </c>
      <c r="AA166">
        <v>309.08</v>
      </c>
      <c r="AB166">
        <v>11151</v>
      </c>
      <c r="AC166" t="b">
        <v>0</v>
      </c>
      <c r="AD166" t="b">
        <v>0</v>
      </c>
      <c r="AE166" t="b">
        <v>0</v>
      </c>
      <c r="AF166" t="b">
        <v>0</v>
      </c>
      <c r="AG166" t="s">
        <v>58</v>
      </c>
      <c r="AH166">
        <v>8</v>
      </c>
      <c r="AI166" t="s">
        <v>386</v>
      </c>
      <c r="AJ166" t="s">
        <v>387</v>
      </c>
      <c r="AL166" t="s">
        <v>796</v>
      </c>
      <c r="AM166" t="s">
        <v>245</v>
      </c>
      <c r="AN166" t="s">
        <v>63</v>
      </c>
      <c r="AO166" t="s">
        <v>790</v>
      </c>
      <c r="AP166" t="s">
        <v>912</v>
      </c>
    </row>
    <row r="167" spans="1:42" x14ac:dyDescent="0.45">
      <c r="A167" t="s">
        <v>780</v>
      </c>
      <c r="B167" t="s">
        <v>781</v>
      </c>
      <c r="C167" t="s">
        <v>782</v>
      </c>
      <c r="D167">
        <v>2026</v>
      </c>
      <c r="E167" t="s">
        <v>783</v>
      </c>
      <c r="F167" t="s">
        <v>46</v>
      </c>
      <c r="G167">
        <v>3</v>
      </c>
      <c r="J167" t="s">
        <v>916</v>
      </c>
      <c r="K167" t="s">
        <v>917</v>
      </c>
      <c r="L167" t="s">
        <v>918</v>
      </c>
      <c r="M167" t="s">
        <v>919</v>
      </c>
      <c r="N167" t="s">
        <v>51</v>
      </c>
      <c r="O167" t="s">
        <v>52</v>
      </c>
      <c r="P167" t="s">
        <v>53</v>
      </c>
      <c r="S167">
        <v>1</v>
      </c>
      <c r="T167" t="s">
        <v>920</v>
      </c>
      <c r="U167">
        <v>20342</v>
      </c>
      <c r="V167">
        <v>18248.5</v>
      </c>
      <c r="W167">
        <v>1.1147</v>
      </c>
      <c r="X167" t="s">
        <v>70</v>
      </c>
      <c r="Y167" t="s">
        <v>789</v>
      </c>
      <c r="Z167">
        <v>24.79</v>
      </c>
      <c r="AA167">
        <v>256470.82</v>
      </c>
      <c r="AB167">
        <v>6356956</v>
      </c>
      <c r="AC167" t="b">
        <v>1</v>
      </c>
      <c r="AD167" t="b">
        <v>1</v>
      </c>
      <c r="AE167" t="b">
        <v>0</v>
      </c>
      <c r="AF167" t="b">
        <v>0</v>
      </c>
      <c r="AG167" t="s">
        <v>58</v>
      </c>
      <c r="AH167">
        <v>14</v>
      </c>
      <c r="AI167" t="s">
        <v>59</v>
      </c>
      <c r="AJ167" t="s">
        <v>71</v>
      </c>
      <c r="AL167" t="s">
        <v>244</v>
      </c>
      <c r="AM167" t="s">
        <v>245</v>
      </c>
      <c r="AN167" t="s">
        <v>63</v>
      </c>
      <c r="AO167" t="s">
        <v>790</v>
      </c>
      <c r="AP167" t="s">
        <v>917</v>
      </c>
    </row>
    <row r="168" spans="1:42" x14ac:dyDescent="0.45">
      <c r="A168" t="s">
        <v>780</v>
      </c>
      <c r="B168" t="s">
        <v>781</v>
      </c>
      <c r="C168" t="s">
        <v>782</v>
      </c>
      <c r="D168">
        <v>2026</v>
      </c>
      <c r="E168" t="s">
        <v>783</v>
      </c>
      <c r="F168" t="s">
        <v>46</v>
      </c>
      <c r="G168">
        <v>3</v>
      </c>
      <c r="J168" t="s">
        <v>921</v>
      </c>
      <c r="K168" t="s">
        <v>922</v>
      </c>
      <c r="L168" t="s">
        <v>923</v>
      </c>
      <c r="M168" t="s">
        <v>924</v>
      </c>
      <c r="N168" t="s">
        <v>359</v>
      </c>
      <c r="O168" t="s">
        <v>360</v>
      </c>
      <c r="P168" t="s">
        <v>293</v>
      </c>
      <c r="S168">
        <v>1</v>
      </c>
      <c r="T168" t="s">
        <v>925</v>
      </c>
      <c r="U168">
        <v>4262</v>
      </c>
      <c r="V168">
        <v>18248.5</v>
      </c>
      <c r="W168">
        <v>0.2336</v>
      </c>
      <c r="X168" t="s">
        <v>56</v>
      </c>
      <c r="Y168" t="s">
        <v>789</v>
      </c>
      <c r="Z168">
        <v>21.79</v>
      </c>
      <c r="AA168">
        <v>1489.11</v>
      </c>
      <c r="AB168">
        <v>32442</v>
      </c>
      <c r="AC168" t="b">
        <v>0</v>
      </c>
      <c r="AD168" t="b">
        <v>0</v>
      </c>
      <c r="AE168" t="b">
        <v>0</v>
      </c>
      <c r="AF168" t="b">
        <v>0</v>
      </c>
      <c r="AG168" t="s">
        <v>58</v>
      </c>
      <c r="AH168">
        <v>10</v>
      </c>
      <c r="AI168" t="s">
        <v>386</v>
      </c>
      <c r="AJ168" t="s">
        <v>387</v>
      </c>
      <c r="AL168" t="s">
        <v>609</v>
      </c>
      <c r="AM168" t="s">
        <v>245</v>
      </c>
      <c r="AN168" t="s">
        <v>63</v>
      </c>
      <c r="AO168" t="s">
        <v>790</v>
      </c>
      <c r="AP168" t="s">
        <v>922</v>
      </c>
    </row>
    <row r="169" spans="1:42" x14ac:dyDescent="0.45">
      <c r="A169" t="s">
        <v>780</v>
      </c>
      <c r="B169" t="s">
        <v>781</v>
      </c>
      <c r="C169" t="s">
        <v>782</v>
      </c>
      <c r="D169">
        <v>2026</v>
      </c>
      <c r="E169" t="s">
        <v>783</v>
      </c>
      <c r="F169" t="s">
        <v>46</v>
      </c>
      <c r="G169">
        <v>4</v>
      </c>
      <c r="J169" t="s">
        <v>926</v>
      </c>
      <c r="K169" t="s">
        <v>927</v>
      </c>
      <c r="L169" t="s">
        <v>928</v>
      </c>
      <c r="M169" t="s">
        <v>929</v>
      </c>
      <c r="N169" t="s">
        <v>51</v>
      </c>
      <c r="O169" t="s">
        <v>52</v>
      </c>
      <c r="P169" t="s">
        <v>53</v>
      </c>
      <c r="S169">
        <v>0</v>
      </c>
      <c r="T169" t="s">
        <v>930</v>
      </c>
      <c r="U169">
        <v>17401</v>
      </c>
      <c r="V169">
        <v>18248.5</v>
      </c>
      <c r="W169">
        <v>0.9536</v>
      </c>
      <c r="X169" t="s">
        <v>70</v>
      </c>
      <c r="Y169" t="s">
        <v>789</v>
      </c>
      <c r="Z169">
        <v>17.739999999999998</v>
      </c>
      <c r="AA169">
        <v>256147.79</v>
      </c>
      <c r="AB169">
        <v>4545242</v>
      </c>
      <c r="AC169" t="b">
        <v>1</v>
      </c>
      <c r="AD169" t="b">
        <v>1</v>
      </c>
      <c r="AE169" t="b">
        <v>0</v>
      </c>
      <c r="AF169" t="b">
        <v>0</v>
      </c>
      <c r="AG169" t="s">
        <v>58</v>
      </c>
      <c r="AH169">
        <v>14</v>
      </c>
      <c r="AI169" t="s">
        <v>59</v>
      </c>
      <c r="AJ169" t="s">
        <v>71</v>
      </c>
      <c r="AL169" t="s">
        <v>244</v>
      </c>
      <c r="AM169" t="s">
        <v>245</v>
      </c>
      <c r="AN169" t="s">
        <v>63</v>
      </c>
      <c r="AO169" t="s">
        <v>790</v>
      </c>
      <c r="AP169" t="s">
        <v>927</v>
      </c>
    </row>
    <row r="170" spans="1:42" x14ac:dyDescent="0.45">
      <c r="A170" t="s">
        <v>780</v>
      </c>
      <c r="B170" t="s">
        <v>781</v>
      </c>
      <c r="C170" t="s">
        <v>782</v>
      </c>
      <c r="D170">
        <v>2026</v>
      </c>
      <c r="E170" t="s">
        <v>783</v>
      </c>
      <c r="F170" t="s">
        <v>46</v>
      </c>
      <c r="G170">
        <v>3</v>
      </c>
      <c r="J170" t="s">
        <v>931</v>
      </c>
      <c r="K170" t="s">
        <v>932</v>
      </c>
      <c r="L170" t="s">
        <v>933</v>
      </c>
      <c r="M170" t="s">
        <v>934</v>
      </c>
      <c r="N170" t="s">
        <v>359</v>
      </c>
      <c r="O170" t="s">
        <v>360</v>
      </c>
      <c r="P170" t="s">
        <v>293</v>
      </c>
      <c r="S170">
        <v>2</v>
      </c>
      <c r="T170" t="s">
        <v>935</v>
      </c>
      <c r="U170">
        <v>2050</v>
      </c>
      <c r="V170">
        <v>18248.5</v>
      </c>
      <c r="W170">
        <v>0.1123</v>
      </c>
      <c r="X170" t="s">
        <v>56</v>
      </c>
      <c r="Y170" t="s">
        <v>789</v>
      </c>
      <c r="Z170">
        <v>21.83</v>
      </c>
      <c r="AA170">
        <v>2414.33</v>
      </c>
      <c r="AB170">
        <v>52700</v>
      </c>
      <c r="AC170" t="b">
        <v>0</v>
      </c>
      <c r="AD170" t="b">
        <v>0</v>
      </c>
      <c r="AE170" t="b">
        <v>0</v>
      </c>
      <c r="AF170" t="b">
        <v>0</v>
      </c>
      <c r="AG170" t="s">
        <v>58</v>
      </c>
      <c r="AH170">
        <v>10</v>
      </c>
      <c r="AI170" t="s">
        <v>386</v>
      </c>
      <c r="AJ170" t="s">
        <v>387</v>
      </c>
      <c r="AL170" t="s">
        <v>609</v>
      </c>
      <c r="AM170" t="s">
        <v>245</v>
      </c>
      <c r="AN170" t="s">
        <v>63</v>
      </c>
      <c r="AO170" t="s">
        <v>790</v>
      </c>
      <c r="AP170" t="s">
        <v>932</v>
      </c>
    </row>
    <row r="171" spans="1:42" x14ac:dyDescent="0.45">
      <c r="A171" t="s">
        <v>780</v>
      </c>
      <c r="B171" t="s">
        <v>781</v>
      </c>
      <c r="C171" t="s">
        <v>782</v>
      </c>
      <c r="D171">
        <v>2026</v>
      </c>
      <c r="E171" t="s">
        <v>783</v>
      </c>
      <c r="F171" t="s">
        <v>46</v>
      </c>
      <c r="G171">
        <v>6</v>
      </c>
      <c r="J171" t="s">
        <v>282</v>
      </c>
      <c r="K171" t="s">
        <v>283</v>
      </c>
      <c r="L171" t="s">
        <v>284</v>
      </c>
      <c r="M171" t="s">
        <v>285</v>
      </c>
      <c r="N171" t="s">
        <v>51</v>
      </c>
      <c r="O171" t="s">
        <v>52</v>
      </c>
      <c r="P171" t="s">
        <v>53</v>
      </c>
      <c r="S171">
        <v>10</v>
      </c>
      <c r="T171" t="s">
        <v>286</v>
      </c>
      <c r="U171">
        <v>13491</v>
      </c>
      <c r="V171">
        <v>18248.5</v>
      </c>
      <c r="W171">
        <v>0.73929999999999996</v>
      </c>
      <c r="X171" t="s">
        <v>70</v>
      </c>
      <c r="Y171" t="s">
        <v>789</v>
      </c>
      <c r="Z171">
        <v>3.74</v>
      </c>
      <c r="AA171">
        <v>847957.82</v>
      </c>
      <c r="AB171">
        <v>3175279</v>
      </c>
      <c r="AC171" t="b">
        <v>1</v>
      </c>
      <c r="AD171" t="b">
        <v>1</v>
      </c>
      <c r="AE171" t="b">
        <v>0</v>
      </c>
      <c r="AF171" t="b">
        <v>0</v>
      </c>
      <c r="AG171" t="s">
        <v>58</v>
      </c>
      <c r="AH171">
        <v>14</v>
      </c>
      <c r="AI171" t="s">
        <v>59</v>
      </c>
      <c r="AJ171" t="s">
        <v>71</v>
      </c>
      <c r="AL171" t="s">
        <v>244</v>
      </c>
      <c r="AM171" t="s">
        <v>245</v>
      </c>
      <c r="AN171" t="s">
        <v>63</v>
      </c>
      <c r="AO171" t="s">
        <v>790</v>
      </c>
      <c r="AP171" t="s">
        <v>283</v>
      </c>
    </row>
    <row r="172" spans="1:42" x14ac:dyDescent="0.45">
      <c r="A172" t="s">
        <v>780</v>
      </c>
      <c r="B172" t="s">
        <v>781</v>
      </c>
      <c r="C172" t="s">
        <v>782</v>
      </c>
      <c r="D172">
        <v>2026</v>
      </c>
      <c r="E172" t="s">
        <v>783</v>
      </c>
      <c r="F172" t="s">
        <v>46</v>
      </c>
      <c r="G172">
        <v>6</v>
      </c>
      <c r="J172" t="s">
        <v>936</v>
      </c>
      <c r="K172" t="s">
        <v>937</v>
      </c>
      <c r="L172" t="s">
        <v>938</v>
      </c>
      <c r="M172" t="s">
        <v>939</v>
      </c>
      <c r="N172" t="s">
        <v>533</v>
      </c>
      <c r="O172" t="s">
        <v>534</v>
      </c>
      <c r="P172" t="s">
        <v>293</v>
      </c>
      <c r="S172">
        <v>3</v>
      </c>
      <c r="T172" t="s">
        <v>940</v>
      </c>
      <c r="U172">
        <v>9292</v>
      </c>
      <c r="V172">
        <v>18248.5</v>
      </c>
      <c r="W172">
        <v>0.50919999999999999</v>
      </c>
      <c r="X172" t="s">
        <v>196</v>
      </c>
      <c r="Y172" t="s">
        <v>789</v>
      </c>
      <c r="Z172">
        <v>4.08</v>
      </c>
      <c r="AA172">
        <v>3925.51</v>
      </c>
      <c r="AB172">
        <v>16008</v>
      </c>
      <c r="AC172" t="b">
        <v>0</v>
      </c>
      <c r="AD172" t="b">
        <v>0</v>
      </c>
      <c r="AE172" t="b">
        <v>0</v>
      </c>
      <c r="AF172" t="b">
        <v>0</v>
      </c>
      <c r="AG172" t="s">
        <v>58</v>
      </c>
      <c r="AH172">
        <v>10</v>
      </c>
      <c r="AI172" t="s">
        <v>386</v>
      </c>
      <c r="AJ172" t="s">
        <v>387</v>
      </c>
      <c r="AL172" t="s">
        <v>609</v>
      </c>
      <c r="AM172" t="s">
        <v>245</v>
      </c>
      <c r="AN172" t="s">
        <v>63</v>
      </c>
      <c r="AO172" t="s">
        <v>790</v>
      </c>
      <c r="AP172" t="s">
        <v>937</v>
      </c>
    </row>
    <row r="173" spans="1:42" x14ac:dyDescent="0.45">
      <c r="A173" t="s">
        <v>780</v>
      </c>
      <c r="B173" t="s">
        <v>781</v>
      </c>
      <c r="C173" t="s">
        <v>782</v>
      </c>
      <c r="D173">
        <v>2026</v>
      </c>
      <c r="E173" t="s">
        <v>783</v>
      </c>
      <c r="F173" t="s">
        <v>46</v>
      </c>
      <c r="G173">
        <v>6</v>
      </c>
      <c r="J173" t="s">
        <v>941</v>
      </c>
      <c r="K173" t="s">
        <v>942</v>
      </c>
      <c r="L173" t="s">
        <v>943</v>
      </c>
      <c r="M173" t="s">
        <v>944</v>
      </c>
      <c r="N173" t="s">
        <v>291</v>
      </c>
      <c r="O173" t="s">
        <v>292</v>
      </c>
      <c r="P173" t="s">
        <v>293</v>
      </c>
      <c r="S173">
        <v>1</v>
      </c>
      <c r="T173" t="s">
        <v>945</v>
      </c>
      <c r="U173">
        <v>1506</v>
      </c>
      <c r="V173">
        <v>18248.5</v>
      </c>
      <c r="W173">
        <v>8.2500000000000004E-2</v>
      </c>
      <c r="X173" t="s">
        <v>56</v>
      </c>
      <c r="Y173" t="s">
        <v>789</v>
      </c>
      <c r="Z173">
        <v>6.11</v>
      </c>
      <c r="AA173">
        <v>13781.83</v>
      </c>
      <c r="AB173">
        <v>84196</v>
      </c>
      <c r="AC173" t="b">
        <v>0</v>
      </c>
      <c r="AD173" t="b">
        <v>0</v>
      </c>
      <c r="AE173" t="b">
        <v>0</v>
      </c>
      <c r="AF173" t="b">
        <v>0</v>
      </c>
      <c r="AG173" t="s">
        <v>58</v>
      </c>
      <c r="AH173">
        <v>-15</v>
      </c>
      <c r="AI173" t="s">
        <v>59</v>
      </c>
      <c r="AJ173" t="s">
        <v>60</v>
      </c>
      <c r="AK173" t="s">
        <v>433</v>
      </c>
      <c r="AL173" t="s">
        <v>434</v>
      </c>
      <c r="AM173" t="s">
        <v>245</v>
      </c>
      <c r="AN173" t="s">
        <v>63</v>
      </c>
      <c r="AO173" t="s">
        <v>790</v>
      </c>
      <c r="AP173" t="s">
        <v>942</v>
      </c>
    </row>
    <row r="174" spans="1:42" x14ac:dyDescent="0.45">
      <c r="A174" t="s">
        <v>780</v>
      </c>
      <c r="B174" t="s">
        <v>781</v>
      </c>
      <c r="C174" t="s">
        <v>782</v>
      </c>
      <c r="D174">
        <v>2026</v>
      </c>
      <c r="E174" t="s">
        <v>783</v>
      </c>
      <c r="F174" t="s">
        <v>46</v>
      </c>
      <c r="G174">
        <v>4</v>
      </c>
      <c r="J174" t="s">
        <v>946</v>
      </c>
      <c r="K174" t="s">
        <v>947</v>
      </c>
      <c r="L174" t="s">
        <v>948</v>
      </c>
      <c r="M174" t="s">
        <v>949</v>
      </c>
      <c r="N174" t="s">
        <v>89</v>
      </c>
      <c r="O174" t="s">
        <v>90</v>
      </c>
      <c r="P174" t="s">
        <v>91</v>
      </c>
      <c r="S174">
        <v>1</v>
      </c>
      <c r="T174" t="s">
        <v>950</v>
      </c>
      <c r="U174">
        <v>990</v>
      </c>
      <c r="V174">
        <v>18248.5</v>
      </c>
      <c r="W174">
        <v>5.4300000000000001E-2</v>
      </c>
      <c r="X174" t="s">
        <v>56</v>
      </c>
      <c r="Y174" t="s">
        <v>789</v>
      </c>
      <c r="Z174">
        <v>20.149999999999999</v>
      </c>
      <c r="AA174">
        <v>3003.23</v>
      </c>
      <c r="AB174">
        <v>60520</v>
      </c>
      <c r="AC174" t="b">
        <v>0</v>
      </c>
      <c r="AD174" t="b">
        <v>0</v>
      </c>
      <c r="AE174" t="b">
        <v>0</v>
      </c>
      <c r="AF174" t="b">
        <v>0</v>
      </c>
      <c r="AG174" t="s">
        <v>58</v>
      </c>
      <c r="AH174">
        <v>-15</v>
      </c>
      <c r="AI174" t="s">
        <v>59</v>
      </c>
      <c r="AJ174" t="s">
        <v>60</v>
      </c>
      <c r="AK174" t="s">
        <v>951</v>
      </c>
      <c r="AL174" t="s">
        <v>952</v>
      </c>
      <c r="AM174" t="s">
        <v>245</v>
      </c>
      <c r="AN174" t="s">
        <v>63</v>
      </c>
      <c r="AO174" t="s">
        <v>790</v>
      </c>
      <c r="AP174" t="s">
        <v>947</v>
      </c>
    </row>
    <row r="175" spans="1:42" x14ac:dyDescent="0.45">
      <c r="A175" t="s">
        <v>780</v>
      </c>
      <c r="B175" t="s">
        <v>781</v>
      </c>
      <c r="C175" t="s">
        <v>782</v>
      </c>
      <c r="D175">
        <v>2026</v>
      </c>
      <c r="E175" t="s">
        <v>783</v>
      </c>
      <c r="F175" t="s">
        <v>46</v>
      </c>
      <c r="G175">
        <v>5</v>
      </c>
      <c r="J175" t="s">
        <v>597</v>
      </c>
      <c r="K175" t="s">
        <v>598</v>
      </c>
      <c r="L175" t="s">
        <v>599</v>
      </c>
      <c r="M175" t="s">
        <v>600</v>
      </c>
      <c r="N175" t="s">
        <v>359</v>
      </c>
      <c r="O175" t="s">
        <v>360</v>
      </c>
      <c r="P175" t="s">
        <v>293</v>
      </c>
      <c r="S175">
        <v>1</v>
      </c>
      <c r="T175" t="s">
        <v>601</v>
      </c>
      <c r="U175">
        <v>3458</v>
      </c>
      <c r="V175">
        <v>18248.5</v>
      </c>
      <c r="W175">
        <v>0.1895</v>
      </c>
      <c r="X175" t="s">
        <v>56</v>
      </c>
      <c r="Y175" t="s">
        <v>789</v>
      </c>
      <c r="Z175">
        <v>8.7899999999999991</v>
      </c>
      <c r="AA175">
        <v>17455.84</v>
      </c>
      <c r="AB175">
        <v>153372</v>
      </c>
      <c r="AC175" t="b">
        <v>0</v>
      </c>
      <c r="AD175" t="b">
        <v>0</v>
      </c>
      <c r="AE175" t="b">
        <v>0</v>
      </c>
      <c r="AF175" t="b">
        <v>0</v>
      </c>
      <c r="AG175" t="s">
        <v>58</v>
      </c>
      <c r="AH175">
        <v>10</v>
      </c>
      <c r="AI175" t="s">
        <v>386</v>
      </c>
      <c r="AJ175" t="s">
        <v>387</v>
      </c>
      <c r="AL175" t="s">
        <v>609</v>
      </c>
      <c r="AM175" t="s">
        <v>245</v>
      </c>
      <c r="AN175" t="s">
        <v>63</v>
      </c>
      <c r="AO175" t="s">
        <v>790</v>
      </c>
      <c r="AP175" t="s">
        <v>598</v>
      </c>
    </row>
    <row r="176" spans="1:42" x14ac:dyDescent="0.45">
      <c r="A176" t="s">
        <v>780</v>
      </c>
      <c r="B176" t="s">
        <v>781</v>
      </c>
      <c r="C176" t="s">
        <v>782</v>
      </c>
      <c r="D176">
        <v>2026</v>
      </c>
      <c r="E176" t="s">
        <v>783</v>
      </c>
      <c r="F176" t="s">
        <v>46</v>
      </c>
      <c r="G176">
        <v>5</v>
      </c>
      <c r="J176" t="s">
        <v>953</v>
      </c>
      <c r="K176" t="s">
        <v>954</v>
      </c>
      <c r="L176" t="s">
        <v>955</v>
      </c>
      <c r="M176" t="s">
        <v>956</v>
      </c>
      <c r="N176" t="s">
        <v>291</v>
      </c>
      <c r="O176" t="s">
        <v>292</v>
      </c>
      <c r="P176" t="s">
        <v>293</v>
      </c>
      <c r="S176">
        <v>3</v>
      </c>
      <c r="T176" t="s">
        <v>957</v>
      </c>
      <c r="U176">
        <v>1807</v>
      </c>
      <c r="V176">
        <v>18248.5</v>
      </c>
      <c r="W176">
        <v>9.9000000000000005E-2</v>
      </c>
      <c r="X176" t="s">
        <v>56</v>
      </c>
      <c r="Y176" t="s">
        <v>789</v>
      </c>
      <c r="Z176">
        <v>12.74</v>
      </c>
      <c r="AA176">
        <v>7085.51</v>
      </c>
      <c r="AB176">
        <v>90302</v>
      </c>
      <c r="AC176" t="b">
        <v>0</v>
      </c>
      <c r="AD176" t="b">
        <v>0</v>
      </c>
      <c r="AE176" t="b">
        <v>0</v>
      </c>
      <c r="AF176" t="b">
        <v>0</v>
      </c>
      <c r="AG176" t="s">
        <v>58</v>
      </c>
      <c r="AH176">
        <v>10</v>
      </c>
      <c r="AI176" t="s">
        <v>386</v>
      </c>
      <c r="AJ176" t="s">
        <v>387</v>
      </c>
      <c r="AL176" t="s">
        <v>609</v>
      </c>
      <c r="AM176" t="s">
        <v>245</v>
      </c>
      <c r="AN176" t="s">
        <v>63</v>
      </c>
      <c r="AO176" t="s">
        <v>790</v>
      </c>
      <c r="AP176" t="s">
        <v>954</v>
      </c>
    </row>
    <row r="177" spans="1:42" x14ac:dyDescent="0.45">
      <c r="A177" t="s">
        <v>780</v>
      </c>
      <c r="B177" t="s">
        <v>781</v>
      </c>
      <c r="C177" t="s">
        <v>782</v>
      </c>
      <c r="D177">
        <v>2026</v>
      </c>
      <c r="E177" t="s">
        <v>783</v>
      </c>
      <c r="F177" t="s">
        <v>46</v>
      </c>
      <c r="G177">
        <v>5</v>
      </c>
      <c r="J177" t="s">
        <v>958</v>
      </c>
      <c r="K177" t="s">
        <v>959</v>
      </c>
      <c r="L177" t="s">
        <v>960</v>
      </c>
      <c r="M177" t="s">
        <v>961</v>
      </c>
      <c r="N177" t="s">
        <v>51</v>
      </c>
      <c r="O177" t="s">
        <v>52</v>
      </c>
      <c r="P177" t="s">
        <v>53</v>
      </c>
      <c r="S177">
        <v>0</v>
      </c>
      <c r="T177" t="s">
        <v>962</v>
      </c>
      <c r="U177">
        <v>20955</v>
      </c>
      <c r="V177">
        <v>18248.5</v>
      </c>
      <c r="W177">
        <v>1.1483000000000001</v>
      </c>
      <c r="X177" t="s">
        <v>70</v>
      </c>
      <c r="Y177" t="s">
        <v>789</v>
      </c>
      <c r="Z177">
        <v>10.79</v>
      </c>
      <c r="AA177">
        <v>516111.4</v>
      </c>
      <c r="AB177">
        <v>5566925</v>
      </c>
      <c r="AC177" t="b">
        <v>1</v>
      </c>
      <c r="AD177" t="b">
        <v>1</v>
      </c>
      <c r="AE177" t="b">
        <v>0</v>
      </c>
      <c r="AF177" t="b">
        <v>0</v>
      </c>
      <c r="AG177" t="s">
        <v>58</v>
      </c>
      <c r="AH177">
        <v>14</v>
      </c>
      <c r="AI177" t="s">
        <v>59</v>
      </c>
      <c r="AJ177" t="s">
        <v>71</v>
      </c>
      <c r="AL177" t="s">
        <v>244</v>
      </c>
      <c r="AM177" t="s">
        <v>245</v>
      </c>
      <c r="AN177" t="s">
        <v>63</v>
      </c>
      <c r="AO177" t="s">
        <v>790</v>
      </c>
      <c r="AP177" t="s">
        <v>959</v>
      </c>
    </row>
    <row r="178" spans="1:42" x14ac:dyDescent="0.45">
      <c r="A178" t="s">
        <v>780</v>
      </c>
      <c r="B178" t="s">
        <v>781</v>
      </c>
      <c r="C178" t="s">
        <v>782</v>
      </c>
      <c r="D178">
        <v>2026</v>
      </c>
      <c r="E178" t="s">
        <v>783</v>
      </c>
      <c r="F178" t="s">
        <v>46</v>
      </c>
      <c r="J178" t="s">
        <v>259</v>
      </c>
      <c r="K178" t="s">
        <v>260</v>
      </c>
      <c r="L178" t="s">
        <v>261</v>
      </c>
      <c r="M178" t="s">
        <v>262</v>
      </c>
      <c r="N178" t="s">
        <v>201</v>
      </c>
      <c r="O178" t="s">
        <v>202</v>
      </c>
      <c r="P178" t="s">
        <v>203</v>
      </c>
      <c r="S178">
        <v>4</v>
      </c>
      <c r="T178" t="s">
        <v>263</v>
      </c>
      <c r="U178">
        <v>320</v>
      </c>
      <c r="V178">
        <v>18248.5</v>
      </c>
      <c r="W178">
        <v>1.7500000000000002E-2</v>
      </c>
      <c r="X178" t="s">
        <v>56</v>
      </c>
      <c r="Y178" t="s">
        <v>789</v>
      </c>
      <c r="Z178">
        <v>3.08</v>
      </c>
      <c r="AA178">
        <v>582872.56999999995</v>
      </c>
      <c r="AB178">
        <v>1794054</v>
      </c>
      <c r="AC178" t="b">
        <v>0</v>
      </c>
      <c r="AD178" t="b">
        <v>0</v>
      </c>
      <c r="AE178" t="b">
        <v>0</v>
      </c>
      <c r="AF178" t="b">
        <v>0</v>
      </c>
      <c r="AG178" t="s">
        <v>58</v>
      </c>
      <c r="AH178">
        <v>-15</v>
      </c>
      <c r="AI178" t="s">
        <v>59</v>
      </c>
      <c r="AJ178" t="s">
        <v>60</v>
      </c>
      <c r="AK178" t="s">
        <v>264</v>
      </c>
      <c r="AL178" t="s">
        <v>265</v>
      </c>
      <c r="AM178" t="s">
        <v>245</v>
      </c>
      <c r="AN178" t="s">
        <v>63</v>
      </c>
      <c r="AO178" t="s">
        <v>790</v>
      </c>
      <c r="AP178" t="s">
        <v>260</v>
      </c>
    </row>
    <row r="179" spans="1:42" x14ac:dyDescent="0.45">
      <c r="A179" t="s">
        <v>780</v>
      </c>
      <c r="B179" t="s">
        <v>781</v>
      </c>
      <c r="C179" t="s">
        <v>782</v>
      </c>
      <c r="D179">
        <v>2026</v>
      </c>
      <c r="E179" t="s">
        <v>783</v>
      </c>
      <c r="F179" t="s">
        <v>46</v>
      </c>
      <c r="G179">
        <v>2</v>
      </c>
      <c r="J179" t="s">
        <v>614</v>
      </c>
      <c r="K179" t="s">
        <v>615</v>
      </c>
      <c r="L179" t="s">
        <v>616</v>
      </c>
      <c r="M179" t="s">
        <v>617</v>
      </c>
      <c r="N179" t="s">
        <v>51</v>
      </c>
      <c r="O179" t="s">
        <v>52</v>
      </c>
      <c r="P179" t="s">
        <v>53</v>
      </c>
      <c r="S179">
        <v>0</v>
      </c>
      <c r="T179" t="s">
        <v>618</v>
      </c>
      <c r="U179">
        <v>15128</v>
      </c>
      <c r="V179">
        <v>18248.5</v>
      </c>
      <c r="W179">
        <v>0.82899999999999996</v>
      </c>
      <c r="X179" t="s">
        <v>70</v>
      </c>
      <c r="Y179" t="s">
        <v>789</v>
      </c>
      <c r="Z179">
        <v>31.74</v>
      </c>
      <c r="AA179">
        <v>153448.68</v>
      </c>
      <c r="AB179">
        <v>4871170</v>
      </c>
      <c r="AC179" t="b">
        <v>1</v>
      </c>
      <c r="AD179" t="b">
        <v>1</v>
      </c>
      <c r="AE179" t="b">
        <v>0</v>
      </c>
      <c r="AF179" t="b">
        <v>0</v>
      </c>
      <c r="AG179" t="s">
        <v>58</v>
      </c>
      <c r="AH179">
        <v>14</v>
      </c>
      <c r="AI179" t="s">
        <v>59</v>
      </c>
      <c r="AJ179" t="s">
        <v>71</v>
      </c>
      <c r="AL179" t="s">
        <v>244</v>
      </c>
      <c r="AM179" t="s">
        <v>245</v>
      </c>
      <c r="AN179" t="s">
        <v>63</v>
      </c>
      <c r="AO179" t="s">
        <v>790</v>
      </c>
      <c r="AP179" t="s">
        <v>615</v>
      </c>
    </row>
    <row r="180" spans="1:42" x14ac:dyDescent="0.45">
      <c r="A180" t="s">
        <v>780</v>
      </c>
      <c r="B180" t="s">
        <v>781</v>
      </c>
      <c r="C180" t="s">
        <v>782</v>
      </c>
      <c r="D180">
        <v>2026</v>
      </c>
      <c r="E180" t="s">
        <v>783</v>
      </c>
      <c r="F180" t="s">
        <v>46</v>
      </c>
      <c r="G180">
        <v>2</v>
      </c>
      <c r="J180" t="s">
        <v>963</v>
      </c>
      <c r="K180" t="s">
        <v>964</v>
      </c>
      <c r="L180" t="s">
        <v>965</v>
      </c>
      <c r="M180" t="s">
        <v>966</v>
      </c>
      <c r="N180" t="s">
        <v>221</v>
      </c>
      <c r="O180" t="s">
        <v>222</v>
      </c>
      <c r="P180" t="s">
        <v>223</v>
      </c>
      <c r="S180">
        <v>3</v>
      </c>
      <c r="T180" t="s">
        <v>967</v>
      </c>
      <c r="U180">
        <v>7173</v>
      </c>
      <c r="V180">
        <v>18248.5</v>
      </c>
      <c r="W180">
        <v>0.3931</v>
      </c>
      <c r="X180" t="s">
        <v>196</v>
      </c>
      <c r="Y180" t="s">
        <v>789</v>
      </c>
      <c r="Z180">
        <v>58.74</v>
      </c>
      <c r="AA180">
        <v>48748.9</v>
      </c>
      <c r="AB180">
        <v>2863735</v>
      </c>
      <c r="AC180" t="b">
        <v>0</v>
      </c>
      <c r="AD180" t="b">
        <v>0</v>
      </c>
      <c r="AE180" t="b">
        <v>0</v>
      </c>
      <c r="AF180" t="b">
        <v>0</v>
      </c>
      <c r="AG180" t="s">
        <v>58</v>
      </c>
      <c r="AH180">
        <v>10</v>
      </c>
      <c r="AI180" t="s">
        <v>59</v>
      </c>
      <c r="AJ180" t="s">
        <v>60</v>
      </c>
      <c r="AL180" t="s">
        <v>281</v>
      </c>
      <c r="AM180" t="s">
        <v>245</v>
      </c>
      <c r="AN180" t="s">
        <v>63</v>
      </c>
      <c r="AO180" t="s">
        <v>790</v>
      </c>
      <c r="AP180" t="s">
        <v>964</v>
      </c>
    </row>
    <row r="181" spans="1:42" x14ac:dyDescent="0.45">
      <c r="A181" t="s">
        <v>780</v>
      </c>
      <c r="B181" t="s">
        <v>781</v>
      </c>
      <c r="C181" t="s">
        <v>782</v>
      </c>
      <c r="D181">
        <v>2026</v>
      </c>
      <c r="E181" t="s">
        <v>783</v>
      </c>
      <c r="F181" t="s">
        <v>46</v>
      </c>
      <c r="J181" t="s">
        <v>968</v>
      </c>
      <c r="K181" t="s">
        <v>969</v>
      </c>
      <c r="L181" t="s">
        <v>970</v>
      </c>
      <c r="M181" t="s">
        <v>971</v>
      </c>
      <c r="N181" t="s">
        <v>546</v>
      </c>
      <c r="O181" t="s">
        <v>547</v>
      </c>
      <c r="P181" t="s">
        <v>293</v>
      </c>
      <c r="S181">
        <v>2</v>
      </c>
      <c r="T181" t="s">
        <v>972</v>
      </c>
      <c r="U181">
        <v>1818</v>
      </c>
      <c r="V181">
        <v>18248.5</v>
      </c>
      <c r="W181">
        <v>9.9599999999999994E-2</v>
      </c>
      <c r="X181" t="s">
        <v>56</v>
      </c>
      <c r="Y181" t="s">
        <v>789</v>
      </c>
      <c r="Z181">
        <v>16.170000000000002</v>
      </c>
      <c r="AA181">
        <v>11313.93</v>
      </c>
      <c r="AB181">
        <v>182919</v>
      </c>
      <c r="AC181" t="b">
        <v>0</v>
      </c>
      <c r="AD181" t="b">
        <v>0</v>
      </c>
      <c r="AE181" t="b">
        <v>0</v>
      </c>
      <c r="AF181" t="b">
        <v>0</v>
      </c>
      <c r="AG181" t="s">
        <v>58</v>
      </c>
      <c r="AH181">
        <v>6</v>
      </c>
      <c r="AI181" t="s">
        <v>386</v>
      </c>
      <c r="AJ181" t="s">
        <v>387</v>
      </c>
      <c r="AL181" t="s">
        <v>388</v>
      </c>
      <c r="AM181" t="s">
        <v>245</v>
      </c>
      <c r="AN181" t="s">
        <v>63</v>
      </c>
      <c r="AO181" t="s">
        <v>790</v>
      </c>
      <c r="AP181" t="s">
        <v>969</v>
      </c>
    </row>
    <row r="182" spans="1:42" x14ac:dyDescent="0.45">
      <c r="A182" t="s">
        <v>780</v>
      </c>
      <c r="B182" t="s">
        <v>781</v>
      </c>
      <c r="C182" t="s">
        <v>782</v>
      </c>
      <c r="D182">
        <v>2026</v>
      </c>
      <c r="E182" t="s">
        <v>783</v>
      </c>
      <c r="F182" t="s">
        <v>46</v>
      </c>
      <c r="J182" t="s">
        <v>973</v>
      </c>
      <c r="K182" t="s">
        <v>974</v>
      </c>
      <c r="L182" t="s">
        <v>975</v>
      </c>
      <c r="M182" t="s">
        <v>976</v>
      </c>
      <c r="N182" t="s">
        <v>533</v>
      </c>
      <c r="O182" t="s">
        <v>534</v>
      </c>
      <c r="P182" t="s">
        <v>293</v>
      </c>
      <c r="S182">
        <v>4</v>
      </c>
      <c r="T182" t="s">
        <v>977</v>
      </c>
      <c r="U182">
        <v>3470</v>
      </c>
      <c r="V182">
        <v>18248.5</v>
      </c>
      <c r="W182">
        <v>0.19020000000000001</v>
      </c>
      <c r="X182" t="s">
        <v>56</v>
      </c>
      <c r="Y182" t="s">
        <v>789</v>
      </c>
      <c r="Z182">
        <v>16.079999999999998</v>
      </c>
      <c r="AA182">
        <v>6815.55</v>
      </c>
      <c r="AB182">
        <v>109579</v>
      </c>
      <c r="AC182" t="b">
        <v>0</v>
      </c>
      <c r="AD182" t="b">
        <v>0</v>
      </c>
      <c r="AE182" t="b">
        <v>0</v>
      </c>
      <c r="AF182" t="b">
        <v>0</v>
      </c>
      <c r="AG182" t="s">
        <v>58</v>
      </c>
      <c r="AH182">
        <v>6</v>
      </c>
      <c r="AI182" t="s">
        <v>386</v>
      </c>
      <c r="AJ182" t="s">
        <v>387</v>
      </c>
      <c r="AL182" t="s">
        <v>388</v>
      </c>
      <c r="AM182" t="s">
        <v>245</v>
      </c>
      <c r="AN182" t="s">
        <v>63</v>
      </c>
      <c r="AO182" t="s">
        <v>790</v>
      </c>
      <c r="AP182" t="s">
        <v>974</v>
      </c>
    </row>
    <row r="183" spans="1:42" x14ac:dyDescent="0.45">
      <c r="A183" t="s">
        <v>780</v>
      </c>
      <c r="B183" t="s">
        <v>781</v>
      </c>
      <c r="C183" t="s">
        <v>782</v>
      </c>
      <c r="D183">
        <v>2026</v>
      </c>
      <c r="E183" t="s">
        <v>783</v>
      </c>
      <c r="F183" t="s">
        <v>46</v>
      </c>
      <c r="J183" t="s">
        <v>978</v>
      </c>
      <c r="K183" t="s">
        <v>979</v>
      </c>
      <c r="L183" t="s">
        <v>980</v>
      </c>
      <c r="M183" t="s">
        <v>981</v>
      </c>
      <c r="N183" t="s">
        <v>89</v>
      </c>
      <c r="O183" t="s">
        <v>90</v>
      </c>
      <c r="P183" t="s">
        <v>91</v>
      </c>
      <c r="S183">
        <v>2</v>
      </c>
      <c r="T183" t="s">
        <v>982</v>
      </c>
      <c r="U183">
        <v>1830</v>
      </c>
      <c r="V183">
        <v>18248.5</v>
      </c>
      <c r="W183">
        <v>0.1003</v>
      </c>
      <c r="X183" t="s">
        <v>56</v>
      </c>
      <c r="Y183" t="s">
        <v>789</v>
      </c>
      <c r="Z183">
        <v>16.079999999999998</v>
      </c>
      <c r="AA183">
        <v>6186.1</v>
      </c>
      <c r="AB183">
        <v>99488</v>
      </c>
      <c r="AC183" t="b">
        <v>0</v>
      </c>
      <c r="AD183" t="b">
        <v>0</v>
      </c>
      <c r="AE183" t="b">
        <v>0</v>
      </c>
      <c r="AF183" t="b">
        <v>0</v>
      </c>
      <c r="AG183" t="s">
        <v>58</v>
      </c>
      <c r="AH183">
        <v>10</v>
      </c>
      <c r="AI183" t="s">
        <v>386</v>
      </c>
      <c r="AJ183" t="s">
        <v>387</v>
      </c>
      <c r="AL183" t="s">
        <v>983</v>
      </c>
      <c r="AM183" t="s">
        <v>245</v>
      </c>
      <c r="AN183" t="s">
        <v>63</v>
      </c>
      <c r="AO183" t="s">
        <v>790</v>
      </c>
      <c r="AP183" t="s">
        <v>979</v>
      </c>
    </row>
    <row r="184" spans="1:42" x14ac:dyDescent="0.45">
      <c r="A184" t="s">
        <v>780</v>
      </c>
      <c r="B184" t="s">
        <v>781</v>
      </c>
      <c r="C184" t="s">
        <v>782</v>
      </c>
      <c r="D184">
        <v>2026</v>
      </c>
      <c r="E184" t="s">
        <v>783</v>
      </c>
      <c r="F184" t="s">
        <v>46</v>
      </c>
      <c r="G184">
        <v>2</v>
      </c>
      <c r="J184" t="s">
        <v>984</v>
      </c>
      <c r="K184" t="s">
        <v>985</v>
      </c>
      <c r="L184" t="s">
        <v>986</v>
      </c>
      <c r="M184" t="s">
        <v>987</v>
      </c>
      <c r="N184" t="s">
        <v>89</v>
      </c>
      <c r="O184" t="s">
        <v>90</v>
      </c>
      <c r="P184" t="s">
        <v>91</v>
      </c>
      <c r="S184">
        <v>7</v>
      </c>
      <c r="T184" t="s">
        <v>988</v>
      </c>
      <c r="U184">
        <v>1046</v>
      </c>
      <c r="V184">
        <v>18248.5</v>
      </c>
      <c r="W184">
        <v>5.7299999999999997E-2</v>
      </c>
      <c r="X184" t="s">
        <v>56</v>
      </c>
      <c r="Y184" t="s">
        <v>789</v>
      </c>
      <c r="Z184">
        <v>28.02</v>
      </c>
      <c r="AA184">
        <v>1884.6</v>
      </c>
      <c r="AB184">
        <v>52809</v>
      </c>
      <c r="AC184" t="b">
        <v>0</v>
      </c>
      <c r="AD184" t="b">
        <v>0</v>
      </c>
      <c r="AE184" t="b">
        <v>0</v>
      </c>
      <c r="AF184" t="b">
        <v>0</v>
      </c>
      <c r="AG184" t="s">
        <v>58</v>
      </c>
      <c r="AH184">
        <v>-15</v>
      </c>
      <c r="AI184" t="s">
        <v>59</v>
      </c>
      <c r="AJ184" t="s">
        <v>60</v>
      </c>
      <c r="AK184" t="s">
        <v>78</v>
      </c>
      <c r="AL184" t="s">
        <v>79</v>
      </c>
      <c r="AM184" t="s">
        <v>245</v>
      </c>
      <c r="AN184" t="s">
        <v>63</v>
      </c>
      <c r="AO184" t="s">
        <v>790</v>
      </c>
      <c r="AP184" t="s">
        <v>985</v>
      </c>
    </row>
    <row r="185" spans="1:42" x14ac:dyDescent="0.45">
      <c r="A185" t="s">
        <v>780</v>
      </c>
      <c r="B185" t="s">
        <v>781</v>
      </c>
      <c r="C185" t="s">
        <v>782</v>
      </c>
      <c r="D185">
        <v>2026</v>
      </c>
      <c r="E185" t="s">
        <v>783</v>
      </c>
      <c r="F185" t="s">
        <v>46</v>
      </c>
      <c r="G185">
        <v>2</v>
      </c>
      <c r="J185" t="s">
        <v>989</v>
      </c>
      <c r="K185" t="s">
        <v>990</v>
      </c>
      <c r="L185" t="s">
        <v>991</v>
      </c>
      <c r="M185" t="s">
        <v>992</v>
      </c>
      <c r="N185" t="s">
        <v>89</v>
      </c>
      <c r="O185" t="s">
        <v>90</v>
      </c>
      <c r="P185" t="s">
        <v>91</v>
      </c>
      <c r="S185">
        <v>5</v>
      </c>
      <c r="T185" t="s">
        <v>993</v>
      </c>
      <c r="U185">
        <v>1469</v>
      </c>
      <c r="V185">
        <v>18248.5</v>
      </c>
      <c r="W185">
        <v>8.0500000000000002E-2</v>
      </c>
      <c r="X185" t="s">
        <v>56</v>
      </c>
      <c r="Y185" t="s">
        <v>789</v>
      </c>
      <c r="Z185">
        <v>32.159999999999997</v>
      </c>
      <c r="AA185">
        <v>835.64</v>
      </c>
      <c r="AB185">
        <v>26875</v>
      </c>
      <c r="AC185" t="b">
        <v>0</v>
      </c>
      <c r="AD185" t="b">
        <v>0</v>
      </c>
      <c r="AE185" t="b">
        <v>0</v>
      </c>
      <c r="AF185" t="b">
        <v>0</v>
      </c>
      <c r="AG185" t="s">
        <v>58</v>
      </c>
      <c r="AH185">
        <v>-15</v>
      </c>
      <c r="AI185" t="s">
        <v>59</v>
      </c>
      <c r="AJ185" t="s">
        <v>60</v>
      </c>
      <c r="AK185" t="s">
        <v>951</v>
      </c>
      <c r="AL185" t="s">
        <v>952</v>
      </c>
      <c r="AM185" t="s">
        <v>245</v>
      </c>
      <c r="AN185" t="s">
        <v>63</v>
      </c>
      <c r="AO185" t="s">
        <v>790</v>
      </c>
      <c r="AP185" t="s">
        <v>990</v>
      </c>
    </row>
    <row r="186" spans="1:42" x14ac:dyDescent="0.45">
      <c r="A186" t="s">
        <v>780</v>
      </c>
      <c r="B186" t="s">
        <v>781</v>
      </c>
      <c r="C186" t="s">
        <v>782</v>
      </c>
      <c r="D186">
        <v>2026</v>
      </c>
      <c r="E186" t="s">
        <v>783</v>
      </c>
      <c r="F186" t="s">
        <v>46</v>
      </c>
      <c r="J186" t="s">
        <v>994</v>
      </c>
      <c r="K186" t="s">
        <v>995</v>
      </c>
      <c r="L186" t="s">
        <v>996</v>
      </c>
      <c r="M186" t="s">
        <v>997</v>
      </c>
      <c r="N186" t="s">
        <v>201</v>
      </c>
      <c r="O186" t="s">
        <v>202</v>
      </c>
      <c r="P186" t="s">
        <v>203</v>
      </c>
      <c r="S186">
        <v>6</v>
      </c>
      <c r="T186" t="s">
        <v>998</v>
      </c>
      <c r="U186">
        <v>1768</v>
      </c>
      <c r="V186">
        <v>18248.5</v>
      </c>
      <c r="W186">
        <v>9.69E-2</v>
      </c>
      <c r="X186" t="s">
        <v>56</v>
      </c>
      <c r="Y186" t="s">
        <v>789</v>
      </c>
      <c r="Z186">
        <v>8.7899999999999991</v>
      </c>
      <c r="AA186">
        <v>2409.8000000000002</v>
      </c>
      <c r="AB186">
        <v>21173</v>
      </c>
      <c r="AC186" t="b">
        <v>0</v>
      </c>
      <c r="AD186" t="b">
        <v>0</v>
      </c>
      <c r="AE186" t="b">
        <v>0</v>
      </c>
      <c r="AF186" t="b">
        <v>0</v>
      </c>
      <c r="AG186" t="s">
        <v>58</v>
      </c>
      <c r="AH186">
        <v>6</v>
      </c>
      <c r="AI186" t="s">
        <v>386</v>
      </c>
      <c r="AJ186" t="s">
        <v>387</v>
      </c>
      <c r="AL186" t="s">
        <v>388</v>
      </c>
      <c r="AM186" t="s">
        <v>245</v>
      </c>
      <c r="AN186" t="s">
        <v>63</v>
      </c>
      <c r="AO186" t="s">
        <v>790</v>
      </c>
      <c r="AP186" t="s">
        <v>995</v>
      </c>
    </row>
    <row r="187" spans="1:42" x14ac:dyDescent="0.45">
      <c r="A187" t="s">
        <v>999</v>
      </c>
      <c r="B187" t="s">
        <v>1000</v>
      </c>
      <c r="C187" t="s">
        <v>1001</v>
      </c>
      <c r="D187">
        <v>2024</v>
      </c>
      <c r="E187" t="s">
        <v>45</v>
      </c>
      <c r="F187" t="s">
        <v>46</v>
      </c>
      <c r="G187">
        <v>15</v>
      </c>
      <c r="J187" t="s">
        <v>1002</v>
      </c>
      <c r="K187" t="s">
        <v>1003</v>
      </c>
      <c r="L187" t="s">
        <v>1004</v>
      </c>
      <c r="M187" t="s">
        <v>1005</v>
      </c>
      <c r="N187" t="s">
        <v>1006</v>
      </c>
      <c r="O187" t="s">
        <v>1007</v>
      </c>
      <c r="P187" t="s">
        <v>1008</v>
      </c>
      <c r="Q187" t="s">
        <v>1009</v>
      </c>
      <c r="S187">
        <v>0</v>
      </c>
      <c r="T187" t="s">
        <v>1010</v>
      </c>
      <c r="U187">
        <v>7429</v>
      </c>
      <c r="V187">
        <v>7626</v>
      </c>
      <c r="W187">
        <v>0.97419999999999995</v>
      </c>
      <c r="X187" t="s">
        <v>70</v>
      </c>
      <c r="Y187" t="s">
        <v>1011</v>
      </c>
      <c r="Z187">
        <v>661.71</v>
      </c>
      <c r="AA187">
        <v>8825.9</v>
      </c>
      <c r="AB187">
        <v>5840166</v>
      </c>
      <c r="AC187" t="b">
        <v>1</v>
      </c>
      <c r="AD187" t="b">
        <v>1</v>
      </c>
      <c r="AE187" t="b">
        <v>0</v>
      </c>
      <c r="AF187" t="b">
        <v>0</v>
      </c>
      <c r="AG187" t="s">
        <v>58</v>
      </c>
      <c r="AH187">
        <v>20</v>
      </c>
      <c r="AI187" t="s">
        <v>59</v>
      </c>
      <c r="AJ187" t="s">
        <v>71</v>
      </c>
      <c r="AL187" t="s">
        <v>72</v>
      </c>
      <c r="AM187" t="s">
        <v>62</v>
      </c>
      <c r="AN187" t="s">
        <v>63</v>
      </c>
      <c r="AO187" t="s">
        <v>1012</v>
      </c>
      <c r="AP187" t="s">
        <v>1003</v>
      </c>
    </row>
    <row r="188" spans="1:42" x14ac:dyDescent="0.45">
      <c r="A188" t="s">
        <v>999</v>
      </c>
      <c r="B188" t="s">
        <v>1000</v>
      </c>
      <c r="C188" t="s">
        <v>1001</v>
      </c>
      <c r="D188">
        <v>2024</v>
      </c>
      <c r="E188" t="s">
        <v>45</v>
      </c>
      <c r="F188" t="s">
        <v>46</v>
      </c>
      <c r="G188">
        <v>10</v>
      </c>
      <c r="J188" t="s">
        <v>1013</v>
      </c>
      <c r="K188" t="s">
        <v>1014</v>
      </c>
      <c r="L188" t="s">
        <v>1015</v>
      </c>
      <c r="M188" t="s">
        <v>1016</v>
      </c>
      <c r="N188" t="s">
        <v>1006</v>
      </c>
      <c r="O188" t="s">
        <v>1007</v>
      </c>
      <c r="P188" t="s">
        <v>1008</v>
      </c>
      <c r="Q188" t="s">
        <v>1009</v>
      </c>
      <c r="S188">
        <v>5</v>
      </c>
      <c r="T188" t="s">
        <v>1017</v>
      </c>
      <c r="U188">
        <v>9711</v>
      </c>
      <c r="V188">
        <v>7626</v>
      </c>
      <c r="W188">
        <v>1.2734000000000001</v>
      </c>
      <c r="X188" t="s">
        <v>70</v>
      </c>
      <c r="Y188" t="s">
        <v>1011</v>
      </c>
      <c r="Z188">
        <v>703.71</v>
      </c>
      <c r="AA188">
        <v>6582.96</v>
      </c>
      <c r="AB188">
        <v>4632480</v>
      </c>
      <c r="AC188" t="b">
        <v>1</v>
      </c>
      <c r="AD188" t="b">
        <v>1</v>
      </c>
      <c r="AE188" t="b">
        <v>0</v>
      </c>
      <c r="AF188" t="b">
        <v>0</v>
      </c>
      <c r="AG188" t="s">
        <v>58</v>
      </c>
      <c r="AH188">
        <v>20</v>
      </c>
      <c r="AI188" t="s">
        <v>59</v>
      </c>
      <c r="AJ188" t="s">
        <v>71</v>
      </c>
      <c r="AL188" t="s">
        <v>72</v>
      </c>
      <c r="AM188" t="s">
        <v>62</v>
      </c>
      <c r="AN188" t="s">
        <v>63</v>
      </c>
      <c r="AO188" t="s">
        <v>1012</v>
      </c>
      <c r="AP188" t="s">
        <v>1014</v>
      </c>
    </row>
    <row r="189" spans="1:42" x14ac:dyDescent="0.45">
      <c r="A189" t="s">
        <v>999</v>
      </c>
      <c r="B189" t="s">
        <v>1000</v>
      </c>
      <c r="C189" t="s">
        <v>1001</v>
      </c>
      <c r="D189">
        <v>2024</v>
      </c>
      <c r="E189" t="s">
        <v>45</v>
      </c>
      <c r="F189" t="s">
        <v>46</v>
      </c>
      <c r="G189">
        <v>1</v>
      </c>
      <c r="J189" t="s">
        <v>1018</v>
      </c>
      <c r="K189" t="s">
        <v>1019</v>
      </c>
      <c r="L189" t="s">
        <v>1020</v>
      </c>
      <c r="M189" t="s">
        <v>1021</v>
      </c>
      <c r="N189" t="s">
        <v>1006</v>
      </c>
      <c r="O189" t="s">
        <v>1007</v>
      </c>
      <c r="P189" t="s">
        <v>1008</v>
      </c>
      <c r="Q189" t="s">
        <v>1009</v>
      </c>
      <c r="S189">
        <v>14</v>
      </c>
      <c r="T189" t="s">
        <v>1022</v>
      </c>
      <c r="U189">
        <v>9021</v>
      </c>
      <c r="V189">
        <v>7626</v>
      </c>
      <c r="W189">
        <v>1.1829000000000001</v>
      </c>
      <c r="X189" t="s">
        <v>70</v>
      </c>
      <c r="Y189" t="s">
        <v>1011</v>
      </c>
      <c r="Z189">
        <v>773.71</v>
      </c>
      <c r="AA189">
        <v>12450.96</v>
      </c>
      <c r="AB189">
        <v>9633408</v>
      </c>
      <c r="AC189" t="b">
        <v>1</v>
      </c>
      <c r="AD189" t="b">
        <v>1</v>
      </c>
      <c r="AE189" t="b">
        <v>0</v>
      </c>
      <c r="AF189" t="b">
        <v>0</v>
      </c>
      <c r="AG189" t="s">
        <v>58</v>
      </c>
      <c r="AH189">
        <v>20</v>
      </c>
      <c r="AI189" t="s">
        <v>59</v>
      </c>
      <c r="AJ189" t="s">
        <v>71</v>
      </c>
      <c r="AL189" t="s">
        <v>72</v>
      </c>
      <c r="AM189" t="s">
        <v>62</v>
      </c>
      <c r="AN189" t="s">
        <v>63</v>
      </c>
      <c r="AO189" t="s">
        <v>1012</v>
      </c>
      <c r="AP189" t="s">
        <v>1019</v>
      </c>
    </row>
    <row r="190" spans="1:42" x14ac:dyDescent="0.45">
      <c r="A190" t="s">
        <v>999</v>
      </c>
      <c r="B190" t="s">
        <v>1000</v>
      </c>
      <c r="C190" t="s">
        <v>1001</v>
      </c>
      <c r="D190">
        <v>2024</v>
      </c>
      <c r="E190" t="s">
        <v>45</v>
      </c>
      <c r="F190" t="s">
        <v>46</v>
      </c>
      <c r="G190">
        <v>3</v>
      </c>
      <c r="J190" t="s">
        <v>1023</v>
      </c>
      <c r="K190" t="s">
        <v>1024</v>
      </c>
      <c r="L190" t="s">
        <v>1025</v>
      </c>
      <c r="M190" t="s">
        <v>1026</v>
      </c>
      <c r="N190" t="s">
        <v>1027</v>
      </c>
      <c r="O190" t="s">
        <v>1028</v>
      </c>
      <c r="P190" t="s">
        <v>91</v>
      </c>
      <c r="Q190" t="s">
        <v>1009</v>
      </c>
      <c r="S190">
        <v>12</v>
      </c>
      <c r="T190" t="s">
        <v>1029</v>
      </c>
      <c r="U190">
        <v>7017</v>
      </c>
      <c r="V190">
        <v>7626</v>
      </c>
      <c r="W190">
        <v>0.92010000000000003</v>
      </c>
      <c r="X190" t="s">
        <v>70</v>
      </c>
      <c r="Y190" t="s">
        <v>1011</v>
      </c>
      <c r="Z190">
        <v>759.71</v>
      </c>
      <c r="AA190">
        <v>6540.43</v>
      </c>
      <c r="AB190">
        <v>4968817</v>
      </c>
      <c r="AC190" t="b">
        <v>1</v>
      </c>
      <c r="AD190" t="b">
        <v>1</v>
      </c>
      <c r="AE190" t="b">
        <v>0</v>
      </c>
      <c r="AF190" t="b">
        <v>0</v>
      </c>
      <c r="AG190" t="s">
        <v>58</v>
      </c>
      <c r="AH190">
        <v>20</v>
      </c>
      <c r="AI190" t="s">
        <v>59</v>
      </c>
      <c r="AJ190" t="s">
        <v>71</v>
      </c>
      <c r="AL190" t="s">
        <v>72</v>
      </c>
      <c r="AM190" t="s">
        <v>62</v>
      </c>
      <c r="AN190" t="s">
        <v>63</v>
      </c>
      <c r="AO190" t="s">
        <v>1012</v>
      </c>
      <c r="AP190" t="s">
        <v>1024</v>
      </c>
    </row>
    <row r="191" spans="1:42" x14ac:dyDescent="0.45">
      <c r="A191" t="s">
        <v>999</v>
      </c>
      <c r="B191" t="s">
        <v>1000</v>
      </c>
      <c r="C191" t="s">
        <v>1001</v>
      </c>
      <c r="D191">
        <v>2024</v>
      </c>
      <c r="E191" t="s">
        <v>45</v>
      </c>
      <c r="F191" t="s">
        <v>46</v>
      </c>
      <c r="G191">
        <v>11</v>
      </c>
      <c r="J191" t="s">
        <v>1030</v>
      </c>
      <c r="K191" t="s">
        <v>1031</v>
      </c>
      <c r="L191" t="s">
        <v>1032</v>
      </c>
      <c r="M191" t="s">
        <v>1033</v>
      </c>
      <c r="N191" t="s">
        <v>1027</v>
      </c>
      <c r="O191" t="s">
        <v>1028</v>
      </c>
      <c r="P191" t="s">
        <v>91</v>
      </c>
      <c r="Q191" t="s">
        <v>1009</v>
      </c>
      <c r="S191">
        <v>4</v>
      </c>
      <c r="T191" t="s">
        <v>1034</v>
      </c>
      <c r="U191">
        <v>7002</v>
      </c>
      <c r="V191">
        <v>7626</v>
      </c>
      <c r="W191">
        <v>0.91820000000000002</v>
      </c>
      <c r="X191" t="s">
        <v>70</v>
      </c>
      <c r="Y191" t="s">
        <v>1011</v>
      </c>
      <c r="Z191">
        <v>689.38</v>
      </c>
      <c r="AA191">
        <v>6328.33</v>
      </c>
      <c r="AB191">
        <v>4362649</v>
      </c>
      <c r="AC191" t="b">
        <v>1</v>
      </c>
      <c r="AD191" t="b">
        <v>1</v>
      </c>
      <c r="AE191" t="b">
        <v>0</v>
      </c>
      <c r="AF191" t="b">
        <v>0</v>
      </c>
      <c r="AG191" t="s">
        <v>58</v>
      </c>
      <c r="AH191">
        <v>20</v>
      </c>
      <c r="AI191" t="s">
        <v>59</v>
      </c>
      <c r="AJ191" t="s">
        <v>71</v>
      </c>
      <c r="AL191" t="s">
        <v>72</v>
      </c>
      <c r="AM191" t="s">
        <v>62</v>
      </c>
      <c r="AN191" t="s">
        <v>63</v>
      </c>
      <c r="AO191" t="s">
        <v>1012</v>
      </c>
      <c r="AP191" t="s">
        <v>1031</v>
      </c>
    </row>
    <row r="192" spans="1:42" x14ac:dyDescent="0.45">
      <c r="A192" t="s">
        <v>999</v>
      </c>
      <c r="B192" t="s">
        <v>1000</v>
      </c>
      <c r="C192" t="s">
        <v>1001</v>
      </c>
      <c r="D192">
        <v>2024</v>
      </c>
      <c r="E192" t="s">
        <v>45</v>
      </c>
      <c r="F192" t="s">
        <v>46</v>
      </c>
      <c r="G192">
        <v>14</v>
      </c>
      <c r="J192" t="s">
        <v>1035</v>
      </c>
      <c r="K192" t="s">
        <v>1036</v>
      </c>
      <c r="L192" t="s">
        <v>1037</v>
      </c>
      <c r="M192" t="s">
        <v>1038</v>
      </c>
      <c r="N192" t="s">
        <v>1006</v>
      </c>
      <c r="O192" t="s">
        <v>1007</v>
      </c>
      <c r="P192" t="s">
        <v>1008</v>
      </c>
      <c r="Q192" t="s">
        <v>1009</v>
      </c>
      <c r="S192">
        <v>1</v>
      </c>
      <c r="T192" t="s">
        <v>1039</v>
      </c>
      <c r="U192">
        <v>7281</v>
      </c>
      <c r="V192">
        <v>7626</v>
      </c>
      <c r="W192">
        <v>0.95479999999999998</v>
      </c>
      <c r="X192" t="s">
        <v>70</v>
      </c>
      <c r="Y192" t="s">
        <v>1011</v>
      </c>
      <c r="Z192">
        <v>668.71</v>
      </c>
      <c r="AA192">
        <v>6443.24</v>
      </c>
      <c r="AB192">
        <v>4308643</v>
      </c>
      <c r="AC192" t="b">
        <v>1</v>
      </c>
      <c r="AD192" t="b">
        <v>1</v>
      </c>
      <c r="AE192" t="b">
        <v>0</v>
      </c>
      <c r="AF192" t="b">
        <v>0</v>
      </c>
      <c r="AG192" t="s">
        <v>58</v>
      </c>
      <c r="AH192">
        <v>20</v>
      </c>
      <c r="AI192" t="s">
        <v>59</v>
      </c>
      <c r="AJ192" t="s">
        <v>71</v>
      </c>
      <c r="AL192" t="s">
        <v>72</v>
      </c>
      <c r="AM192" t="s">
        <v>62</v>
      </c>
      <c r="AN192" t="s">
        <v>63</v>
      </c>
      <c r="AO192" t="s">
        <v>1012</v>
      </c>
      <c r="AP192" t="s">
        <v>1036</v>
      </c>
    </row>
    <row r="193" spans="1:42" x14ac:dyDescent="0.45">
      <c r="A193" t="s">
        <v>999</v>
      </c>
      <c r="B193" t="s">
        <v>1000</v>
      </c>
      <c r="C193" t="s">
        <v>1001</v>
      </c>
      <c r="D193">
        <v>2024</v>
      </c>
      <c r="E193" t="s">
        <v>45</v>
      </c>
      <c r="F193" t="s">
        <v>46</v>
      </c>
      <c r="G193">
        <v>6</v>
      </c>
      <c r="J193" t="s">
        <v>1040</v>
      </c>
      <c r="K193" t="s">
        <v>1041</v>
      </c>
      <c r="L193" t="s">
        <v>1042</v>
      </c>
      <c r="M193" t="s">
        <v>1043</v>
      </c>
      <c r="N193" t="s">
        <v>1027</v>
      </c>
      <c r="O193" t="s">
        <v>1028</v>
      </c>
      <c r="P193" t="s">
        <v>91</v>
      </c>
      <c r="Q193" t="s">
        <v>1009</v>
      </c>
      <c r="S193">
        <v>9</v>
      </c>
      <c r="T193" t="s">
        <v>1044</v>
      </c>
      <c r="U193">
        <v>7467</v>
      </c>
      <c r="V193">
        <v>7626</v>
      </c>
      <c r="W193">
        <v>0.97919999999999996</v>
      </c>
      <c r="X193" t="s">
        <v>70</v>
      </c>
      <c r="Y193" t="s">
        <v>1011</v>
      </c>
      <c r="Z193">
        <v>731.71</v>
      </c>
      <c r="AA193">
        <v>4857.3100000000004</v>
      </c>
      <c r="AB193">
        <v>3554134</v>
      </c>
      <c r="AC193" t="b">
        <v>1</v>
      </c>
      <c r="AD193" t="b">
        <v>1</v>
      </c>
      <c r="AE193" t="b">
        <v>0</v>
      </c>
      <c r="AF193" t="b">
        <v>0</v>
      </c>
      <c r="AG193" t="s">
        <v>58</v>
      </c>
      <c r="AH193">
        <v>20</v>
      </c>
      <c r="AI193" t="s">
        <v>59</v>
      </c>
      <c r="AJ193" t="s">
        <v>71</v>
      </c>
      <c r="AL193" t="s">
        <v>72</v>
      </c>
      <c r="AM193" t="s">
        <v>62</v>
      </c>
      <c r="AN193" t="s">
        <v>63</v>
      </c>
      <c r="AO193" t="s">
        <v>1012</v>
      </c>
      <c r="AP193" t="s">
        <v>1041</v>
      </c>
    </row>
    <row r="194" spans="1:42" x14ac:dyDescent="0.45">
      <c r="A194" t="s">
        <v>999</v>
      </c>
      <c r="B194" t="s">
        <v>1000</v>
      </c>
      <c r="C194" t="s">
        <v>1001</v>
      </c>
      <c r="D194">
        <v>2024</v>
      </c>
      <c r="E194" t="s">
        <v>45</v>
      </c>
      <c r="F194" t="s">
        <v>46</v>
      </c>
      <c r="G194">
        <v>7</v>
      </c>
      <c r="J194" t="s">
        <v>1045</v>
      </c>
      <c r="K194" t="s">
        <v>1046</v>
      </c>
      <c r="L194" t="s">
        <v>1047</v>
      </c>
      <c r="M194" t="s">
        <v>1048</v>
      </c>
      <c r="N194" t="s">
        <v>1027</v>
      </c>
      <c r="O194" t="s">
        <v>1028</v>
      </c>
      <c r="P194" t="s">
        <v>91</v>
      </c>
      <c r="Q194" t="s">
        <v>1009</v>
      </c>
      <c r="S194">
        <v>8</v>
      </c>
      <c r="T194" t="s">
        <v>1049</v>
      </c>
      <c r="U194">
        <v>7290</v>
      </c>
      <c r="V194">
        <v>7626</v>
      </c>
      <c r="W194">
        <v>0.95589999999999997</v>
      </c>
      <c r="X194" t="s">
        <v>70</v>
      </c>
      <c r="Y194" t="s">
        <v>1011</v>
      </c>
      <c r="Z194">
        <v>724.71</v>
      </c>
      <c r="AA194">
        <v>4223.28</v>
      </c>
      <c r="AB194">
        <v>3060644</v>
      </c>
      <c r="AC194" t="b">
        <v>1</v>
      </c>
      <c r="AD194" t="b">
        <v>1</v>
      </c>
      <c r="AE194" t="b">
        <v>0</v>
      </c>
      <c r="AF194" t="b">
        <v>0</v>
      </c>
      <c r="AG194" t="s">
        <v>58</v>
      </c>
      <c r="AH194">
        <v>20</v>
      </c>
      <c r="AI194" t="s">
        <v>59</v>
      </c>
      <c r="AJ194" t="s">
        <v>71</v>
      </c>
      <c r="AL194" t="s">
        <v>72</v>
      </c>
      <c r="AM194" t="s">
        <v>62</v>
      </c>
      <c r="AN194" t="s">
        <v>63</v>
      </c>
      <c r="AO194" t="s">
        <v>1012</v>
      </c>
      <c r="AP194" t="s">
        <v>1046</v>
      </c>
    </row>
    <row r="195" spans="1:42" x14ac:dyDescent="0.45">
      <c r="A195" t="s">
        <v>999</v>
      </c>
      <c r="B195" t="s">
        <v>1000</v>
      </c>
      <c r="C195" t="s">
        <v>1001</v>
      </c>
      <c r="D195">
        <v>2024</v>
      </c>
      <c r="E195" t="s">
        <v>45</v>
      </c>
      <c r="F195" t="s">
        <v>46</v>
      </c>
      <c r="G195">
        <v>4</v>
      </c>
      <c r="J195" t="s">
        <v>1050</v>
      </c>
      <c r="K195" t="s">
        <v>1051</v>
      </c>
      <c r="L195" t="s">
        <v>1052</v>
      </c>
      <c r="M195" t="s">
        <v>1053</v>
      </c>
      <c r="N195" t="s">
        <v>1006</v>
      </c>
      <c r="O195" t="s">
        <v>1007</v>
      </c>
      <c r="P195" t="s">
        <v>1008</v>
      </c>
      <c r="Q195" t="s">
        <v>1009</v>
      </c>
      <c r="S195">
        <v>11</v>
      </c>
      <c r="T195" t="s">
        <v>1054</v>
      </c>
      <c r="U195">
        <v>11513</v>
      </c>
      <c r="V195">
        <v>7626</v>
      </c>
      <c r="W195">
        <v>1.5097</v>
      </c>
      <c r="X195" t="s">
        <v>70</v>
      </c>
      <c r="Y195" t="s">
        <v>1011</v>
      </c>
      <c r="Z195">
        <v>745.71</v>
      </c>
      <c r="AA195">
        <v>7857.51</v>
      </c>
      <c r="AB195">
        <v>5859408</v>
      </c>
      <c r="AC195" t="b">
        <v>1</v>
      </c>
      <c r="AD195" t="b">
        <v>1</v>
      </c>
      <c r="AE195" t="b">
        <v>0</v>
      </c>
      <c r="AF195" t="b">
        <v>0</v>
      </c>
      <c r="AG195" t="s">
        <v>58</v>
      </c>
      <c r="AH195">
        <v>20</v>
      </c>
      <c r="AI195" t="s">
        <v>59</v>
      </c>
      <c r="AJ195" t="s">
        <v>71</v>
      </c>
      <c r="AL195" t="s">
        <v>72</v>
      </c>
      <c r="AM195" t="s">
        <v>62</v>
      </c>
      <c r="AN195" t="s">
        <v>63</v>
      </c>
      <c r="AO195" t="s">
        <v>1012</v>
      </c>
      <c r="AP195" t="s">
        <v>1051</v>
      </c>
    </row>
    <row r="196" spans="1:42" x14ac:dyDescent="0.45">
      <c r="A196" t="s">
        <v>999</v>
      </c>
      <c r="B196" t="s">
        <v>1000</v>
      </c>
      <c r="C196" t="s">
        <v>1001</v>
      </c>
      <c r="D196">
        <v>2024</v>
      </c>
      <c r="E196" t="s">
        <v>45</v>
      </c>
      <c r="F196" t="s">
        <v>46</v>
      </c>
      <c r="G196">
        <v>2</v>
      </c>
      <c r="J196" t="s">
        <v>1055</v>
      </c>
      <c r="K196" t="s">
        <v>1056</v>
      </c>
      <c r="L196" t="s">
        <v>1057</v>
      </c>
      <c r="M196" t="s">
        <v>1058</v>
      </c>
      <c r="N196" t="s">
        <v>1006</v>
      </c>
      <c r="O196" t="s">
        <v>1007</v>
      </c>
      <c r="P196" t="s">
        <v>1008</v>
      </c>
      <c r="Q196" t="s">
        <v>1009</v>
      </c>
      <c r="S196">
        <v>13</v>
      </c>
      <c r="T196" t="s">
        <v>1059</v>
      </c>
      <c r="U196">
        <v>10766</v>
      </c>
      <c r="V196">
        <v>7626</v>
      </c>
      <c r="W196">
        <v>1.4117</v>
      </c>
      <c r="X196" t="s">
        <v>70</v>
      </c>
      <c r="Y196" t="s">
        <v>1011</v>
      </c>
      <c r="Z196">
        <v>766.71</v>
      </c>
      <c r="AA196">
        <v>10422.64</v>
      </c>
      <c r="AB196">
        <v>7991119</v>
      </c>
      <c r="AC196" t="b">
        <v>1</v>
      </c>
      <c r="AD196" t="b">
        <v>1</v>
      </c>
      <c r="AE196" t="b">
        <v>0</v>
      </c>
      <c r="AF196" t="b">
        <v>0</v>
      </c>
      <c r="AG196" t="s">
        <v>58</v>
      </c>
      <c r="AH196">
        <v>20</v>
      </c>
      <c r="AI196" t="s">
        <v>59</v>
      </c>
      <c r="AJ196" t="s">
        <v>71</v>
      </c>
      <c r="AL196" t="s">
        <v>72</v>
      </c>
      <c r="AM196" t="s">
        <v>62</v>
      </c>
      <c r="AN196" t="s">
        <v>63</v>
      </c>
      <c r="AO196" t="s">
        <v>1012</v>
      </c>
      <c r="AP196" t="s">
        <v>1056</v>
      </c>
    </row>
    <row r="197" spans="1:42" x14ac:dyDescent="0.45">
      <c r="A197" t="s">
        <v>999</v>
      </c>
      <c r="B197" t="s">
        <v>1000</v>
      </c>
      <c r="C197" t="s">
        <v>1001</v>
      </c>
      <c r="D197">
        <v>2024</v>
      </c>
      <c r="E197" t="s">
        <v>45</v>
      </c>
      <c r="F197" t="s">
        <v>46</v>
      </c>
      <c r="G197">
        <v>5</v>
      </c>
      <c r="J197" t="s">
        <v>1060</v>
      </c>
      <c r="K197" t="s">
        <v>1061</v>
      </c>
      <c r="L197" t="s">
        <v>1062</v>
      </c>
      <c r="M197" t="s">
        <v>1063</v>
      </c>
      <c r="N197" t="s">
        <v>1027</v>
      </c>
      <c r="O197" t="s">
        <v>1028</v>
      </c>
      <c r="P197" t="s">
        <v>91</v>
      </c>
      <c r="Q197" t="s">
        <v>1009</v>
      </c>
      <c r="S197">
        <v>10</v>
      </c>
      <c r="T197" t="s">
        <v>1064</v>
      </c>
      <c r="U197">
        <v>9393</v>
      </c>
      <c r="V197">
        <v>7626</v>
      </c>
      <c r="W197">
        <v>1.2317</v>
      </c>
      <c r="X197" t="s">
        <v>70</v>
      </c>
      <c r="Y197" t="s">
        <v>1011</v>
      </c>
      <c r="Z197">
        <v>738.71</v>
      </c>
      <c r="AA197">
        <v>6050.12</v>
      </c>
      <c r="AB197">
        <v>4469273</v>
      </c>
      <c r="AC197" t="b">
        <v>1</v>
      </c>
      <c r="AD197" t="b">
        <v>1</v>
      </c>
      <c r="AE197" t="b">
        <v>0</v>
      </c>
      <c r="AF197" t="b">
        <v>0</v>
      </c>
      <c r="AG197" t="s">
        <v>58</v>
      </c>
      <c r="AH197">
        <v>20</v>
      </c>
      <c r="AI197" t="s">
        <v>59</v>
      </c>
      <c r="AJ197" t="s">
        <v>71</v>
      </c>
      <c r="AL197" t="s">
        <v>72</v>
      </c>
      <c r="AM197" t="s">
        <v>62</v>
      </c>
      <c r="AN197" t="s">
        <v>63</v>
      </c>
      <c r="AO197" t="s">
        <v>1012</v>
      </c>
      <c r="AP197" t="s">
        <v>1061</v>
      </c>
    </row>
    <row r="198" spans="1:42" x14ac:dyDescent="0.45">
      <c r="A198" t="s">
        <v>999</v>
      </c>
      <c r="B198" t="s">
        <v>1000</v>
      </c>
      <c r="C198" t="s">
        <v>1001</v>
      </c>
      <c r="D198">
        <v>2024</v>
      </c>
      <c r="E198" t="s">
        <v>45</v>
      </c>
      <c r="F198" t="s">
        <v>46</v>
      </c>
      <c r="G198">
        <v>12</v>
      </c>
      <c r="J198" t="s">
        <v>1065</v>
      </c>
      <c r="K198" t="s">
        <v>1066</v>
      </c>
      <c r="L198" t="s">
        <v>1067</v>
      </c>
      <c r="M198" t="s">
        <v>1068</v>
      </c>
      <c r="N198" t="s">
        <v>1027</v>
      </c>
      <c r="O198" t="s">
        <v>1028</v>
      </c>
      <c r="P198" t="s">
        <v>91</v>
      </c>
      <c r="Q198" t="s">
        <v>1009</v>
      </c>
      <c r="S198">
        <v>3</v>
      </c>
      <c r="T198" t="s">
        <v>1069</v>
      </c>
      <c r="U198">
        <v>6970</v>
      </c>
      <c r="V198">
        <v>7626</v>
      </c>
      <c r="W198">
        <v>0.91400000000000003</v>
      </c>
      <c r="X198" t="s">
        <v>70</v>
      </c>
      <c r="Y198" t="s">
        <v>1011</v>
      </c>
      <c r="Z198">
        <v>682.71</v>
      </c>
      <c r="AA198">
        <v>6112.1</v>
      </c>
      <c r="AB198">
        <v>4172779</v>
      </c>
      <c r="AC198" t="b">
        <v>1</v>
      </c>
      <c r="AD198" t="b">
        <v>1</v>
      </c>
      <c r="AE198" t="b">
        <v>0</v>
      </c>
      <c r="AF198" t="b">
        <v>0</v>
      </c>
      <c r="AG198" t="s">
        <v>58</v>
      </c>
      <c r="AH198">
        <v>20</v>
      </c>
      <c r="AI198" t="s">
        <v>59</v>
      </c>
      <c r="AJ198" t="s">
        <v>71</v>
      </c>
      <c r="AL198" t="s">
        <v>72</v>
      </c>
      <c r="AM198" t="s">
        <v>62</v>
      </c>
      <c r="AN198" t="s">
        <v>63</v>
      </c>
      <c r="AO198" t="s">
        <v>1012</v>
      </c>
      <c r="AP198" t="s">
        <v>1066</v>
      </c>
    </row>
    <row r="199" spans="1:42" x14ac:dyDescent="0.45">
      <c r="A199" t="s">
        <v>999</v>
      </c>
      <c r="B199" t="s">
        <v>1000</v>
      </c>
      <c r="C199" t="s">
        <v>1001</v>
      </c>
      <c r="D199">
        <v>2024</v>
      </c>
      <c r="E199" t="s">
        <v>45</v>
      </c>
      <c r="F199" t="s">
        <v>46</v>
      </c>
      <c r="G199">
        <v>13</v>
      </c>
      <c r="J199" t="s">
        <v>1070</v>
      </c>
      <c r="K199" t="s">
        <v>1071</v>
      </c>
      <c r="L199" t="s">
        <v>1072</v>
      </c>
      <c r="M199" t="s">
        <v>1073</v>
      </c>
      <c r="N199" t="s">
        <v>1006</v>
      </c>
      <c r="O199" t="s">
        <v>1007</v>
      </c>
      <c r="P199" t="s">
        <v>1008</v>
      </c>
      <c r="Q199" t="s">
        <v>1009</v>
      </c>
      <c r="S199">
        <v>2</v>
      </c>
      <c r="T199" t="s">
        <v>1074</v>
      </c>
      <c r="U199">
        <v>8403</v>
      </c>
      <c r="V199">
        <v>7626</v>
      </c>
      <c r="W199">
        <v>1.1019000000000001</v>
      </c>
      <c r="X199" t="s">
        <v>70</v>
      </c>
      <c r="Y199" t="s">
        <v>1011</v>
      </c>
      <c r="Z199">
        <v>675.71</v>
      </c>
      <c r="AA199">
        <v>6182.31</v>
      </c>
      <c r="AB199">
        <v>4177433</v>
      </c>
      <c r="AC199" t="b">
        <v>1</v>
      </c>
      <c r="AD199" t="b">
        <v>1</v>
      </c>
      <c r="AE199" t="b">
        <v>0</v>
      </c>
      <c r="AF199" t="b">
        <v>0</v>
      </c>
      <c r="AG199" t="s">
        <v>58</v>
      </c>
      <c r="AH199">
        <v>20</v>
      </c>
      <c r="AI199" t="s">
        <v>59</v>
      </c>
      <c r="AJ199" t="s">
        <v>71</v>
      </c>
      <c r="AL199" t="s">
        <v>72</v>
      </c>
      <c r="AM199" t="s">
        <v>62</v>
      </c>
      <c r="AN199" t="s">
        <v>63</v>
      </c>
      <c r="AO199" t="s">
        <v>1012</v>
      </c>
      <c r="AP199" t="s">
        <v>1071</v>
      </c>
    </row>
    <row r="200" spans="1:42" x14ac:dyDescent="0.45">
      <c r="A200" t="s">
        <v>999</v>
      </c>
      <c r="B200" t="s">
        <v>1000</v>
      </c>
      <c r="C200" t="s">
        <v>1001</v>
      </c>
      <c r="D200">
        <v>2024</v>
      </c>
      <c r="E200" t="s">
        <v>45</v>
      </c>
      <c r="F200" t="s">
        <v>46</v>
      </c>
      <c r="G200">
        <v>8</v>
      </c>
      <c r="J200" t="s">
        <v>1075</v>
      </c>
      <c r="K200" t="s">
        <v>1076</v>
      </c>
      <c r="L200" t="s">
        <v>1077</v>
      </c>
      <c r="M200" t="s">
        <v>1078</v>
      </c>
      <c r="N200" t="s">
        <v>1006</v>
      </c>
      <c r="O200" t="s">
        <v>1007</v>
      </c>
      <c r="P200" t="s">
        <v>1008</v>
      </c>
      <c r="Q200" t="s">
        <v>1009</v>
      </c>
      <c r="S200">
        <v>7</v>
      </c>
      <c r="T200" t="s">
        <v>1079</v>
      </c>
      <c r="U200">
        <v>7626</v>
      </c>
      <c r="V200">
        <v>7626</v>
      </c>
      <c r="W200">
        <v>1</v>
      </c>
      <c r="X200" t="s">
        <v>70</v>
      </c>
      <c r="Y200" t="s">
        <v>1011</v>
      </c>
      <c r="Z200">
        <v>717.68</v>
      </c>
      <c r="AA200">
        <v>4857.9399999999996</v>
      </c>
      <c r="AB200">
        <v>3486434</v>
      </c>
      <c r="AC200" t="b">
        <v>1</v>
      </c>
      <c r="AD200" t="b">
        <v>1</v>
      </c>
      <c r="AE200" t="b">
        <v>0</v>
      </c>
      <c r="AF200" t="b">
        <v>0</v>
      </c>
      <c r="AG200" t="s">
        <v>58</v>
      </c>
      <c r="AH200">
        <v>20</v>
      </c>
      <c r="AI200" t="s">
        <v>59</v>
      </c>
      <c r="AJ200" t="s">
        <v>71</v>
      </c>
      <c r="AL200" t="s">
        <v>72</v>
      </c>
      <c r="AM200" t="s">
        <v>62</v>
      </c>
      <c r="AN200" t="s">
        <v>63</v>
      </c>
      <c r="AO200" t="s">
        <v>1012</v>
      </c>
      <c r="AP200" t="s">
        <v>1076</v>
      </c>
    </row>
    <row r="201" spans="1:42" x14ac:dyDescent="0.45">
      <c r="A201" t="s">
        <v>999</v>
      </c>
      <c r="B201" t="s">
        <v>1000</v>
      </c>
      <c r="C201" t="s">
        <v>1001</v>
      </c>
      <c r="D201">
        <v>2024</v>
      </c>
      <c r="E201" t="s">
        <v>45</v>
      </c>
      <c r="F201" t="s">
        <v>46</v>
      </c>
      <c r="G201">
        <v>9</v>
      </c>
      <c r="J201" t="s">
        <v>1080</v>
      </c>
      <c r="K201" t="s">
        <v>1081</v>
      </c>
      <c r="L201" t="s">
        <v>1082</v>
      </c>
      <c r="M201" t="s">
        <v>1083</v>
      </c>
      <c r="N201" t="s">
        <v>1006</v>
      </c>
      <c r="O201" t="s">
        <v>1007</v>
      </c>
      <c r="P201" t="s">
        <v>1008</v>
      </c>
      <c r="Q201" t="s">
        <v>1009</v>
      </c>
      <c r="S201">
        <v>6</v>
      </c>
      <c r="T201" t="s">
        <v>1084</v>
      </c>
      <c r="U201">
        <v>8338</v>
      </c>
      <c r="V201">
        <v>7626</v>
      </c>
      <c r="W201">
        <v>1.0933999999999999</v>
      </c>
      <c r="X201" t="s">
        <v>70</v>
      </c>
      <c r="Y201" t="s">
        <v>1011</v>
      </c>
      <c r="Z201">
        <v>710.71</v>
      </c>
      <c r="AA201">
        <v>4782.49</v>
      </c>
      <c r="AB201">
        <v>3398953</v>
      </c>
      <c r="AC201" t="b">
        <v>1</v>
      </c>
      <c r="AD201" t="b">
        <v>1</v>
      </c>
      <c r="AE201" t="b">
        <v>0</v>
      </c>
      <c r="AF201" t="b">
        <v>0</v>
      </c>
      <c r="AG201" t="s">
        <v>58</v>
      </c>
      <c r="AH201">
        <v>20</v>
      </c>
      <c r="AI201" t="s">
        <v>59</v>
      </c>
      <c r="AJ201" t="s">
        <v>71</v>
      </c>
      <c r="AL201" t="s">
        <v>72</v>
      </c>
      <c r="AM201" t="s">
        <v>62</v>
      </c>
      <c r="AN201" t="s">
        <v>63</v>
      </c>
      <c r="AO201" t="s">
        <v>1012</v>
      </c>
      <c r="AP201" t="s">
        <v>1081</v>
      </c>
    </row>
    <row r="202" spans="1:42" x14ac:dyDescent="0.45">
      <c r="A202" t="s">
        <v>999</v>
      </c>
      <c r="B202" t="s">
        <v>1000</v>
      </c>
      <c r="C202" t="s">
        <v>1085</v>
      </c>
      <c r="D202">
        <v>2026</v>
      </c>
      <c r="E202" t="s">
        <v>783</v>
      </c>
      <c r="F202" t="s">
        <v>46</v>
      </c>
      <c r="G202">
        <v>4</v>
      </c>
      <c r="J202" t="s">
        <v>1086</v>
      </c>
      <c r="K202" t="s">
        <v>1087</v>
      </c>
      <c r="L202" t="s">
        <v>1088</v>
      </c>
      <c r="M202" t="s">
        <v>1089</v>
      </c>
      <c r="N202" t="s">
        <v>1006</v>
      </c>
      <c r="O202" t="s">
        <v>1007</v>
      </c>
      <c r="P202" t="s">
        <v>1008</v>
      </c>
      <c r="Q202" t="s">
        <v>1090</v>
      </c>
      <c r="S202">
        <v>3</v>
      </c>
      <c r="T202" t="s">
        <v>1091</v>
      </c>
      <c r="U202">
        <v>8631</v>
      </c>
      <c r="V202">
        <v>14095.5</v>
      </c>
      <c r="W202">
        <v>0.61229999999999996</v>
      </c>
      <c r="X202" t="s">
        <v>70</v>
      </c>
      <c r="Y202" t="s">
        <v>1092</v>
      </c>
      <c r="Z202">
        <v>17.71</v>
      </c>
      <c r="AA202">
        <v>95005.32</v>
      </c>
      <c r="AB202">
        <v>1682382</v>
      </c>
      <c r="AC202" t="b">
        <v>1</v>
      </c>
      <c r="AD202" t="b">
        <v>1</v>
      </c>
      <c r="AE202" t="b">
        <v>0</v>
      </c>
      <c r="AF202" t="b">
        <v>0</v>
      </c>
      <c r="AG202" t="s">
        <v>58</v>
      </c>
      <c r="AH202">
        <v>20</v>
      </c>
      <c r="AI202" t="s">
        <v>59</v>
      </c>
      <c r="AJ202" t="s">
        <v>71</v>
      </c>
      <c r="AL202" t="s">
        <v>72</v>
      </c>
      <c r="AM202" t="s">
        <v>62</v>
      </c>
      <c r="AN202" t="s">
        <v>63</v>
      </c>
      <c r="AO202" t="s">
        <v>1093</v>
      </c>
      <c r="AP202" t="s">
        <v>1087</v>
      </c>
    </row>
    <row r="203" spans="1:42" x14ac:dyDescent="0.45">
      <c r="A203" t="s">
        <v>999</v>
      </c>
      <c r="B203" t="s">
        <v>1000</v>
      </c>
      <c r="C203" t="s">
        <v>1085</v>
      </c>
      <c r="D203">
        <v>2026</v>
      </c>
      <c r="E203" t="s">
        <v>783</v>
      </c>
      <c r="F203" t="s">
        <v>46</v>
      </c>
      <c r="G203">
        <v>2</v>
      </c>
      <c r="J203" t="s">
        <v>1094</v>
      </c>
      <c r="K203" t="s">
        <v>1095</v>
      </c>
      <c r="L203" t="s">
        <v>1096</v>
      </c>
      <c r="M203" t="s">
        <v>1097</v>
      </c>
      <c r="N203" t="s">
        <v>1006</v>
      </c>
      <c r="O203" t="s">
        <v>1007</v>
      </c>
      <c r="P203" t="s">
        <v>1008</v>
      </c>
      <c r="Q203" t="s">
        <v>1090</v>
      </c>
      <c r="S203">
        <v>1</v>
      </c>
      <c r="T203" t="s">
        <v>1098</v>
      </c>
      <c r="U203">
        <v>20645</v>
      </c>
      <c r="V203">
        <v>14095.5</v>
      </c>
      <c r="W203">
        <v>1.4646999999999999</v>
      </c>
      <c r="X203" t="s">
        <v>70</v>
      </c>
      <c r="Y203" t="s">
        <v>1092</v>
      </c>
      <c r="Z203">
        <v>38.71</v>
      </c>
      <c r="AA203">
        <v>113183.53</v>
      </c>
      <c r="AB203">
        <v>4381141</v>
      </c>
      <c r="AC203" t="b">
        <v>1</v>
      </c>
      <c r="AD203" t="b">
        <v>1</v>
      </c>
      <c r="AE203" t="b">
        <v>0</v>
      </c>
      <c r="AF203" t="b">
        <v>0</v>
      </c>
      <c r="AG203" t="s">
        <v>58</v>
      </c>
      <c r="AH203">
        <v>20</v>
      </c>
      <c r="AI203" t="s">
        <v>59</v>
      </c>
      <c r="AJ203" t="s">
        <v>71</v>
      </c>
      <c r="AL203" t="s">
        <v>72</v>
      </c>
      <c r="AM203" t="s">
        <v>62</v>
      </c>
      <c r="AN203" t="s">
        <v>63</v>
      </c>
      <c r="AO203" t="s">
        <v>1093</v>
      </c>
      <c r="AP203" t="s">
        <v>1095</v>
      </c>
    </row>
    <row r="204" spans="1:42" x14ac:dyDescent="0.45">
      <c r="A204" t="s">
        <v>999</v>
      </c>
      <c r="B204" t="s">
        <v>1000</v>
      </c>
      <c r="C204" t="s">
        <v>1085</v>
      </c>
      <c r="D204">
        <v>2026</v>
      </c>
      <c r="E204" t="s">
        <v>783</v>
      </c>
      <c r="F204" t="s">
        <v>46</v>
      </c>
      <c r="G204">
        <v>6</v>
      </c>
      <c r="J204" t="s">
        <v>1099</v>
      </c>
      <c r="K204" t="s">
        <v>1100</v>
      </c>
      <c r="L204" t="s">
        <v>1101</v>
      </c>
      <c r="M204" t="s">
        <v>1102</v>
      </c>
      <c r="N204" t="s">
        <v>1006</v>
      </c>
      <c r="O204" t="s">
        <v>1007</v>
      </c>
      <c r="P204" t="s">
        <v>1008</v>
      </c>
      <c r="Q204" t="s">
        <v>1090</v>
      </c>
      <c r="S204">
        <v>5</v>
      </c>
      <c r="T204" t="s">
        <v>1103</v>
      </c>
      <c r="U204">
        <v>13142</v>
      </c>
      <c r="V204">
        <v>14095.5</v>
      </c>
      <c r="W204">
        <v>0.93240000000000001</v>
      </c>
      <c r="X204" t="s">
        <v>70</v>
      </c>
      <c r="Y204" t="s">
        <v>1092</v>
      </c>
      <c r="Z204">
        <v>3.71</v>
      </c>
      <c r="AA204">
        <v>486918.76</v>
      </c>
      <c r="AB204">
        <v>1805637</v>
      </c>
      <c r="AC204" t="b">
        <v>1</v>
      </c>
      <c r="AD204" t="b">
        <v>1</v>
      </c>
      <c r="AE204" t="b">
        <v>0</v>
      </c>
      <c r="AF204" t="b">
        <v>0</v>
      </c>
      <c r="AG204" t="s">
        <v>58</v>
      </c>
      <c r="AH204">
        <v>20</v>
      </c>
      <c r="AI204" t="s">
        <v>59</v>
      </c>
      <c r="AJ204" t="s">
        <v>71</v>
      </c>
      <c r="AL204" t="s">
        <v>72</v>
      </c>
      <c r="AM204" t="s">
        <v>62</v>
      </c>
      <c r="AN204" t="s">
        <v>63</v>
      </c>
      <c r="AO204" t="s">
        <v>1093</v>
      </c>
      <c r="AP204" t="s">
        <v>1100</v>
      </c>
    </row>
    <row r="205" spans="1:42" x14ac:dyDescent="0.45">
      <c r="A205" t="s">
        <v>999</v>
      </c>
      <c r="B205" t="s">
        <v>1000</v>
      </c>
      <c r="C205" t="s">
        <v>1085</v>
      </c>
      <c r="D205">
        <v>2026</v>
      </c>
      <c r="E205" t="s">
        <v>783</v>
      </c>
      <c r="F205" t="s">
        <v>46</v>
      </c>
      <c r="G205">
        <v>1</v>
      </c>
      <c r="J205" t="s">
        <v>1104</v>
      </c>
      <c r="K205" t="s">
        <v>1105</v>
      </c>
      <c r="L205" t="s">
        <v>1106</v>
      </c>
      <c r="M205" t="s">
        <v>1107</v>
      </c>
      <c r="N205" t="s">
        <v>1006</v>
      </c>
      <c r="O205" t="s">
        <v>1007</v>
      </c>
      <c r="P205" t="s">
        <v>1008</v>
      </c>
      <c r="Q205" t="s">
        <v>1090</v>
      </c>
      <c r="S205">
        <v>0</v>
      </c>
      <c r="T205" t="s">
        <v>1108</v>
      </c>
      <c r="U205">
        <v>20305</v>
      </c>
      <c r="V205">
        <v>14095.5</v>
      </c>
      <c r="W205">
        <v>1.4404999999999999</v>
      </c>
      <c r="X205" t="s">
        <v>70</v>
      </c>
      <c r="Y205" t="s">
        <v>1092</v>
      </c>
      <c r="Z205">
        <v>45.71</v>
      </c>
      <c r="AA205">
        <v>144358.04999999999</v>
      </c>
      <c r="AB205">
        <v>6598360</v>
      </c>
      <c r="AC205" t="b">
        <v>1</v>
      </c>
      <c r="AD205" t="b">
        <v>1</v>
      </c>
      <c r="AE205" t="b">
        <v>0</v>
      </c>
      <c r="AF205" t="b">
        <v>0</v>
      </c>
      <c r="AG205" t="s">
        <v>58</v>
      </c>
      <c r="AH205">
        <v>20</v>
      </c>
      <c r="AI205" t="s">
        <v>59</v>
      </c>
      <c r="AJ205" t="s">
        <v>71</v>
      </c>
      <c r="AL205" t="s">
        <v>72</v>
      </c>
      <c r="AM205" t="s">
        <v>62</v>
      </c>
      <c r="AN205" t="s">
        <v>63</v>
      </c>
      <c r="AO205" t="s">
        <v>1093</v>
      </c>
      <c r="AP205" t="s">
        <v>1105</v>
      </c>
    </row>
    <row r="206" spans="1:42" x14ac:dyDescent="0.45">
      <c r="A206" t="s">
        <v>999</v>
      </c>
      <c r="B206" t="s">
        <v>1000</v>
      </c>
      <c r="C206" t="s">
        <v>1085</v>
      </c>
      <c r="D206">
        <v>2026</v>
      </c>
      <c r="E206" t="s">
        <v>783</v>
      </c>
      <c r="F206" t="s">
        <v>46</v>
      </c>
      <c r="G206">
        <v>3</v>
      </c>
      <c r="J206" t="s">
        <v>1109</v>
      </c>
      <c r="K206" t="s">
        <v>1110</v>
      </c>
      <c r="L206" t="s">
        <v>1111</v>
      </c>
      <c r="M206" t="s">
        <v>1112</v>
      </c>
      <c r="N206" t="s">
        <v>1006</v>
      </c>
      <c r="O206" t="s">
        <v>1007</v>
      </c>
      <c r="P206" t="s">
        <v>1008</v>
      </c>
      <c r="Q206" t="s">
        <v>1090</v>
      </c>
      <c r="S206">
        <v>2</v>
      </c>
      <c r="T206" t="s">
        <v>1113</v>
      </c>
      <c r="U206">
        <v>13145</v>
      </c>
      <c r="V206">
        <v>14095.5</v>
      </c>
      <c r="W206">
        <v>0.93259999999999998</v>
      </c>
      <c r="X206" t="s">
        <v>70</v>
      </c>
      <c r="Y206" t="s">
        <v>1092</v>
      </c>
      <c r="Z206">
        <v>24.71</v>
      </c>
      <c r="AA206">
        <v>122458.4</v>
      </c>
      <c r="AB206">
        <v>3025738</v>
      </c>
      <c r="AC206" t="b">
        <v>1</v>
      </c>
      <c r="AD206" t="b">
        <v>1</v>
      </c>
      <c r="AE206" t="b">
        <v>0</v>
      </c>
      <c r="AF206" t="b">
        <v>0</v>
      </c>
      <c r="AG206" t="s">
        <v>58</v>
      </c>
      <c r="AH206">
        <v>20</v>
      </c>
      <c r="AI206" t="s">
        <v>59</v>
      </c>
      <c r="AJ206" t="s">
        <v>71</v>
      </c>
      <c r="AL206" t="s">
        <v>72</v>
      </c>
      <c r="AM206" t="s">
        <v>62</v>
      </c>
      <c r="AN206" t="s">
        <v>63</v>
      </c>
      <c r="AO206" t="s">
        <v>1093</v>
      </c>
      <c r="AP206" t="s">
        <v>1110</v>
      </c>
    </row>
    <row r="207" spans="1:42" x14ac:dyDescent="0.45">
      <c r="A207" t="s">
        <v>999</v>
      </c>
      <c r="B207" t="s">
        <v>1000</v>
      </c>
      <c r="C207" t="s">
        <v>1085</v>
      </c>
      <c r="D207">
        <v>2026</v>
      </c>
      <c r="E207" t="s">
        <v>783</v>
      </c>
      <c r="F207" t="s">
        <v>46</v>
      </c>
      <c r="G207">
        <v>5</v>
      </c>
      <c r="J207" t="s">
        <v>1114</v>
      </c>
      <c r="K207" t="s">
        <v>1115</v>
      </c>
      <c r="L207" t="s">
        <v>1116</v>
      </c>
      <c r="M207" t="s">
        <v>1117</v>
      </c>
      <c r="N207" t="s">
        <v>1006</v>
      </c>
      <c r="O207" t="s">
        <v>1007</v>
      </c>
      <c r="P207" t="s">
        <v>1008</v>
      </c>
      <c r="Q207" t="s">
        <v>1090</v>
      </c>
      <c r="S207">
        <v>4</v>
      </c>
      <c r="T207" t="s">
        <v>1118</v>
      </c>
      <c r="U207">
        <v>15046</v>
      </c>
      <c r="V207">
        <v>14095.5</v>
      </c>
      <c r="W207">
        <v>1.0673999999999999</v>
      </c>
      <c r="X207" t="s">
        <v>70</v>
      </c>
      <c r="Y207" t="s">
        <v>1092</v>
      </c>
      <c r="Z207">
        <v>10.71</v>
      </c>
      <c r="AA207">
        <v>205462.27</v>
      </c>
      <c r="AB207">
        <v>2200150</v>
      </c>
      <c r="AC207" t="b">
        <v>1</v>
      </c>
      <c r="AD207" t="b">
        <v>1</v>
      </c>
      <c r="AE207" t="b">
        <v>0</v>
      </c>
      <c r="AF207" t="b">
        <v>0</v>
      </c>
      <c r="AG207" t="s">
        <v>58</v>
      </c>
      <c r="AH207">
        <v>20</v>
      </c>
      <c r="AI207" t="s">
        <v>59</v>
      </c>
      <c r="AJ207" t="s">
        <v>71</v>
      </c>
      <c r="AL207" t="s">
        <v>72</v>
      </c>
      <c r="AM207" t="s">
        <v>62</v>
      </c>
      <c r="AN207" t="s">
        <v>63</v>
      </c>
      <c r="AO207" t="s">
        <v>1093</v>
      </c>
      <c r="AP207" t="s">
        <v>1115</v>
      </c>
    </row>
    <row r="208" spans="1:42" x14ac:dyDescent="0.45">
      <c r="A208" t="s">
        <v>1119</v>
      </c>
      <c r="B208" t="s">
        <v>1120</v>
      </c>
      <c r="C208" t="s">
        <v>1121</v>
      </c>
      <c r="D208">
        <v>2023</v>
      </c>
      <c r="E208" t="s">
        <v>45</v>
      </c>
      <c r="F208" t="s">
        <v>46</v>
      </c>
      <c r="G208">
        <v>2</v>
      </c>
      <c r="J208" t="s">
        <v>1122</v>
      </c>
      <c r="K208" t="s">
        <v>1123</v>
      </c>
      <c r="L208" t="s">
        <v>1124</v>
      </c>
      <c r="M208" t="s">
        <v>1125</v>
      </c>
      <c r="N208" t="s">
        <v>1006</v>
      </c>
      <c r="O208" t="s">
        <v>1007</v>
      </c>
      <c r="P208" t="s">
        <v>1008</v>
      </c>
      <c r="Q208" t="s">
        <v>1126</v>
      </c>
      <c r="S208">
        <v>13</v>
      </c>
      <c r="T208" t="s">
        <v>1127</v>
      </c>
      <c r="U208">
        <v>6271</v>
      </c>
      <c r="V208">
        <v>7138</v>
      </c>
      <c r="W208">
        <v>0.87849999999999995</v>
      </c>
      <c r="X208" t="s">
        <v>70</v>
      </c>
      <c r="Y208" t="s">
        <v>1128</v>
      </c>
      <c r="Z208">
        <v>1011.66</v>
      </c>
      <c r="AA208">
        <v>3941.18</v>
      </c>
      <c r="AB208">
        <v>3987123</v>
      </c>
      <c r="AC208" t="b">
        <v>1</v>
      </c>
      <c r="AD208" t="b">
        <v>1</v>
      </c>
      <c r="AE208" t="b">
        <v>0</v>
      </c>
      <c r="AF208" t="b">
        <v>0</v>
      </c>
      <c r="AG208" t="s">
        <v>58</v>
      </c>
      <c r="AH208">
        <v>20</v>
      </c>
      <c r="AI208" t="s">
        <v>59</v>
      </c>
      <c r="AJ208" t="s">
        <v>71</v>
      </c>
      <c r="AL208" t="s">
        <v>72</v>
      </c>
      <c r="AM208" t="s">
        <v>62</v>
      </c>
      <c r="AN208" t="s">
        <v>63</v>
      </c>
      <c r="AO208" t="s">
        <v>1129</v>
      </c>
      <c r="AP208" t="s">
        <v>1123</v>
      </c>
    </row>
    <row r="209" spans="1:42" x14ac:dyDescent="0.45">
      <c r="A209" t="s">
        <v>1119</v>
      </c>
      <c r="B209" t="s">
        <v>1120</v>
      </c>
      <c r="C209" t="s">
        <v>1121</v>
      </c>
      <c r="D209">
        <v>2023</v>
      </c>
      <c r="E209" t="s">
        <v>45</v>
      </c>
      <c r="F209" t="s">
        <v>46</v>
      </c>
      <c r="G209">
        <v>4</v>
      </c>
      <c r="J209" t="e">
        <v>#NAME?</v>
      </c>
      <c r="K209" t="s">
        <v>1130</v>
      </c>
      <c r="L209" t="s">
        <v>1131</v>
      </c>
      <c r="M209" t="s">
        <v>1132</v>
      </c>
      <c r="N209" t="s">
        <v>1006</v>
      </c>
      <c r="O209" t="s">
        <v>1007</v>
      </c>
      <c r="P209" t="s">
        <v>1008</v>
      </c>
      <c r="Q209" t="s">
        <v>1126</v>
      </c>
      <c r="S209">
        <v>11</v>
      </c>
      <c r="T209" t="s">
        <v>1133</v>
      </c>
      <c r="U209">
        <v>7209</v>
      </c>
      <c r="V209">
        <v>7138</v>
      </c>
      <c r="W209">
        <v>1.0099</v>
      </c>
      <c r="X209" t="s">
        <v>70</v>
      </c>
      <c r="Y209" t="s">
        <v>1128</v>
      </c>
      <c r="Z209">
        <v>997.66</v>
      </c>
      <c r="AA209">
        <v>3573.7</v>
      </c>
      <c r="AB209">
        <v>3565324</v>
      </c>
      <c r="AC209" t="b">
        <v>1</v>
      </c>
      <c r="AD209" t="b">
        <v>1</v>
      </c>
      <c r="AE209" t="b">
        <v>0</v>
      </c>
      <c r="AF209" t="b">
        <v>0</v>
      </c>
      <c r="AG209" t="s">
        <v>58</v>
      </c>
      <c r="AH209">
        <v>20</v>
      </c>
      <c r="AI209" t="s">
        <v>59</v>
      </c>
      <c r="AJ209" t="s">
        <v>71</v>
      </c>
      <c r="AL209" t="s">
        <v>72</v>
      </c>
      <c r="AM209" t="s">
        <v>62</v>
      </c>
      <c r="AN209" t="s">
        <v>63</v>
      </c>
      <c r="AO209" t="s">
        <v>1129</v>
      </c>
      <c r="AP209" t="s">
        <v>1130</v>
      </c>
    </row>
    <row r="210" spans="1:42" x14ac:dyDescent="0.45">
      <c r="A210" t="s">
        <v>1119</v>
      </c>
      <c r="B210" t="s">
        <v>1120</v>
      </c>
      <c r="C210" t="s">
        <v>1121</v>
      </c>
      <c r="D210">
        <v>2023</v>
      </c>
      <c r="E210" t="s">
        <v>45</v>
      </c>
      <c r="F210" t="s">
        <v>46</v>
      </c>
      <c r="G210">
        <v>15</v>
      </c>
      <c r="J210" t="s">
        <v>1134</v>
      </c>
      <c r="K210" t="s">
        <v>1135</v>
      </c>
      <c r="L210" t="s">
        <v>1136</v>
      </c>
      <c r="M210" t="s">
        <v>1137</v>
      </c>
      <c r="N210" t="s">
        <v>1006</v>
      </c>
      <c r="O210" t="s">
        <v>1007</v>
      </c>
      <c r="P210" t="s">
        <v>1008</v>
      </c>
      <c r="Q210" t="s">
        <v>1126</v>
      </c>
      <c r="S210">
        <v>0</v>
      </c>
      <c r="T210" t="s">
        <v>1138</v>
      </c>
      <c r="U210">
        <v>8517</v>
      </c>
      <c r="V210">
        <v>7138</v>
      </c>
      <c r="W210">
        <v>1.1932</v>
      </c>
      <c r="X210" t="s">
        <v>70</v>
      </c>
      <c r="Y210" t="s">
        <v>1128</v>
      </c>
      <c r="Z210">
        <v>920.66</v>
      </c>
      <c r="AA210">
        <v>3511.89</v>
      </c>
      <c r="AB210">
        <v>3233242</v>
      </c>
      <c r="AC210" t="b">
        <v>1</v>
      </c>
      <c r="AD210" t="b">
        <v>1</v>
      </c>
      <c r="AE210" t="b">
        <v>0</v>
      </c>
      <c r="AF210" t="b">
        <v>0</v>
      </c>
      <c r="AG210" t="s">
        <v>58</v>
      </c>
      <c r="AH210">
        <v>20</v>
      </c>
      <c r="AI210" t="s">
        <v>59</v>
      </c>
      <c r="AJ210" t="s">
        <v>71</v>
      </c>
      <c r="AL210" t="s">
        <v>72</v>
      </c>
      <c r="AM210" t="s">
        <v>62</v>
      </c>
      <c r="AN210" t="s">
        <v>63</v>
      </c>
      <c r="AO210" t="s">
        <v>1129</v>
      </c>
      <c r="AP210" t="s">
        <v>1135</v>
      </c>
    </row>
    <row r="211" spans="1:42" x14ac:dyDescent="0.45">
      <c r="A211" t="s">
        <v>1119</v>
      </c>
      <c r="B211" t="s">
        <v>1120</v>
      </c>
      <c r="C211" t="s">
        <v>1121</v>
      </c>
      <c r="D211">
        <v>2023</v>
      </c>
      <c r="E211" t="s">
        <v>45</v>
      </c>
      <c r="F211" t="s">
        <v>46</v>
      </c>
      <c r="G211">
        <v>5</v>
      </c>
      <c r="J211" t="s">
        <v>1139</v>
      </c>
      <c r="K211" t="s">
        <v>1140</v>
      </c>
      <c r="L211" t="s">
        <v>1141</v>
      </c>
      <c r="M211" t="s">
        <v>1142</v>
      </c>
      <c r="N211" t="s">
        <v>1006</v>
      </c>
      <c r="O211" t="s">
        <v>1007</v>
      </c>
      <c r="P211" t="s">
        <v>1008</v>
      </c>
      <c r="Q211" t="s">
        <v>1126</v>
      </c>
      <c r="S211">
        <v>10</v>
      </c>
      <c r="T211" t="s">
        <v>1143</v>
      </c>
      <c r="U211">
        <v>7520</v>
      </c>
      <c r="V211">
        <v>7138</v>
      </c>
      <c r="W211">
        <v>1.0535000000000001</v>
      </c>
      <c r="X211" t="s">
        <v>70</v>
      </c>
      <c r="Y211" t="s">
        <v>1128</v>
      </c>
      <c r="Z211">
        <v>990.66</v>
      </c>
      <c r="AA211">
        <v>4325.66</v>
      </c>
      <c r="AB211">
        <v>4285240</v>
      </c>
      <c r="AC211" t="b">
        <v>1</v>
      </c>
      <c r="AD211" t="b">
        <v>1</v>
      </c>
      <c r="AE211" t="b">
        <v>0</v>
      </c>
      <c r="AF211" t="b">
        <v>0</v>
      </c>
      <c r="AG211" t="s">
        <v>58</v>
      </c>
      <c r="AH211">
        <v>20</v>
      </c>
      <c r="AI211" t="s">
        <v>59</v>
      </c>
      <c r="AJ211" t="s">
        <v>71</v>
      </c>
      <c r="AL211" t="s">
        <v>72</v>
      </c>
      <c r="AM211" t="s">
        <v>62</v>
      </c>
      <c r="AN211" t="s">
        <v>63</v>
      </c>
      <c r="AO211" t="s">
        <v>1129</v>
      </c>
      <c r="AP211" t="s">
        <v>1140</v>
      </c>
    </row>
    <row r="212" spans="1:42" x14ac:dyDescent="0.45">
      <c r="A212" t="s">
        <v>1119</v>
      </c>
      <c r="B212" t="s">
        <v>1120</v>
      </c>
      <c r="C212" t="s">
        <v>1121</v>
      </c>
      <c r="D212">
        <v>2023</v>
      </c>
      <c r="E212" t="s">
        <v>45</v>
      </c>
      <c r="F212" t="s">
        <v>46</v>
      </c>
      <c r="G212">
        <v>7</v>
      </c>
      <c r="J212" t="s">
        <v>1144</v>
      </c>
      <c r="K212" t="s">
        <v>1145</v>
      </c>
      <c r="L212" t="s">
        <v>1146</v>
      </c>
      <c r="M212" t="s">
        <v>1147</v>
      </c>
      <c r="N212" t="s">
        <v>1006</v>
      </c>
      <c r="O212" t="s">
        <v>1007</v>
      </c>
      <c r="P212" t="s">
        <v>1008</v>
      </c>
      <c r="Q212" t="s">
        <v>1126</v>
      </c>
      <c r="S212">
        <v>8</v>
      </c>
      <c r="T212" t="s">
        <v>1148</v>
      </c>
      <c r="U212">
        <v>7034</v>
      </c>
      <c r="V212">
        <v>7138</v>
      </c>
      <c r="W212">
        <v>0.98540000000000005</v>
      </c>
      <c r="X212" t="s">
        <v>70</v>
      </c>
      <c r="Y212" t="s">
        <v>1128</v>
      </c>
      <c r="Z212">
        <v>976.66</v>
      </c>
      <c r="AA212">
        <v>3435.98</v>
      </c>
      <c r="AB212">
        <v>3355775</v>
      </c>
      <c r="AC212" t="b">
        <v>1</v>
      </c>
      <c r="AD212" t="b">
        <v>1</v>
      </c>
      <c r="AE212" t="b">
        <v>0</v>
      </c>
      <c r="AF212" t="b">
        <v>0</v>
      </c>
      <c r="AG212" t="s">
        <v>58</v>
      </c>
      <c r="AH212">
        <v>20</v>
      </c>
      <c r="AI212" t="s">
        <v>59</v>
      </c>
      <c r="AJ212" t="s">
        <v>71</v>
      </c>
      <c r="AL212" t="s">
        <v>72</v>
      </c>
      <c r="AM212" t="s">
        <v>62</v>
      </c>
      <c r="AN212" t="s">
        <v>63</v>
      </c>
      <c r="AO212" t="s">
        <v>1129</v>
      </c>
      <c r="AP212" t="s">
        <v>1145</v>
      </c>
    </row>
    <row r="213" spans="1:42" x14ac:dyDescent="0.45">
      <c r="A213" t="s">
        <v>1119</v>
      </c>
      <c r="B213" t="s">
        <v>1120</v>
      </c>
      <c r="C213" t="s">
        <v>1121</v>
      </c>
      <c r="D213">
        <v>2023</v>
      </c>
      <c r="E213" t="s">
        <v>45</v>
      </c>
      <c r="F213" t="s">
        <v>46</v>
      </c>
      <c r="G213">
        <v>14</v>
      </c>
      <c r="J213" t="s">
        <v>1149</v>
      </c>
      <c r="K213" t="s">
        <v>1150</v>
      </c>
      <c r="L213" t="s">
        <v>1151</v>
      </c>
      <c r="M213" t="s">
        <v>1152</v>
      </c>
      <c r="N213" t="s">
        <v>1006</v>
      </c>
      <c r="O213" t="s">
        <v>1007</v>
      </c>
      <c r="P213" t="s">
        <v>1008</v>
      </c>
      <c r="Q213" t="s">
        <v>1126</v>
      </c>
      <c r="S213">
        <v>1</v>
      </c>
      <c r="T213" t="s">
        <v>1153</v>
      </c>
      <c r="U213">
        <v>6304</v>
      </c>
      <c r="V213">
        <v>7138</v>
      </c>
      <c r="W213">
        <v>0.88319999999999999</v>
      </c>
      <c r="X213" t="s">
        <v>70</v>
      </c>
      <c r="Y213" t="s">
        <v>1128</v>
      </c>
      <c r="Z213">
        <v>927.66</v>
      </c>
      <c r="AA213">
        <v>3016.92</v>
      </c>
      <c r="AB213">
        <v>2798669</v>
      </c>
      <c r="AC213" t="b">
        <v>1</v>
      </c>
      <c r="AD213" t="b">
        <v>1</v>
      </c>
      <c r="AE213" t="b">
        <v>0</v>
      </c>
      <c r="AF213" t="b">
        <v>0</v>
      </c>
      <c r="AG213" t="s">
        <v>58</v>
      </c>
      <c r="AH213">
        <v>20</v>
      </c>
      <c r="AI213" t="s">
        <v>59</v>
      </c>
      <c r="AJ213" t="s">
        <v>71</v>
      </c>
      <c r="AL213" t="s">
        <v>72</v>
      </c>
      <c r="AM213" t="s">
        <v>62</v>
      </c>
      <c r="AN213" t="s">
        <v>63</v>
      </c>
      <c r="AO213" t="s">
        <v>1129</v>
      </c>
      <c r="AP213" t="s">
        <v>1150</v>
      </c>
    </row>
    <row r="214" spans="1:42" x14ac:dyDescent="0.45">
      <c r="A214" t="s">
        <v>1119</v>
      </c>
      <c r="B214" t="s">
        <v>1120</v>
      </c>
      <c r="C214" t="s">
        <v>1121</v>
      </c>
      <c r="D214">
        <v>2023</v>
      </c>
      <c r="E214" t="s">
        <v>45</v>
      </c>
      <c r="F214" t="s">
        <v>46</v>
      </c>
      <c r="G214">
        <v>3</v>
      </c>
      <c r="J214" t="s">
        <v>1154</v>
      </c>
      <c r="K214" t="s">
        <v>1155</v>
      </c>
      <c r="L214" t="s">
        <v>1156</v>
      </c>
      <c r="M214" t="s">
        <v>1157</v>
      </c>
      <c r="N214" t="s">
        <v>1006</v>
      </c>
      <c r="O214" t="s">
        <v>1007</v>
      </c>
      <c r="P214" t="s">
        <v>1008</v>
      </c>
      <c r="Q214" t="s">
        <v>1126</v>
      </c>
      <c r="S214">
        <v>12</v>
      </c>
      <c r="T214" t="s">
        <v>1158</v>
      </c>
      <c r="U214">
        <v>6831</v>
      </c>
      <c r="V214">
        <v>7138</v>
      </c>
      <c r="W214">
        <v>0.95699999999999996</v>
      </c>
      <c r="X214" t="s">
        <v>70</v>
      </c>
      <c r="Y214" t="s">
        <v>1128</v>
      </c>
      <c r="Z214">
        <v>1004.66</v>
      </c>
      <c r="AA214">
        <v>3713.59</v>
      </c>
      <c r="AB214">
        <v>3730880</v>
      </c>
      <c r="AC214" t="b">
        <v>1</v>
      </c>
      <c r="AD214" t="b">
        <v>1</v>
      </c>
      <c r="AE214" t="b">
        <v>0</v>
      </c>
      <c r="AF214" t="b">
        <v>0</v>
      </c>
      <c r="AG214" t="s">
        <v>58</v>
      </c>
      <c r="AH214">
        <v>20</v>
      </c>
      <c r="AI214" t="s">
        <v>59</v>
      </c>
      <c r="AJ214" t="s">
        <v>71</v>
      </c>
      <c r="AL214" t="s">
        <v>72</v>
      </c>
      <c r="AM214" t="s">
        <v>62</v>
      </c>
      <c r="AN214" t="s">
        <v>63</v>
      </c>
      <c r="AO214" t="s">
        <v>1129</v>
      </c>
      <c r="AP214" t="s">
        <v>1155</v>
      </c>
    </row>
    <row r="215" spans="1:42" x14ac:dyDescent="0.45">
      <c r="A215" t="s">
        <v>1119</v>
      </c>
      <c r="B215" t="s">
        <v>1120</v>
      </c>
      <c r="C215" t="s">
        <v>1121</v>
      </c>
      <c r="D215">
        <v>2023</v>
      </c>
      <c r="E215" t="s">
        <v>45</v>
      </c>
      <c r="F215" t="s">
        <v>46</v>
      </c>
      <c r="G215">
        <v>11</v>
      </c>
      <c r="J215" t="s">
        <v>1159</v>
      </c>
      <c r="K215" t="s">
        <v>1160</v>
      </c>
      <c r="L215" t="s">
        <v>1161</v>
      </c>
      <c r="M215" t="s">
        <v>1162</v>
      </c>
      <c r="N215" t="s">
        <v>1006</v>
      </c>
      <c r="O215" t="s">
        <v>1007</v>
      </c>
      <c r="P215" t="s">
        <v>1008</v>
      </c>
      <c r="Q215" t="s">
        <v>1126</v>
      </c>
      <c r="S215">
        <v>4</v>
      </c>
      <c r="T215" t="s">
        <v>1163</v>
      </c>
      <c r="U215">
        <v>8498</v>
      </c>
      <c r="V215">
        <v>7138</v>
      </c>
      <c r="W215">
        <v>1.1904999999999999</v>
      </c>
      <c r="X215" t="s">
        <v>70</v>
      </c>
      <c r="Y215" t="s">
        <v>1128</v>
      </c>
      <c r="Z215">
        <v>948.66</v>
      </c>
      <c r="AA215">
        <v>4161.84</v>
      </c>
      <c r="AB215">
        <v>3948160</v>
      </c>
      <c r="AC215" t="b">
        <v>1</v>
      </c>
      <c r="AD215" t="b">
        <v>1</v>
      </c>
      <c r="AE215" t="b">
        <v>0</v>
      </c>
      <c r="AF215" t="b">
        <v>0</v>
      </c>
      <c r="AG215" t="s">
        <v>58</v>
      </c>
      <c r="AH215">
        <v>20</v>
      </c>
      <c r="AI215" t="s">
        <v>59</v>
      </c>
      <c r="AJ215" t="s">
        <v>71</v>
      </c>
      <c r="AL215" t="s">
        <v>72</v>
      </c>
      <c r="AM215" t="s">
        <v>62</v>
      </c>
      <c r="AN215" t="s">
        <v>63</v>
      </c>
      <c r="AO215" t="s">
        <v>1129</v>
      </c>
      <c r="AP215" t="s">
        <v>1160</v>
      </c>
    </row>
    <row r="216" spans="1:42" x14ac:dyDescent="0.45">
      <c r="A216" t="s">
        <v>1119</v>
      </c>
      <c r="B216" t="s">
        <v>1120</v>
      </c>
      <c r="C216" t="s">
        <v>1121</v>
      </c>
      <c r="D216">
        <v>2023</v>
      </c>
      <c r="E216" t="s">
        <v>45</v>
      </c>
      <c r="F216" t="s">
        <v>46</v>
      </c>
      <c r="G216">
        <v>12</v>
      </c>
      <c r="J216" t="s">
        <v>1164</v>
      </c>
      <c r="K216" t="s">
        <v>1165</v>
      </c>
      <c r="L216" t="s">
        <v>1166</v>
      </c>
      <c r="M216" t="s">
        <v>1167</v>
      </c>
      <c r="N216" t="s">
        <v>1006</v>
      </c>
      <c r="O216" t="s">
        <v>1007</v>
      </c>
      <c r="P216" t="s">
        <v>1008</v>
      </c>
      <c r="Q216" t="s">
        <v>1126</v>
      </c>
      <c r="S216">
        <v>3</v>
      </c>
      <c r="T216" t="s">
        <v>1168</v>
      </c>
      <c r="U216">
        <v>7700</v>
      </c>
      <c r="V216">
        <v>7138</v>
      </c>
      <c r="W216">
        <v>1.0787</v>
      </c>
      <c r="X216" t="s">
        <v>70</v>
      </c>
      <c r="Y216" t="s">
        <v>1128</v>
      </c>
      <c r="Z216">
        <v>941.66</v>
      </c>
      <c r="AA216">
        <v>3710.27</v>
      </c>
      <c r="AB216">
        <v>3493803</v>
      </c>
      <c r="AC216" t="b">
        <v>1</v>
      </c>
      <c r="AD216" t="b">
        <v>1</v>
      </c>
      <c r="AE216" t="b">
        <v>0</v>
      </c>
      <c r="AF216" t="b">
        <v>0</v>
      </c>
      <c r="AG216" t="s">
        <v>58</v>
      </c>
      <c r="AH216">
        <v>20</v>
      </c>
      <c r="AI216" t="s">
        <v>59</v>
      </c>
      <c r="AJ216" t="s">
        <v>71</v>
      </c>
      <c r="AL216" t="s">
        <v>72</v>
      </c>
      <c r="AM216" t="s">
        <v>62</v>
      </c>
      <c r="AN216" t="s">
        <v>63</v>
      </c>
      <c r="AO216" t="s">
        <v>1129</v>
      </c>
      <c r="AP216" t="s">
        <v>1165</v>
      </c>
    </row>
    <row r="217" spans="1:42" x14ac:dyDescent="0.45">
      <c r="A217" t="s">
        <v>1119</v>
      </c>
      <c r="B217" t="s">
        <v>1120</v>
      </c>
      <c r="C217" t="s">
        <v>1121</v>
      </c>
      <c r="D217">
        <v>2023</v>
      </c>
      <c r="E217" t="s">
        <v>45</v>
      </c>
      <c r="F217" t="s">
        <v>46</v>
      </c>
      <c r="G217">
        <v>10</v>
      </c>
      <c r="J217" t="s">
        <v>1169</v>
      </c>
      <c r="K217" t="s">
        <v>1170</v>
      </c>
      <c r="L217" t="s">
        <v>1171</v>
      </c>
      <c r="M217" t="s">
        <v>1172</v>
      </c>
      <c r="N217" t="s">
        <v>1006</v>
      </c>
      <c r="O217" t="s">
        <v>1007</v>
      </c>
      <c r="P217" t="s">
        <v>1008</v>
      </c>
      <c r="Q217" t="s">
        <v>1126</v>
      </c>
      <c r="S217">
        <v>5</v>
      </c>
      <c r="T217" t="s">
        <v>1173</v>
      </c>
      <c r="U217">
        <v>7401</v>
      </c>
      <c r="V217">
        <v>7138</v>
      </c>
      <c r="W217">
        <v>1.0367999999999999</v>
      </c>
      <c r="X217" t="s">
        <v>70</v>
      </c>
      <c r="Y217" t="s">
        <v>1128</v>
      </c>
      <c r="Z217">
        <v>955.66</v>
      </c>
      <c r="AA217">
        <v>3144.81</v>
      </c>
      <c r="AB217">
        <v>3005355</v>
      </c>
      <c r="AC217" t="b">
        <v>1</v>
      </c>
      <c r="AD217" t="b">
        <v>1</v>
      </c>
      <c r="AE217" t="b">
        <v>0</v>
      </c>
      <c r="AF217" t="b">
        <v>0</v>
      </c>
      <c r="AG217" t="s">
        <v>58</v>
      </c>
      <c r="AH217">
        <v>20</v>
      </c>
      <c r="AI217" t="s">
        <v>59</v>
      </c>
      <c r="AJ217" t="s">
        <v>71</v>
      </c>
      <c r="AL217" t="s">
        <v>72</v>
      </c>
      <c r="AM217" t="s">
        <v>62</v>
      </c>
      <c r="AN217" t="s">
        <v>63</v>
      </c>
      <c r="AO217" t="s">
        <v>1129</v>
      </c>
      <c r="AP217" t="s">
        <v>1170</v>
      </c>
    </row>
    <row r="218" spans="1:42" x14ac:dyDescent="0.45">
      <c r="A218" t="s">
        <v>1119</v>
      </c>
      <c r="B218" t="s">
        <v>1120</v>
      </c>
      <c r="C218" t="s">
        <v>1121</v>
      </c>
      <c r="D218">
        <v>2023</v>
      </c>
      <c r="E218" t="s">
        <v>45</v>
      </c>
      <c r="F218" t="s">
        <v>46</v>
      </c>
      <c r="G218">
        <v>6</v>
      </c>
      <c r="J218" t="s">
        <v>1174</v>
      </c>
      <c r="K218" t="s">
        <v>1175</v>
      </c>
      <c r="L218" t="s">
        <v>1176</v>
      </c>
      <c r="M218" t="s">
        <v>1177</v>
      </c>
      <c r="N218" t="s">
        <v>1006</v>
      </c>
      <c r="O218" t="s">
        <v>1007</v>
      </c>
      <c r="P218" t="s">
        <v>1008</v>
      </c>
      <c r="Q218" t="s">
        <v>1126</v>
      </c>
      <c r="S218">
        <v>9</v>
      </c>
      <c r="T218" t="s">
        <v>1178</v>
      </c>
      <c r="U218">
        <v>6901</v>
      </c>
      <c r="V218">
        <v>7138</v>
      </c>
      <c r="W218">
        <v>0.96679999999999999</v>
      </c>
      <c r="X218" t="s">
        <v>70</v>
      </c>
      <c r="Y218" t="s">
        <v>1128</v>
      </c>
      <c r="Z218">
        <v>983.66</v>
      </c>
      <c r="AA218">
        <v>2768.51</v>
      </c>
      <c r="AB218">
        <v>2723263</v>
      </c>
      <c r="AC218" t="b">
        <v>1</v>
      </c>
      <c r="AD218" t="b">
        <v>1</v>
      </c>
      <c r="AE218" t="b">
        <v>0</v>
      </c>
      <c r="AF218" t="b">
        <v>0</v>
      </c>
      <c r="AG218" t="s">
        <v>58</v>
      </c>
      <c r="AH218">
        <v>20</v>
      </c>
      <c r="AI218" t="s">
        <v>59</v>
      </c>
      <c r="AJ218" t="s">
        <v>71</v>
      </c>
      <c r="AL218" t="s">
        <v>72</v>
      </c>
      <c r="AM218" t="s">
        <v>62</v>
      </c>
      <c r="AN218" t="s">
        <v>63</v>
      </c>
      <c r="AO218" t="s">
        <v>1129</v>
      </c>
      <c r="AP218" t="s">
        <v>1175</v>
      </c>
    </row>
    <row r="219" spans="1:42" x14ac:dyDescent="0.45">
      <c r="A219" t="s">
        <v>1119</v>
      </c>
      <c r="B219" t="s">
        <v>1120</v>
      </c>
      <c r="C219" t="s">
        <v>1121</v>
      </c>
      <c r="D219">
        <v>2023</v>
      </c>
      <c r="E219" t="s">
        <v>45</v>
      </c>
      <c r="F219" t="s">
        <v>46</v>
      </c>
      <c r="G219">
        <v>13</v>
      </c>
      <c r="J219" t="s">
        <v>1179</v>
      </c>
      <c r="K219" t="s">
        <v>1180</v>
      </c>
      <c r="L219" t="s">
        <v>1181</v>
      </c>
      <c r="M219" t="s">
        <v>1182</v>
      </c>
      <c r="N219" t="s">
        <v>1006</v>
      </c>
      <c r="O219" t="s">
        <v>1007</v>
      </c>
      <c r="P219" t="s">
        <v>1008</v>
      </c>
      <c r="Q219" t="s">
        <v>1126</v>
      </c>
      <c r="S219">
        <v>2</v>
      </c>
      <c r="T219" t="s">
        <v>1183</v>
      </c>
      <c r="U219">
        <v>7138</v>
      </c>
      <c r="V219">
        <v>7138</v>
      </c>
      <c r="W219">
        <v>1</v>
      </c>
      <c r="X219" t="s">
        <v>70</v>
      </c>
      <c r="Y219" t="s">
        <v>1128</v>
      </c>
      <c r="Z219">
        <v>933.8</v>
      </c>
      <c r="AA219">
        <v>2225.29</v>
      </c>
      <c r="AB219">
        <v>2077977</v>
      </c>
      <c r="AC219" t="b">
        <v>1</v>
      </c>
      <c r="AD219" t="b">
        <v>1</v>
      </c>
      <c r="AE219" t="b">
        <v>0</v>
      </c>
      <c r="AF219" t="b">
        <v>0</v>
      </c>
      <c r="AG219" t="s">
        <v>58</v>
      </c>
      <c r="AH219">
        <v>20</v>
      </c>
      <c r="AI219" t="s">
        <v>59</v>
      </c>
      <c r="AJ219" t="s">
        <v>71</v>
      </c>
      <c r="AL219" t="s">
        <v>72</v>
      </c>
      <c r="AM219" t="s">
        <v>62</v>
      </c>
      <c r="AN219" t="s">
        <v>63</v>
      </c>
      <c r="AO219" t="s">
        <v>1129</v>
      </c>
      <c r="AP219" t="s">
        <v>1180</v>
      </c>
    </row>
    <row r="220" spans="1:42" x14ac:dyDescent="0.45">
      <c r="A220" t="s">
        <v>1119</v>
      </c>
      <c r="B220" t="s">
        <v>1120</v>
      </c>
      <c r="C220" t="s">
        <v>1121</v>
      </c>
      <c r="D220">
        <v>2023</v>
      </c>
      <c r="E220" t="s">
        <v>45</v>
      </c>
      <c r="F220" t="s">
        <v>46</v>
      </c>
      <c r="G220">
        <v>9</v>
      </c>
      <c r="J220" t="s">
        <v>1184</v>
      </c>
      <c r="K220" t="s">
        <v>1185</v>
      </c>
      <c r="L220" t="s">
        <v>1186</v>
      </c>
      <c r="M220" t="s">
        <v>1187</v>
      </c>
      <c r="N220" t="s">
        <v>1006</v>
      </c>
      <c r="O220" t="s">
        <v>1007</v>
      </c>
      <c r="P220" t="s">
        <v>1008</v>
      </c>
      <c r="Q220" t="s">
        <v>1126</v>
      </c>
      <c r="S220">
        <v>6</v>
      </c>
      <c r="T220" t="s">
        <v>1188</v>
      </c>
      <c r="U220">
        <v>5766</v>
      </c>
      <c r="V220">
        <v>7138</v>
      </c>
      <c r="W220">
        <v>0.80779999999999996</v>
      </c>
      <c r="X220" t="s">
        <v>70</v>
      </c>
      <c r="Y220" t="s">
        <v>1128</v>
      </c>
      <c r="Z220">
        <v>962.66</v>
      </c>
      <c r="AA220">
        <v>3220.82</v>
      </c>
      <c r="AB220">
        <v>3100541</v>
      </c>
      <c r="AC220" t="b">
        <v>1</v>
      </c>
      <c r="AD220" t="b">
        <v>1</v>
      </c>
      <c r="AE220" t="b">
        <v>0</v>
      </c>
      <c r="AF220" t="b">
        <v>0</v>
      </c>
      <c r="AG220" t="s">
        <v>58</v>
      </c>
      <c r="AH220">
        <v>20</v>
      </c>
      <c r="AI220" t="s">
        <v>59</v>
      </c>
      <c r="AJ220" t="s">
        <v>71</v>
      </c>
      <c r="AL220" t="s">
        <v>72</v>
      </c>
      <c r="AM220" t="s">
        <v>62</v>
      </c>
      <c r="AN220" t="s">
        <v>63</v>
      </c>
      <c r="AO220" t="s">
        <v>1129</v>
      </c>
      <c r="AP220" t="s">
        <v>1185</v>
      </c>
    </row>
    <row r="221" spans="1:42" x14ac:dyDescent="0.45">
      <c r="A221" t="s">
        <v>1119</v>
      </c>
      <c r="B221" t="s">
        <v>1120</v>
      </c>
      <c r="C221" t="s">
        <v>1121</v>
      </c>
      <c r="D221">
        <v>2023</v>
      </c>
      <c r="E221" t="s">
        <v>45</v>
      </c>
      <c r="F221" t="s">
        <v>46</v>
      </c>
      <c r="G221">
        <v>8</v>
      </c>
      <c r="J221" t="s">
        <v>1189</v>
      </c>
      <c r="K221" t="s">
        <v>1190</v>
      </c>
      <c r="L221" t="s">
        <v>1191</v>
      </c>
      <c r="M221" t="s">
        <v>1192</v>
      </c>
      <c r="N221" t="s">
        <v>1006</v>
      </c>
      <c r="O221" t="s">
        <v>1007</v>
      </c>
      <c r="P221" t="s">
        <v>1008</v>
      </c>
      <c r="Q221" t="s">
        <v>1126</v>
      </c>
      <c r="S221">
        <v>7</v>
      </c>
      <c r="T221" t="s">
        <v>1193</v>
      </c>
      <c r="U221">
        <v>6439</v>
      </c>
      <c r="V221">
        <v>7138</v>
      </c>
      <c r="W221">
        <v>0.90210000000000001</v>
      </c>
      <c r="X221" t="s">
        <v>70</v>
      </c>
      <c r="Y221" t="s">
        <v>1128</v>
      </c>
      <c r="Z221">
        <v>969.66</v>
      </c>
      <c r="AA221">
        <v>2573.21</v>
      </c>
      <c r="AB221">
        <v>2495128</v>
      </c>
      <c r="AC221" t="b">
        <v>1</v>
      </c>
      <c r="AD221" t="b">
        <v>1</v>
      </c>
      <c r="AE221" t="b">
        <v>0</v>
      </c>
      <c r="AF221" t="b">
        <v>0</v>
      </c>
      <c r="AG221" t="s">
        <v>58</v>
      </c>
      <c r="AH221">
        <v>20</v>
      </c>
      <c r="AI221" t="s">
        <v>59</v>
      </c>
      <c r="AJ221" t="s">
        <v>71</v>
      </c>
      <c r="AL221" t="s">
        <v>72</v>
      </c>
      <c r="AM221" t="s">
        <v>62</v>
      </c>
      <c r="AN221" t="s">
        <v>63</v>
      </c>
      <c r="AO221" t="s">
        <v>1129</v>
      </c>
      <c r="AP221" t="s">
        <v>1190</v>
      </c>
    </row>
    <row r="222" spans="1:42" x14ac:dyDescent="0.45">
      <c r="A222" t="s">
        <v>1119</v>
      </c>
      <c r="B222" t="s">
        <v>1120</v>
      </c>
      <c r="C222" t="s">
        <v>1121</v>
      </c>
      <c r="D222">
        <v>2023</v>
      </c>
      <c r="E222" t="s">
        <v>45</v>
      </c>
      <c r="F222" t="s">
        <v>46</v>
      </c>
      <c r="G222">
        <v>1</v>
      </c>
      <c r="J222" t="s">
        <v>1194</v>
      </c>
      <c r="K222" t="s">
        <v>1195</v>
      </c>
      <c r="L222" t="s">
        <v>1196</v>
      </c>
      <c r="M222" t="s">
        <v>1197</v>
      </c>
      <c r="N222" t="s">
        <v>1006</v>
      </c>
      <c r="O222" t="s">
        <v>1007</v>
      </c>
      <c r="P222" t="s">
        <v>1008</v>
      </c>
      <c r="Q222" t="s">
        <v>1126</v>
      </c>
      <c r="S222">
        <v>14</v>
      </c>
      <c r="T222" t="s">
        <v>1198</v>
      </c>
      <c r="U222">
        <v>7939</v>
      </c>
      <c r="V222">
        <v>7138</v>
      </c>
      <c r="W222">
        <v>1.1122000000000001</v>
      </c>
      <c r="X222" t="s">
        <v>70</v>
      </c>
      <c r="Y222" t="s">
        <v>1128</v>
      </c>
      <c r="Z222">
        <v>1018.66</v>
      </c>
      <c r="AA222">
        <v>6846.93</v>
      </c>
      <c r="AB222">
        <v>6974669</v>
      </c>
      <c r="AC222" t="b">
        <v>1</v>
      </c>
      <c r="AD222" t="b">
        <v>1</v>
      </c>
      <c r="AE222" t="b">
        <v>0</v>
      </c>
      <c r="AF222" t="b">
        <v>0</v>
      </c>
      <c r="AG222" t="s">
        <v>58</v>
      </c>
      <c r="AH222">
        <v>20</v>
      </c>
      <c r="AI222" t="s">
        <v>59</v>
      </c>
      <c r="AJ222" t="s">
        <v>71</v>
      </c>
      <c r="AL222" t="s">
        <v>72</v>
      </c>
      <c r="AM222" t="s">
        <v>62</v>
      </c>
      <c r="AN222" t="s">
        <v>63</v>
      </c>
      <c r="AO222" t="s">
        <v>1129</v>
      </c>
      <c r="AP222" t="s">
        <v>1195</v>
      </c>
    </row>
    <row r="223" spans="1:42" x14ac:dyDescent="0.45">
      <c r="A223" t="s">
        <v>1119</v>
      </c>
      <c r="B223" t="s">
        <v>1120</v>
      </c>
      <c r="C223" t="s">
        <v>1199</v>
      </c>
      <c r="D223">
        <v>2024</v>
      </c>
      <c r="E223" t="s">
        <v>45</v>
      </c>
      <c r="F223" t="s">
        <v>46</v>
      </c>
      <c r="G223">
        <v>14</v>
      </c>
      <c r="J223" t="s">
        <v>1200</v>
      </c>
      <c r="K223" t="s">
        <v>1201</v>
      </c>
      <c r="L223" t="s">
        <v>1202</v>
      </c>
      <c r="M223" t="s">
        <v>1203</v>
      </c>
      <c r="N223" t="s">
        <v>1006</v>
      </c>
      <c r="O223" t="s">
        <v>1007</v>
      </c>
      <c r="P223" t="s">
        <v>1008</v>
      </c>
      <c r="Q223" t="s">
        <v>1204</v>
      </c>
      <c r="S223">
        <v>1</v>
      </c>
      <c r="T223" t="s">
        <v>1205</v>
      </c>
      <c r="U223">
        <v>6530</v>
      </c>
      <c r="V223">
        <v>8636</v>
      </c>
      <c r="W223">
        <v>0.75609999999999999</v>
      </c>
      <c r="X223" t="s">
        <v>70</v>
      </c>
      <c r="Y223" t="s">
        <v>1206</v>
      </c>
      <c r="Z223">
        <v>570.71</v>
      </c>
      <c r="AA223">
        <v>6335.32</v>
      </c>
      <c r="AB223">
        <v>3615627</v>
      </c>
      <c r="AC223" t="b">
        <v>1</v>
      </c>
      <c r="AD223" t="b">
        <v>1</v>
      </c>
      <c r="AE223" t="b">
        <v>0</v>
      </c>
      <c r="AF223" t="b">
        <v>0</v>
      </c>
      <c r="AG223" t="s">
        <v>58</v>
      </c>
      <c r="AH223">
        <v>20</v>
      </c>
      <c r="AI223" t="s">
        <v>59</v>
      </c>
      <c r="AJ223" t="s">
        <v>71</v>
      </c>
      <c r="AL223" t="s">
        <v>72</v>
      </c>
      <c r="AM223" t="s">
        <v>62</v>
      </c>
      <c r="AN223" t="s">
        <v>63</v>
      </c>
      <c r="AO223" t="s">
        <v>1207</v>
      </c>
      <c r="AP223" t="s">
        <v>1201</v>
      </c>
    </row>
    <row r="224" spans="1:42" x14ac:dyDescent="0.45">
      <c r="A224" t="s">
        <v>1119</v>
      </c>
      <c r="B224" t="s">
        <v>1120</v>
      </c>
      <c r="C224" t="s">
        <v>1199</v>
      </c>
      <c r="D224">
        <v>2024</v>
      </c>
      <c r="E224" t="s">
        <v>45</v>
      </c>
      <c r="F224" t="s">
        <v>46</v>
      </c>
      <c r="G224">
        <v>8</v>
      </c>
      <c r="J224" t="s">
        <v>1208</v>
      </c>
      <c r="K224" t="s">
        <v>1209</v>
      </c>
      <c r="L224" t="s">
        <v>1210</v>
      </c>
      <c r="M224" t="s">
        <v>1211</v>
      </c>
      <c r="N224" t="s">
        <v>1006</v>
      </c>
      <c r="O224" t="s">
        <v>1007</v>
      </c>
      <c r="P224" t="s">
        <v>1008</v>
      </c>
      <c r="Q224" t="s">
        <v>1204</v>
      </c>
      <c r="S224">
        <v>7</v>
      </c>
      <c r="T224" t="s">
        <v>1212</v>
      </c>
      <c r="U224">
        <v>9461</v>
      </c>
      <c r="V224">
        <v>8636</v>
      </c>
      <c r="W224">
        <v>1.0954999999999999</v>
      </c>
      <c r="X224" t="s">
        <v>70</v>
      </c>
      <c r="Y224" t="s">
        <v>1206</v>
      </c>
      <c r="Z224">
        <v>611.66999999999996</v>
      </c>
      <c r="AA224">
        <v>5155.1899999999996</v>
      </c>
      <c r="AB224">
        <v>3153266</v>
      </c>
      <c r="AC224" t="b">
        <v>1</v>
      </c>
      <c r="AD224" t="b">
        <v>1</v>
      </c>
      <c r="AE224" t="b">
        <v>0</v>
      </c>
      <c r="AF224" t="b">
        <v>0</v>
      </c>
      <c r="AG224" t="s">
        <v>58</v>
      </c>
      <c r="AH224">
        <v>20</v>
      </c>
      <c r="AI224" t="s">
        <v>59</v>
      </c>
      <c r="AJ224" t="s">
        <v>71</v>
      </c>
      <c r="AL224" t="s">
        <v>72</v>
      </c>
      <c r="AM224" t="s">
        <v>62</v>
      </c>
      <c r="AN224" t="s">
        <v>63</v>
      </c>
      <c r="AO224" t="s">
        <v>1207</v>
      </c>
      <c r="AP224" t="s">
        <v>1209</v>
      </c>
    </row>
    <row r="225" spans="1:42" x14ac:dyDescent="0.45">
      <c r="A225" t="s">
        <v>1119</v>
      </c>
      <c r="B225" t="s">
        <v>1120</v>
      </c>
      <c r="C225" t="s">
        <v>1199</v>
      </c>
      <c r="D225">
        <v>2024</v>
      </c>
      <c r="E225" t="s">
        <v>45</v>
      </c>
      <c r="F225" t="s">
        <v>46</v>
      </c>
      <c r="G225">
        <v>12</v>
      </c>
      <c r="J225" t="s">
        <v>1213</v>
      </c>
      <c r="K225" t="s">
        <v>1214</v>
      </c>
      <c r="L225" t="s">
        <v>1215</v>
      </c>
      <c r="M225" t="s">
        <v>1216</v>
      </c>
      <c r="N225" t="s">
        <v>1027</v>
      </c>
      <c r="O225" t="s">
        <v>1028</v>
      </c>
      <c r="P225" t="s">
        <v>91</v>
      </c>
      <c r="Q225" t="s">
        <v>1204</v>
      </c>
      <c r="S225">
        <v>3</v>
      </c>
      <c r="T225" t="s">
        <v>1217</v>
      </c>
      <c r="U225">
        <v>9093</v>
      </c>
      <c r="V225">
        <v>8636</v>
      </c>
      <c r="W225">
        <v>1.0528999999999999</v>
      </c>
      <c r="X225" t="s">
        <v>70</v>
      </c>
      <c r="Y225" t="s">
        <v>1206</v>
      </c>
      <c r="Z225">
        <v>584.71</v>
      </c>
      <c r="AA225">
        <v>5009.72</v>
      </c>
      <c r="AB225">
        <v>2929234</v>
      </c>
      <c r="AC225" t="b">
        <v>1</v>
      </c>
      <c r="AD225" t="b">
        <v>1</v>
      </c>
      <c r="AE225" t="b">
        <v>0</v>
      </c>
      <c r="AF225" t="b">
        <v>0</v>
      </c>
      <c r="AG225" t="s">
        <v>58</v>
      </c>
      <c r="AH225">
        <v>20</v>
      </c>
      <c r="AI225" t="s">
        <v>59</v>
      </c>
      <c r="AJ225" t="s">
        <v>71</v>
      </c>
      <c r="AL225" t="s">
        <v>72</v>
      </c>
      <c r="AM225" t="s">
        <v>62</v>
      </c>
      <c r="AN225" t="s">
        <v>63</v>
      </c>
      <c r="AO225" t="s">
        <v>1207</v>
      </c>
      <c r="AP225" t="s">
        <v>1214</v>
      </c>
    </row>
    <row r="226" spans="1:42" x14ac:dyDescent="0.45">
      <c r="A226" t="s">
        <v>1119</v>
      </c>
      <c r="B226" t="s">
        <v>1120</v>
      </c>
      <c r="C226" t="s">
        <v>1199</v>
      </c>
      <c r="D226">
        <v>2024</v>
      </c>
      <c r="E226" t="s">
        <v>45</v>
      </c>
      <c r="F226" t="s">
        <v>46</v>
      </c>
      <c r="G226">
        <v>3</v>
      </c>
      <c r="J226" t="s">
        <v>1218</v>
      </c>
      <c r="K226" t="s">
        <v>1219</v>
      </c>
      <c r="L226" t="s">
        <v>1220</v>
      </c>
      <c r="M226" t="s">
        <v>1221</v>
      </c>
      <c r="N226" t="s">
        <v>1027</v>
      </c>
      <c r="O226" t="s">
        <v>1028</v>
      </c>
      <c r="P226" t="s">
        <v>91</v>
      </c>
      <c r="Q226" t="s">
        <v>1204</v>
      </c>
      <c r="S226">
        <v>12</v>
      </c>
      <c r="T226" t="s">
        <v>1222</v>
      </c>
      <c r="U226">
        <v>6898</v>
      </c>
      <c r="V226">
        <v>8636</v>
      </c>
      <c r="W226">
        <v>0.79869999999999997</v>
      </c>
      <c r="X226" t="s">
        <v>70</v>
      </c>
      <c r="Y226" t="s">
        <v>1206</v>
      </c>
      <c r="Z226">
        <v>640.71</v>
      </c>
      <c r="AA226">
        <v>4906.57</v>
      </c>
      <c r="AB226">
        <v>3143684</v>
      </c>
      <c r="AC226" t="b">
        <v>1</v>
      </c>
      <c r="AD226" t="b">
        <v>1</v>
      </c>
      <c r="AE226" t="b">
        <v>0</v>
      </c>
      <c r="AF226" t="b">
        <v>0</v>
      </c>
      <c r="AG226" t="s">
        <v>58</v>
      </c>
      <c r="AH226">
        <v>20</v>
      </c>
      <c r="AI226" t="s">
        <v>59</v>
      </c>
      <c r="AJ226" t="s">
        <v>71</v>
      </c>
      <c r="AL226" t="s">
        <v>72</v>
      </c>
      <c r="AM226" t="s">
        <v>62</v>
      </c>
      <c r="AN226" t="s">
        <v>63</v>
      </c>
      <c r="AO226" t="s">
        <v>1207</v>
      </c>
      <c r="AP226" t="s">
        <v>1219</v>
      </c>
    </row>
    <row r="227" spans="1:42" x14ac:dyDescent="0.45">
      <c r="A227" t="s">
        <v>1119</v>
      </c>
      <c r="B227" t="s">
        <v>1120</v>
      </c>
      <c r="C227" t="s">
        <v>1199</v>
      </c>
      <c r="D227">
        <v>2024</v>
      </c>
      <c r="E227" t="s">
        <v>45</v>
      </c>
      <c r="F227" t="s">
        <v>46</v>
      </c>
      <c r="G227">
        <v>5</v>
      </c>
      <c r="J227" t="s">
        <v>1223</v>
      </c>
      <c r="K227" t="s">
        <v>1224</v>
      </c>
      <c r="L227" t="s">
        <v>1225</v>
      </c>
      <c r="M227" t="s">
        <v>1226</v>
      </c>
      <c r="N227" t="s">
        <v>1027</v>
      </c>
      <c r="O227" t="s">
        <v>1028</v>
      </c>
      <c r="P227" t="s">
        <v>91</v>
      </c>
      <c r="Q227" t="s">
        <v>1204</v>
      </c>
      <c r="S227">
        <v>10</v>
      </c>
      <c r="T227" t="s">
        <v>1227</v>
      </c>
      <c r="U227">
        <v>8976</v>
      </c>
      <c r="V227">
        <v>8636</v>
      </c>
      <c r="W227">
        <v>1.0394000000000001</v>
      </c>
      <c r="X227" t="s">
        <v>70</v>
      </c>
      <c r="Y227" t="s">
        <v>1206</v>
      </c>
      <c r="Z227">
        <v>626.71</v>
      </c>
      <c r="AA227">
        <v>4262.1899999999996</v>
      </c>
      <c r="AB227">
        <v>2671156</v>
      </c>
      <c r="AC227" t="b">
        <v>1</v>
      </c>
      <c r="AD227" t="b">
        <v>1</v>
      </c>
      <c r="AE227" t="b">
        <v>0</v>
      </c>
      <c r="AF227" t="b">
        <v>0</v>
      </c>
      <c r="AG227" t="s">
        <v>58</v>
      </c>
      <c r="AH227">
        <v>20</v>
      </c>
      <c r="AI227" t="s">
        <v>59</v>
      </c>
      <c r="AJ227" t="s">
        <v>71</v>
      </c>
      <c r="AL227" t="s">
        <v>72</v>
      </c>
      <c r="AM227" t="s">
        <v>62</v>
      </c>
      <c r="AN227" t="s">
        <v>63</v>
      </c>
      <c r="AO227" t="s">
        <v>1207</v>
      </c>
      <c r="AP227" t="s">
        <v>1224</v>
      </c>
    </row>
    <row r="228" spans="1:42" x14ac:dyDescent="0.45">
      <c r="A228" t="s">
        <v>1119</v>
      </c>
      <c r="B228" t="s">
        <v>1120</v>
      </c>
      <c r="C228" t="s">
        <v>1199</v>
      </c>
      <c r="D228">
        <v>2024</v>
      </c>
      <c r="E228" t="s">
        <v>45</v>
      </c>
      <c r="F228" t="s">
        <v>46</v>
      </c>
      <c r="G228">
        <v>4</v>
      </c>
      <c r="J228" t="s">
        <v>1228</v>
      </c>
      <c r="K228" t="s">
        <v>1229</v>
      </c>
      <c r="L228" t="s">
        <v>1230</v>
      </c>
      <c r="M228" t="s">
        <v>1231</v>
      </c>
      <c r="N228" t="s">
        <v>1006</v>
      </c>
      <c r="O228" t="s">
        <v>1007</v>
      </c>
      <c r="P228" t="s">
        <v>1008</v>
      </c>
      <c r="Q228" t="s">
        <v>1204</v>
      </c>
      <c r="S228">
        <v>11</v>
      </c>
      <c r="T228" t="s">
        <v>1232</v>
      </c>
      <c r="U228">
        <v>11275</v>
      </c>
      <c r="V228">
        <v>8636</v>
      </c>
      <c r="W228">
        <v>1.3056000000000001</v>
      </c>
      <c r="X228" t="s">
        <v>70</v>
      </c>
      <c r="Y228" t="s">
        <v>1206</v>
      </c>
      <c r="Z228">
        <v>633.71</v>
      </c>
      <c r="AA228">
        <v>6517.57</v>
      </c>
      <c r="AB228">
        <v>4130249</v>
      </c>
      <c r="AC228" t="b">
        <v>1</v>
      </c>
      <c r="AD228" t="b">
        <v>1</v>
      </c>
      <c r="AE228" t="b">
        <v>0</v>
      </c>
      <c r="AF228" t="b">
        <v>0</v>
      </c>
      <c r="AG228" t="s">
        <v>58</v>
      </c>
      <c r="AH228">
        <v>20</v>
      </c>
      <c r="AI228" t="s">
        <v>59</v>
      </c>
      <c r="AJ228" t="s">
        <v>71</v>
      </c>
      <c r="AL228" t="s">
        <v>72</v>
      </c>
      <c r="AM228" t="s">
        <v>62</v>
      </c>
      <c r="AN228" t="s">
        <v>63</v>
      </c>
      <c r="AO228" t="s">
        <v>1207</v>
      </c>
      <c r="AP228" t="s">
        <v>1229</v>
      </c>
    </row>
    <row r="229" spans="1:42" x14ac:dyDescent="0.45">
      <c r="A229" t="s">
        <v>1119</v>
      </c>
      <c r="B229" t="s">
        <v>1120</v>
      </c>
      <c r="C229" t="s">
        <v>1199</v>
      </c>
      <c r="D229">
        <v>2024</v>
      </c>
      <c r="E229" t="s">
        <v>45</v>
      </c>
      <c r="F229" t="s">
        <v>46</v>
      </c>
      <c r="G229">
        <v>13</v>
      </c>
      <c r="J229" t="s">
        <v>1233</v>
      </c>
      <c r="K229" t="s">
        <v>1234</v>
      </c>
      <c r="L229" t="s">
        <v>1235</v>
      </c>
      <c r="M229" t="s">
        <v>1236</v>
      </c>
      <c r="N229" t="s">
        <v>1006</v>
      </c>
      <c r="O229" t="s">
        <v>1007</v>
      </c>
      <c r="P229" t="s">
        <v>1008</v>
      </c>
      <c r="Q229" t="s">
        <v>1204</v>
      </c>
      <c r="S229">
        <v>2</v>
      </c>
      <c r="T229" t="s">
        <v>1237</v>
      </c>
      <c r="U229">
        <v>7064</v>
      </c>
      <c r="V229">
        <v>8636</v>
      </c>
      <c r="W229">
        <v>0.81799999999999995</v>
      </c>
      <c r="X229" t="s">
        <v>70</v>
      </c>
      <c r="Y229" t="s">
        <v>1206</v>
      </c>
      <c r="Z229">
        <v>577.71</v>
      </c>
      <c r="AA229">
        <v>4157.58</v>
      </c>
      <c r="AB229">
        <v>2401876</v>
      </c>
      <c r="AC229" t="b">
        <v>1</v>
      </c>
      <c r="AD229" t="b">
        <v>1</v>
      </c>
      <c r="AE229" t="b">
        <v>0</v>
      </c>
      <c r="AF229" t="b">
        <v>0</v>
      </c>
      <c r="AG229" t="s">
        <v>58</v>
      </c>
      <c r="AH229">
        <v>20</v>
      </c>
      <c r="AI229" t="s">
        <v>59</v>
      </c>
      <c r="AJ229" t="s">
        <v>71</v>
      </c>
      <c r="AL229" t="s">
        <v>72</v>
      </c>
      <c r="AM229" t="s">
        <v>62</v>
      </c>
      <c r="AN229" t="s">
        <v>63</v>
      </c>
      <c r="AO229" t="s">
        <v>1207</v>
      </c>
      <c r="AP229" t="s">
        <v>1234</v>
      </c>
    </row>
    <row r="230" spans="1:42" x14ac:dyDescent="0.45">
      <c r="A230" t="s">
        <v>1119</v>
      </c>
      <c r="B230" t="s">
        <v>1120</v>
      </c>
      <c r="C230" t="s">
        <v>1199</v>
      </c>
      <c r="D230">
        <v>2024</v>
      </c>
      <c r="E230" t="s">
        <v>45</v>
      </c>
      <c r="F230" t="s">
        <v>46</v>
      </c>
      <c r="G230">
        <v>11</v>
      </c>
      <c r="J230" t="s">
        <v>1238</v>
      </c>
      <c r="K230" t="s">
        <v>1239</v>
      </c>
      <c r="L230" t="s">
        <v>1240</v>
      </c>
      <c r="M230" t="s">
        <v>1241</v>
      </c>
      <c r="N230" t="s">
        <v>1027</v>
      </c>
      <c r="O230" t="s">
        <v>1028</v>
      </c>
      <c r="P230" t="s">
        <v>91</v>
      </c>
      <c r="Q230" t="s">
        <v>1204</v>
      </c>
      <c r="S230">
        <v>4</v>
      </c>
      <c r="T230" t="s">
        <v>1242</v>
      </c>
      <c r="U230">
        <v>8636</v>
      </c>
      <c r="V230">
        <v>8636</v>
      </c>
      <c r="W230">
        <v>1</v>
      </c>
      <c r="X230" t="s">
        <v>70</v>
      </c>
      <c r="Y230" t="s">
        <v>1206</v>
      </c>
      <c r="Z230">
        <v>591.71</v>
      </c>
      <c r="AA230">
        <v>4684.92</v>
      </c>
      <c r="AB230">
        <v>2772110</v>
      </c>
      <c r="AC230" t="b">
        <v>1</v>
      </c>
      <c r="AD230" t="b">
        <v>1</v>
      </c>
      <c r="AE230" t="b">
        <v>0</v>
      </c>
      <c r="AF230" t="b">
        <v>0</v>
      </c>
      <c r="AG230" t="s">
        <v>58</v>
      </c>
      <c r="AH230">
        <v>20</v>
      </c>
      <c r="AI230" t="s">
        <v>59</v>
      </c>
      <c r="AJ230" t="s">
        <v>71</v>
      </c>
      <c r="AL230" t="s">
        <v>72</v>
      </c>
      <c r="AM230" t="s">
        <v>62</v>
      </c>
      <c r="AN230" t="s">
        <v>63</v>
      </c>
      <c r="AO230" t="s">
        <v>1207</v>
      </c>
      <c r="AP230" t="s">
        <v>1239</v>
      </c>
    </row>
    <row r="231" spans="1:42" x14ac:dyDescent="0.45">
      <c r="A231" t="s">
        <v>1119</v>
      </c>
      <c r="B231" t="s">
        <v>1120</v>
      </c>
      <c r="C231" t="s">
        <v>1199</v>
      </c>
      <c r="D231">
        <v>2024</v>
      </c>
      <c r="E231" t="s">
        <v>45</v>
      </c>
      <c r="F231" t="s">
        <v>46</v>
      </c>
      <c r="G231">
        <v>2</v>
      </c>
      <c r="J231" t="s">
        <v>1243</v>
      </c>
      <c r="K231" t="s">
        <v>1244</v>
      </c>
      <c r="L231" t="s">
        <v>1245</v>
      </c>
      <c r="M231" t="s">
        <v>1246</v>
      </c>
      <c r="N231" t="s">
        <v>1006</v>
      </c>
      <c r="O231" t="s">
        <v>1007</v>
      </c>
      <c r="P231" t="s">
        <v>1008</v>
      </c>
      <c r="Q231" t="s">
        <v>1204</v>
      </c>
      <c r="S231">
        <v>13</v>
      </c>
      <c r="T231" t="s">
        <v>1247</v>
      </c>
      <c r="U231">
        <v>7607</v>
      </c>
      <c r="V231">
        <v>8636</v>
      </c>
      <c r="W231">
        <v>0.88080000000000003</v>
      </c>
      <c r="X231" t="s">
        <v>70</v>
      </c>
      <c r="Y231" t="s">
        <v>1206</v>
      </c>
      <c r="Z231">
        <v>647.71</v>
      </c>
      <c r="AA231">
        <v>5684.45</v>
      </c>
      <c r="AB231">
        <v>3681874</v>
      </c>
      <c r="AC231" t="b">
        <v>1</v>
      </c>
      <c r="AD231" t="b">
        <v>1</v>
      </c>
      <c r="AE231" t="b">
        <v>0</v>
      </c>
      <c r="AF231" t="b">
        <v>0</v>
      </c>
      <c r="AG231" t="s">
        <v>58</v>
      </c>
      <c r="AH231">
        <v>20</v>
      </c>
      <c r="AI231" t="s">
        <v>59</v>
      </c>
      <c r="AJ231" t="s">
        <v>71</v>
      </c>
      <c r="AL231" t="s">
        <v>72</v>
      </c>
      <c r="AM231" t="s">
        <v>62</v>
      </c>
      <c r="AN231" t="s">
        <v>63</v>
      </c>
      <c r="AO231" t="s">
        <v>1207</v>
      </c>
      <c r="AP231" t="s">
        <v>1244</v>
      </c>
    </row>
    <row r="232" spans="1:42" x14ac:dyDescent="0.45">
      <c r="A232" t="s">
        <v>1119</v>
      </c>
      <c r="B232" t="s">
        <v>1120</v>
      </c>
      <c r="C232" t="s">
        <v>1199</v>
      </c>
      <c r="D232">
        <v>2024</v>
      </c>
      <c r="E232" t="s">
        <v>45</v>
      </c>
      <c r="F232" t="s">
        <v>46</v>
      </c>
      <c r="G232">
        <v>10</v>
      </c>
      <c r="J232" t="s">
        <v>1248</v>
      </c>
      <c r="K232" t="s">
        <v>1249</v>
      </c>
      <c r="L232" t="s">
        <v>1250</v>
      </c>
      <c r="M232" t="s">
        <v>1251</v>
      </c>
      <c r="N232" t="s">
        <v>1006</v>
      </c>
      <c r="O232" t="s">
        <v>1007</v>
      </c>
      <c r="P232" t="s">
        <v>1008</v>
      </c>
      <c r="Q232" t="s">
        <v>1204</v>
      </c>
      <c r="S232">
        <v>5</v>
      </c>
      <c r="T232" t="s">
        <v>1252</v>
      </c>
      <c r="U232">
        <v>7785</v>
      </c>
      <c r="V232">
        <v>8636</v>
      </c>
      <c r="W232">
        <v>0.90149999999999997</v>
      </c>
      <c r="X232" t="s">
        <v>70</v>
      </c>
      <c r="Y232" t="s">
        <v>1206</v>
      </c>
      <c r="Z232">
        <v>598.71</v>
      </c>
      <c r="AA232">
        <v>4463.1400000000003</v>
      </c>
      <c r="AB232">
        <v>2672127</v>
      </c>
      <c r="AC232" t="b">
        <v>1</v>
      </c>
      <c r="AD232" t="b">
        <v>1</v>
      </c>
      <c r="AE232" t="b">
        <v>0</v>
      </c>
      <c r="AF232" t="b">
        <v>0</v>
      </c>
      <c r="AG232" t="s">
        <v>58</v>
      </c>
      <c r="AH232">
        <v>20</v>
      </c>
      <c r="AI232" t="s">
        <v>59</v>
      </c>
      <c r="AJ232" t="s">
        <v>71</v>
      </c>
      <c r="AL232" t="s">
        <v>72</v>
      </c>
      <c r="AM232" t="s">
        <v>62</v>
      </c>
      <c r="AN232" t="s">
        <v>63</v>
      </c>
      <c r="AO232" t="s">
        <v>1207</v>
      </c>
      <c r="AP232" t="s">
        <v>1249</v>
      </c>
    </row>
    <row r="233" spans="1:42" x14ac:dyDescent="0.45">
      <c r="A233" t="s">
        <v>1119</v>
      </c>
      <c r="B233" t="s">
        <v>1120</v>
      </c>
      <c r="C233" t="s">
        <v>1199</v>
      </c>
      <c r="D233">
        <v>2024</v>
      </c>
      <c r="E233" t="s">
        <v>45</v>
      </c>
      <c r="F233" t="s">
        <v>46</v>
      </c>
      <c r="G233">
        <v>6</v>
      </c>
      <c r="J233" t="s">
        <v>1253</v>
      </c>
      <c r="K233" t="s">
        <v>1254</v>
      </c>
      <c r="L233" t="s">
        <v>1255</v>
      </c>
      <c r="M233" t="s">
        <v>1256</v>
      </c>
      <c r="N233" t="s">
        <v>1027</v>
      </c>
      <c r="O233" t="s">
        <v>1028</v>
      </c>
      <c r="P233" t="s">
        <v>91</v>
      </c>
      <c r="Q233" t="s">
        <v>1204</v>
      </c>
      <c r="S233">
        <v>9</v>
      </c>
      <c r="T233" t="s">
        <v>1257</v>
      </c>
      <c r="U233">
        <v>9672</v>
      </c>
      <c r="V233">
        <v>8636</v>
      </c>
      <c r="W233">
        <v>1.1200000000000001</v>
      </c>
      <c r="X233" t="s">
        <v>70</v>
      </c>
      <c r="Y233" t="s">
        <v>1206</v>
      </c>
      <c r="Z233">
        <v>619.71</v>
      </c>
      <c r="AA233">
        <v>4850.3500000000004</v>
      </c>
      <c r="AB233">
        <v>3005810</v>
      </c>
      <c r="AC233" t="b">
        <v>1</v>
      </c>
      <c r="AD233" t="b">
        <v>1</v>
      </c>
      <c r="AE233" t="b">
        <v>0</v>
      </c>
      <c r="AF233" t="b">
        <v>0</v>
      </c>
      <c r="AG233" t="s">
        <v>58</v>
      </c>
      <c r="AH233">
        <v>20</v>
      </c>
      <c r="AI233" t="s">
        <v>59</v>
      </c>
      <c r="AJ233" t="s">
        <v>71</v>
      </c>
      <c r="AL233" t="s">
        <v>72</v>
      </c>
      <c r="AM233" t="s">
        <v>62</v>
      </c>
      <c r="AN233" t="s">
        <v>63</v>
      </c>
      <c r="AO233" t="s">
        <v>1207</v>
      </c>
      <c r="AP233" t="s">
        <v>1254</v>
      </c>
    </row>
    <row r="234" spans="1:42" x14ac:dyDescent="0.45">
      <c r="A234" t="s">
        <v>1119</v>
      </c>
      <c r="B234" t="s">
        <v>1120</v>
      </c>
      <c r="C234" t="s">
        <v>1199</v>
      </c>
      <c r="D234">
        <v>2024</v>
      </c>
      <c r="E234" t="s">
        <v>45</v>
      </c>
      <c r="F234" t="s">
        <v>46</v>
      </c>
      <c r="G234">
        <v>7</v>
      </c>
      <c r="J234" t="s">
        <v>1258</v>
      </c>
      <c r="K234" t="s">
        <v>1259</v>
      </c>
      <c r="L234" t="s">
        <v>1260</v>
      </c>
      <c r="M234" t="s">
        <v>1261</v>
      </c>
      <c r="N234" t="s">
        <v>1027</v>
      </c>
      <c r="O234" t="s">
        <v>1028</v>
      </c>
      <c r="P234" t="s">
        <v>91</v>
      </c>
      <c r="Q234" t="s">
        <v>1204</v>
      </c>
      <c r="S234">
        <v>8</v>
      </c>
      <c r="T234" t="s">
        <v>1262</v>
      </c>
      <c r="U234">
        <v>6874</v>
      </c>
      <c r="V234">
        <v>8636</v>
      </c>
      <c r="W234">
        <v>0.79600000000000004</v>
      </c>
      <c r="X234" t="s">
        <v>70</v>
      </c>
      <c r="Y234" t="s">
        <v>1206</v>
      </c>
      <c r="Z234">
        <v>612.71</v>
      </c>
      <c r="AA234">
        <v>4528.17</v>
      </c>
      <c r="AB234">
        <v>2774455</v>
      </c>
      <c r="AC234" t="b">
        <v>1</v>
      </c>
      <c r="AD234" t="b">
        <v>1</v>
      </c>
      <c r="AE234" t="b">
        <v>0</v>
      </c>
      <c r="AF234" t="b">
        <v>0</v>
      </c>
      <c r="AG234" t="s">
        <v>58</v>
      </c>
      <c r="AH234">
        <v>20</v>
      </c>
      <c r="AI234" t="s">
        <v>59</v>
      </c>
      <c r="AJ234" t="s">
        <v>71</v>
      </c>
      <c r="AL234" t="s">
        <v>72</v>
      </c>
      <c r="AM234" t="s">
        <v>62</v>
      </c>
      <c r="AN234" t="s">
        <v>63</v>
      </c>
      <c r="AO234" t="s">
        <v>1207</v>
      </c>
      <c r="AP234" t="s">
        <v>1259</v>
      </c>
    </row>
    <row r="235" spans="1:42" x14ac:dyDescent="0.45">
      <c r="A235" t="s">
        <v>1119</v>
      </c>
      <c r="B235" t="s">
        <v>1120</v>
      </c>
      <c r="C235" t="s">
        <v>1199</v>
      </c>
      <c r="D235">
        <v>2024</v>
      </c>
      <c r="E235" t="s">
        <v>45</v>
      </c>
      <c r="F235" t="s">
        <v>46</v>
      </c>
      <c r="G235">
        <v>1</v>
      </c>
      <c r="J235" t="s">
        <v>1263</v>
      </c>
      <c r="K235" t="s">
        <v>1264</v>
      </c>
      <c r="L235" t="s">
        <v>1265</v>
      </c>
      <c r="M235" t="s">
        <v>1266</v>
      </c>
      <c r="N235" t="s">
        <v>1006</v>
      </c>
      <c r="O235" t="s">
        <v>1007</v>
      </c>
      <c r="P235" t="s">
        <v>1008</v>
      </c>
      <c r="Q235" t="s">
        <v>1204</v>
      </c>
      <c r="S235">
        <v>14</v>
      </c>
      <c r="T235" t="s">
        <v>1267</v>
      </c>
      <c r="U235">
        <v>11480</v>
      </c>
      <c r="V235">
        <v>8636</v>
      </c>
      <c r="W235">
        <v>1.3292999999999999</v>
      </c>
      <c r="X235" t="s">
        <v>70</v>
      </c>
      <c r="Y235" t="s">
        <v>1206</v>
      </c>
      <c r="Z235">
        <v>654.71</v>
      </c>
      <c r="AA235">
        <v>8151.22</v>
      </c>
      <c r="AB235">
        <v>5336679</v>
      </c>
      <c r="AC235" t="b">
        <v>1</v>
      </c>
      <c r="AD235" t="b">
        <v>1</v>
      </c>
      <c r="AE235" t="b">
        <v>0</v>
      </c>
      <c r="AF235" t="b">
        <v>0</v>
      </c>
      <c r="AG235" t="s">
        <v>58</v>
      </c>
      <c r="AH235">
        <v>20</v>
      </c>
      <c r="AI235" t="s">
        <v>59</v>
      </c>
      <c r="AJ235" t="s">
        <v>71</v>
      </c>
      <c r="AL235" t="s">
        <v>72</v>
      </c>
      <c r="AM235" t="s">
        <v>62</v>
      </c>
      <c r="AN235" t="s">
        <v>63</v>
      </c>
      <c r="AO235" t="s">
        <v>1207</v>
      </c>
      <c r="AP235" t="s">
        <v>1264</v>
      </c>
    </row>
    <row r="236" spans="1:42" x14ac:dyDescent="0.45">
      <c r="A236" t="s">
        <v>1119</v>
      </c>
      <c r="B236" t="s">
        <v>1120</v>
      </c>
      <c r="C236" t="s">
        <v>1199</v>
      </c>
      <c r="D236">
        <v>2024</v>
      </c>
      <c r="E236" t="s">
        <v>45</v>
      </c>
      <c r="F236" t="s">
        <v>46</v>
      </c>
      <c r="G236">
        <v>9</v>
      </c>
      <c r="J236" t="s">
        <v>1268</v>
      </c>
      <c r="K236" t="s">
        <v>1269</v>
      </c>
      <c r="L236" t="s">
        <v>1270</v>
      </c>
      <c r="M236" t="s">
        <v>1271</v>
      </c>
      <c r="N236" t="s">
        <v>1006</v>
      </c>
      <c r="O236" t="s">
        <v>1007</v>
      </c>
      <c r="P236" t="s">
        <v>1008</v>
      </c>
      <c r="Q236" t="s">
        <v>1204</v>
      </c>
      <c r="S236">
        <v>6</v>
      </c>
      <c r="T236" t="s">
        <v>1272</v>
      </c>
      <c r="U236">
        <v>9846</v>
      </c>
      <c r="V236">
        <v>8636</v>
      </c>
      <c r="W236">
        <v>1.1400999999999999</v>
      </c>
      <c r="X236" t="s">
        <v>70</v>
      </c>
      <c r="Y236" t="s">
        <v>1206</v>
      </c>
      <c r="Z236">
        <v>605.71</v>
      </c>
      <c r="AA236">
        <v>5999.29</v>
      </c>
      <c r="AB236">
        <v>3633825</v>
      </c>
      <c r="AC236" t="b">
        <v>1</v>
      </c>
      <c r="AD236" t="b">
        <v>1</v>
      </c>
      <c r="AE236" t="b">
        <v>0</v>
      </c>
      <c r="AF236" t="b">
        <v>0</v>
      </c>
      <c r="AG236" t="s">
        <v>58</v>
      </c>
      <c r="AH236">
        <v>20</v>
      </c>
      <c r="AI236" t="s">
        <v>59</v>
      </c>
      <c r="AJ236" t="s">
        <v>71</v>
      </c>
      <c r="AL236" t="s">
        <v>72</v>
      </c>
      <c r="AM236" t="s">
        <v>62</v>
      </c>
      <c r="AN236" t="s">
        <v>63</v>
      </c>
      <c r="AO236" t="s">
        <v>1207</v>
      </c>
      <c r="AP236" t="s">
        <v>1269</v>
      </c>
    </row>
    <row r="237" spans="1:42" x14ac:dyDescent="0.45">
      <c r="A237" t="s">
        <v>1119</v>
      </c>
      <c r="B237" t="s">
        <v>1120</v>
      </c>
      <c r="C237" t="s">
        <v>1199</v>
      </c>
      <c r="D237">
        <v>2024</v>
      </c>
      <c r="E237" t="s">
        <v>45</v>
      </c>
      <c r="F237" t="s">
        <v>46</v>
      </c>
      <c r="G237">
        <v>15</v>
      </c>
      <c r="J237" t="s">
        <v>1273</v>
      </c>
      <c r="K237" t="s">
        <v>1274</v>
      </c>
      <c r="L237" t="s">
        <v>1275</v>
      </c>
      <c r="M237" t="s">
        <v>1276</v>
      </c>
      <c r="N237" t="s">
        <v>1006</v>
      </c>
      <c r="O237" t="s">
        <v>1007</v>
      </c>
      <c r="P237" t="s">
        <v>1008</v>
      </c>
      <c r="Q237" t="s">
        <v>1204</v>
      </c>
      <c r="S237">
        <v>0</v>
      </c>
      <c r="T237" t="s">
        <v>1277</v>
      </c>
      <c r="U237">
        <v>6096</v>
      </c>
      <c r="V237">
        <v>8636</v>
      </c>
      <c r="W237">
        <v>0.70589999999999997</v>
      </c>
      <c r="X237" t="s">
        <v>70</v>
      </c>
      <c r="Y237" t="s">
        <v>1206</v>
      </c>
      <c r="Z237">
        <v>563.71</v>
      </c>
      <c r="AA237">
        <v>4218.57</v>
      </c>
      <c r="AB237">
        <v>2378051</v>
      </c>
      <c r="AC237" t="b">
        <v>1</v>
      </c>
      <c r="AD237" t="b">
        <v>1</v>
      </c>
      <c r="AE237" t="b">
        <v>0</v>
      </c>
      <c r="AF237" t="b">
        <v>0</v>
      </c>
      <c r="AG237" t="s">
        <v>58</v>
      </c>
      <c r="AH237">
        <v>20</v>
      </c>
      <c r="AI237" t="s">
        <v>59</v>
      </c>
      <c r="AJ237" t="s">
        <v>71</v>
      </c>
      <c r="AL237" t="s">
        <v>72</v>
      </c>
      <c r="AM237" t="s">
        <v>62</v>
      </c>
      <c r="AN237" t="s">
        <v>63</v>
      </c>
      <c r="AO237" t="s">
        <v>1207</v>
      </c>
      <c r="AP237" t="s">
        <v>1274</v>
      </c>
    </row>
    <row r="238" spans="1:42" x14ac:dyDescent="0.45">
      <c r="A238" t="s">
        <v>1278</v>
      </c>
      <c r="B238" t="s">
        <v>1279</v>
      </c>
      <c r="C238" t="s">
        <v>1280</v>
      </c>
      <c r="D238">
        <v>2023</v>
      </c>
      <c r="E238" t="s">
        <v>45</v>
      </c>
      <c r="F238" t="s">
        <v>46</v>
      </c>
      <c r="G238">
        <v>3</v>
      </c>
      <c r="J238" t="s">
        <v>1281</v>
      </c>
      <c r="K238" t="s">
        <v>1282</v>
      </c>
      <c r="L238" t="s">
        <v>1283</v>
      </c>
      <c r="M238" t="s">
        <v>1284</v>
      </c>
      <c r="N238" t="s">
        <v>51</v>
      </c>
      <c r="O238" t="s">
        <v>52</v>
      </c>
      <c r="P238" t="s">
        <v>53</v>
      </c>
      <c r="Q238" t="s">
        <v>1285</v>
      </c>
      <c r="S238">
        <v>13</v>
      </c>
      <c r="T238" t="s">
        <v>1286</v>
      </c>
      <c r="U238">
        <v>4366</v>
      </c>
      <c r="V238">
        <v>6882</v>
      </c>
      <c r="W238">
        <v>0.63439999999999996</v>
      </c>
      <c r="X238" t="s">
        <v>70</v>
      </c>
      <c r="Y238" t="s">
        <v>1287</v>
      </c>
      <c r="Z238">
        <v>1158.71</v>
      </c>
      <c r="AA238">
        <v>6742.62</v>
      </c>
      <c r="AB238">
        <v>7812725</v>
      </c>
      <c r="AC238" t="b">
        <v>1</v>
      </c>
      <c r="AD238" t="b">
        <v>1</v>
      </c>
      <c r="AE238" t="b">
        <v>0</v>
      </c>
      <c r="AF238" t="b">
        <v>0</v>
      </c>
      <c r="AG238" t="s">
        <v>58</v>
      </c>
      <c r="AH238">
        <v>20</v>
      </c>
      <c r="AI238" t="s">
        <v>59</v>
      </c>
      <c r="AJ238" t="s">
        <v>71</v>
      </c>
      <c r="AL238" t="s">
        <v>72</v>
      </c>
      <c r="AM238" t="s">
        <v>62</v>
      </c>
      <c r="AN238" t="s">
        <v>63</v>
      </c>
      <c r="AO238" t="s">
        <v>1288</v>
      </c>
      <c r="AP238" t="s">
        <v>1282</v>
      </c>
    </row>
    <row r="239" spans="1:42" x14ac:dyDescent="0.45">
      <c r="A239" t="s">
        <v>1278</v>
      </c>
      <c r="B239" t="s">
        <v>1279</v>
      </c>
      <c r="C239" t="s">
        <v>1280</v>
      </c>
      <c r="D239">
        <v>2023</v>
      </c>
      <c r="E239" t="s">
        <v>45</v>
      </c>
      <c r="F239" t="s">
        <v>46</v>
      </c>
      <c r="G239">
        <v>14</v>
      </c>
      <c r="J239" t="s">
        <v>1289</v>
      </c>
      <c r="K239" t="s">
        <v>1290</v>
      </c>
      <c r="L239" t="s">
        <v>1291</v>
      </c>
      <c r="M239" t="s">
        <v>1292</v>
      </c>
      <c r="N239" t="s">
        <v>51</v>
      </c>
      <c r="O239" t="s">
        <v>52</v>
      </c>
      <c r="P239" t="s">
        <v>53</v>
      </c>
      <c r="Q239" t="s">
        <v>1285</v>
      </c>
      <c r="S239">
        <v>2</v>
      </c>
      <c r="T239" t="s">
        <v>1293</v>
      </c>
      <c r="U239">
        <v>7599</v>
      </c>
      <c r="V239">
        <v>6882</v>
      </c>
      <c r="W239">
        <v>1.1042000000000001</v>
      </c>
      <c r="X239" t="s">
        <v>70</v>
      </c>
      <c r="Y239" t="s">
        <v>1287</v>
      </c>
      <c r="Z239">
        <v>1081.71</v>
      </c>
      <c r="AA239">
        <v>5949.97</v>
      </c>
      <c r="AB239">
        <v>6436129</v>
      </c>
      <c r="AC239" t="b">
        <v>1</v>
      </c>
      <c r="AD239" t="b">
        <v>1</v>
      </c>
      <c r="AE239" t="b">
        <v>0</v>
      </c>
      <c r="AF239" t="b">
        <v>0</v>
      </c>
      <c r="AG239" t="s">
        <v>58</v>
      </c>
      <c r="AH239">
        <v>20</v>
      </c>
      <c r="AI239" t="s">
        <v>59</v>
      </c>
      <c r="AJ239" t="s">
        <v>71</v>
      </c>
      <c r="AL239" t="s">
        <v>72</v>
      </c>
      <c r="AM239" t="s">
        <v>62</v>
      </c>
      <c r="AN239" t="s">
        <v>63</v>
      </c>
      <c r="AO239" t="s">
        <v>1288</v>
      </c>
      <c r="AP239" t="s">
        <v>1290</v>
      </c>
    </row>
    <row r="240" spans="1:42" x14ac:dyDescent="0.45">
      <c r="A240" t="s">
        <v>1278</v>
      </c>
      <c r="B240" t="s">
        <v>1279</v>
      </c>
      <c r="C240" t="s">
        <v>1280</v>
      </c>
      <c r="D240">
        <v>2023</v>
      </c>
      <c r="E240" t="s">
        <v>45</v>
      </c>
      <c r="F240" t="s">
        <v>46</v>
      </c>
      <c r="G240">
        <v>3</v>
      </c>
      <c r="J240" t="s">
        <v>1294</v>
      </c>
      <c r="K240" t="s">
        <v>1295</v>
      </c>
      <c r="L240" t="s">
        <v>1296</v>
      </c>
      <c r="M240" t="s">
        <v>1297</v>
      </c>
      <c r="N240" t="s">
        <v>51</v>
      </c>
      <c r="O240" t="s">
        <v>52</v>
      </c>
      <c r="P240" t="s">
        <v>53</v>
      </c>
      <c r="Q240" t="s">
        <v>1285</v>
      </c>
      <c r="S240">
        <v>18</v>
      </c>
      <c r="T240" t="s">
        <v>1298</v>
      </c>
      <c r="U240">
        <v>937</v>
      </c>
      <c r="V240">
        <v>6882</v>
      </c>
      <c r="W240">
        <v>0.13619999999999999</v>
      </c>
      <c r="X240" t="s">
        <v>56</v>
      </c>
      <c r="Y240" t="s">
        <v>1287</v>
      </c>
      <c r="Z240">
        <v>1158.6199999999999</v>
      </c>
      <c r="AA240">
        <v>6713.47</v>
      </c>
      <c r="AB240">
        <v>7778386</v>
      </c>
      <c r="AC240" t="b">
        <v>1</v>
      </c>
      <c r="AD240" t="b">
        <v>0</v>
      </c>
      <c r="AE240" t="b">
        <v>0</v>
      </c>
      <c r="AF240" t="b">
        <v>0</v>
      </c>
      <c r="AG240" t="s">
        <v>58</v>
      </c>
      <c r="AH240">
        <v>18</v>
      </c>
      <c r="AI240" t="s">
        <v>59</v>
      </c>
      <c r="AJ240" t="s">
        <v>60</v>
      </c>
      <c r="AK240" t="s">
        <v>252</v>
      </c>
      <c r="AL240" t="s">
        <v>1299</v>
      </c>
      <c r="AM240" t="s">
        <v>62</v>
      </c>
      <c r="AN240" t="s">
        <v>63</v>
      </c>
      <c r="AO240" t="s">
        <v>1288</v>
      </c>
      <c r="AP240" t="s">
        <v>1295</v>
      </c>
    </row>
    <row r="241" spans="1:42" x14ac:dyDescent="0.45">
      <c r="A241" t="s">
        <v>1278</v>
      </c>
      <c r="B241" t="s">
        <v>1279</v>
      </c>
      <c r="C241" t="s">
        <v>1280</v>
      </c>
      <c r="D241">
        <v>2023</v>
      </c>
      <c r="E241" t="s">
        <v>45</v>
      </c>
      <c r="F241" t="s">
        <v>46</v>
      </c>
      <c r="J241" t="s">
        <v>1300</v>
      </c>
      <c r="K241" t="s">
        <v>1301</v>
      </c>
      <c r="L241" t="s">
        <v>1302</v>
      </c>
      <c r="M241" t="s">
        <v>1303</v>
      </c>
      <c r="N241" t="s">
        <v>51</v>
      </c>
      <c r="O241" t="s">
        <v>52</v>
      </c>
      <c r="P241" t="s">
        <v>53</v>
      </c>
      <c r="Q241" t="s">
        <v>1285</v>
      </c>
      <c r="S241">
        <v>17</v>
      </c>
      <c r="T241" t="s">
        <v>1304</v>
      </c>
      <c r="U241">
        <v>266</v>
      </c>
      <c r="V241">
        <v>6882</v>
      </c>
      <c r="W241">
        <v>3.8699999999999998E-2</v>
      </c>
      <c r="X241" t="s">
        <v>56</v>
      </c>
      <c r="Y241" t="s">
        <v>1287</v>
      </c>
      <c r="Z241">
        <v>1172.19</v>
      </c>
      <c r="AA241">
        <v>7896.92</v>
      </c>
      <c r="AB241">
        <v>9256657</v>
      </c>
      <c r="AC241" t="b">
        <v>0</v>
      </c>
      <c r="AD241" t="b">
        <v>0</v>
      </c>
      <c r="AE241" t="b">
        <v>0</v>
      </c>
      <c r="AF241" t="b">
        <v>0</v>
      </c>
      <c r="AG241" t="s">
        <v>58</v>
      </c>
      <c r="AH241">
        <v>14</v>
      </c>
      <c r="AI241" t="s">
        <v>169</v>
      </c>
      <c r="AJ241" t="s">
        <v>60</v>
      </c>
      <c r="AL241" t="s">
        <v>170</v>
      </c>
      <c r="AM241" t="s">
        <v>62</v>
      </c>
      <c r="AN241" t="s">
        <v>63</v>
      </c>
      <c r="AO241" t="s">
        <v>1288</v>
      </c>
      <c r="AP241" t="s">
        <v>1301</v>
      </c>
    </row>
    <row r="242" spans="1:42" x14ac:dyDescent="0.45">
      <c r="A242" t="s">
        <v>1278</v>
      </c>
      <c r="B242" t="s">
        <v>1279</v>
      </c>
      <c r="C242" t="s">
        <v>1280</v>
      </c>
      <c r="D242">
        <v>2023</v>
      </c>
      <c r="E242" t="s">
        <v>45</v>
      </c>
      <c r="F242" t="s">
        <v>46</v>
      </c>
      <c r="G242">
        <v>15</v>
      </c>
      <c r="J242" t="s">
        <v>1305</v>
      </c>
      <c r="K242" t="s">
        <v>1306</v>
      </c>
      <c r="L242" t="s">
        <v>1307</v>
      </c>
      <c r="M242" t="s">
        <v>1308</v>
      </c>
      <c r="N242" t="s">
        <v>51</v>
      </c>
      <c r="O242" t="s">
        <v>52</v>
      </c>
      <c r="P242" t="s">
        <v>53</v>
      </c>
      <c r="Q242" t="s">
        <v>1285</v>
      </c>
      <c r="S242">
        <v>1</v>
      </c>
      <c r="T242" t="s">
        <v>1309</v>
      </c>
      <c r="U242">
        <v>8452</v>
      </c>
      <c r="V242">
        <v>6882</v>
      </c>
      <c r="W242">
        <v>1.2281</v>
      </c>
      <c r="X242" t="s">
        <v>70</v>
      </c>
      <c r="Y242" t="s">
        <v>1287</v>
      </c>
      <c r="Z242">
        <v>1074.71</v>
      </c>
      <c r="AA242">
        <v>7801.59</v>
      </c>
      <c r="AB242">
        <v>8384430</v>
      </c>
      <c r="AC242" t="b">
        <v>1</v>
      </c>
      <c r="AD242" t="b">
        <v>1</v>
      </c>
      <c r="AE242" t="b">
        <v>0</v>
      </c>
      <c r="AF242" t="b">
        <v>0</v>
      </c>
      <c r="AG242" t="s">
        <v>58</v>
      </c>
      <c r="AH242">
        <v>20</v>
      </c>
      <c r="AI242" t="s">
        <v>59</v>
      </c>
      <c r="AJ242" t="s">
        <v>71</v>
      </c>
      <c r="AL242" t="s">
        <v>72</v>
      </c>
      <c r="AM242" t="s">
        <v>62</v>
      </c>
      <c r="AN242" t="s">
        <v>63</v>
      </c>
      <c r="AO242" t="s">
        <v>1288</v>
      </c>
      <c r="AP242" t="s">
        <v>1306</v>
      </c>
    </row>
    <row r="243" spans="1:42" x14ac:dyDescent="0.45">
      <c r="A243" t="s">
        <v>1278</v>
      </c>
      <c r="B243" t="s">
        <v>1279</v>
      </c>
      <c r="C243" t="s">
        <v>1280</v>
      </c>
      <c r="D243">
        <v>2023</v>
      </c>
      <c r="E243" t="s">
        <v>45</v>
      </c>
      <c r="F243" t="s">
        <v>46</v>
      </c>
      <c r="G243">
        <v>1</v>
      </c>
      <c r="J243" t="s">
        <v>1310</v>
      </c>
      <c r="K243" t="s">
        <v>1311</v>
      </c>
      <c r="L243" t="s">
        <v>1312</v>
      </c>
      <c r="M243" t="s">
        <v>1313</v>
      </c>
      <c r="N243" t="s">
        <v>51</v>
      </c>
      <c r="O243" t="s">
        <v>52</v>
      </c>
      <c r="P243" t="s">
        <v>53</v>
      </c>
      <c r="Q243" t="s">
        <v>1285</v>
      </c>
      <c r="S243">
        <v>15</v>
      </c>
      <c r="T243" t="s">
        <v>1314</v>
      </c>
      <c r="U243">
        <v>6962</v>
      </c>
      <c r="V243">
        <v>6882</v>
      </c>
      <c r="W243">
        <v>1.0116000000000001</v>
      </c>
      <c r="X243" t="s">
        <v>70</v>
      </c>
      <c r="Y243" t="s">
        <v>1287</v>
      </c>
      <c r="Z243">
        <v>1172.71</v>
      </c>
      <c r="AA243">
        <v>12168.67</v>
      </c>
      <c r="AB243">
        <v>14270292</v>
      </c>
      <c r="AC243" t="b">
        <v>1</v>
      </c>
      <c r="AD243" t="b">
        <v>1</v>
      </c>
      <c r="AE243" t="b">
        <v>0</v>
      </c>
      <c r="AF243" t="b">
        <v>0</v>
      </c>
      <c r="AG243" t="s">
        <v>58</v>
      </c>
      <c r="AH243">
        <v>20</v>
      </c>
      <c r="AI243" t="s">
        <v>59</v>
      </c>
      <c r="AJ243" t="s">
        <v>71</v>
      </c>
      <c r="AL243" t="s">
        <v>72</v>
      </c>
      <c r="AM243" t="s">
        <v>62</v>
      </c>
      <c r="AN243" t="s">
        <v>63</v>
      </c>
      <c r="AO243" t="s">
        <v>1288</v>
      </c>
      <c r="AP243" t="s">
        <v>1311</v>
      </c>
    </row>
    <row r="244" spans="1:42" x14ac:dyDescent="0.45">
      <c r="A244" t="s">
        <v>1278</v>
      </c>
      <c r="B244" t="s">
        <v>1279</v>
      </c>
      <c r="C244" t="s">
        <v>1280</v>
      </c>
      <c r="D244">
        <v>2023</v>
      </c>
      <c r="E244" t="s">
        <v>45</v>
      </c>
      <c r="F244" t="s">
        <v>46</v>
      </c>
      <c r="J244" t="s">
        <v>1315</v>
      </c>
      <c r="K244" t="s">
        <v>1316</v>
      </c>
      <c r="L244" t="s">
        <v>1317</v>
      </c>
      <c r="M244" t="s">
        <v>1318</v>
      </c>
      <c r="N244" t="s">
        <v>51</v>
      </c>
      <c r="O244" t="s">
        <v>52</v>
      </c>
      <c r="P244" t="s">
        <v>53</v>
      </c>
      <c r="Q244" t="s">
        <v>1285</v>
      </c>
      <c r="S244">
        <v>25</v>
      </c>
      <c r="T244" t="s">
        <v>1319</v>
      </c>
      <c r="U244">
        <v>764</v>
      </c>
      <c r="V244">
        <v>6882</v>
      </c>
      <c r="W244">
        <v>0.111</v>
      </c>
      <c r="X244" t="s">
        <v>56</v>
      </c>
      <c r="Y244" t="s">
        <v>1287</v>
      </c>
      <c r="Z244">
        <v>1172.02</v>
      </c>
      <c r="AA244">
        <v>3136.88</v>
      </c>
      <c r="AB244">
        <v>3676485</v>
      </c>
      <c r="AC244" t="b">
        <v>0</v>
      </c>
      <c r="AD244" t="b">
        <v>0</v>
      </c>
      <c r="AE244" t="b">
        <v>0</v>
      </c>
      <c r="AF244" t="b">
        <v>0</v>
      </c>
      <c r="AG244" t="s">
        <v>58</v>
      </c>
      <c r="AH244">
        <v>14</v>
      </c>
      <c r="AI244" t="s">
        <v>169</v>
      </c>
      <c r="AJ244" t="s">
        <v>60</v>
      </c>
      <c r="AL244" t="s">
        <v>170</v>
      </c>
      <c r="AM244" t="s">
        <v>62</v>
      </c>
      <c r="AN244" t="s">
        <v>63</v>
      </c>
      <c r="AO244" t="s">
        <v>1288</v>
      </c>
      <c r="AP244" t="s">
        <v>1316</v>
      </c>
    </row>
    <row r="245" spans="1:42" x14ac:dyDescent="0.45">
      <c r="A245" t="s">
        <v>1278</v>
      </c>
      <c r="B245" t="s">
        <v>1279</v>
      </c>
      <c r="C245" t="s">
        <v>1280</v>
      </c>
      <c r="D245">
        <v>2023</v>
      </c>
      <c r="E245" t="s">
        <v>45</v>
      </c>
      <c r="F245" t="s">
        <v>46</v>
      </c>
      <c r="G245">
        <v>13</v>
      </c>
      <c r="J245" t="s">
        <v>1320</v>
      </c>
      <c r="K245" t="s">
        <v>1321</v>
      </c>
      <c r="L245" t="s">
        <v>1322</v>
      </c>
      <c r="M245" t="s">
        <v>1323</v>
      </c>
      <c r="N245" t="s">
        <v>51</v>
      </c>
      <c r="O245" t="s">
        <v>52</v>
      </c>
      <c r="P245" t="s">
        <v>53</v>
      </c>
      <c r="Q245" t="s">
        <v>1285</v>
      </c>
      <c r="S245">
        <v>3</v>
      </c>
      <c r="T245" t="s">
        <v>1324</v>
      </c>
      <c r="U245">
        <v>6458</v>
      </c>
      <c r="V245">
        <v>6882</v>
      </c>
      <c r="W245">
        <v>0.93840000000000001</v>
      </c>
      <c r="X245" t="s">
        <v>70</v>
      </c>
      <c r="Y245" t="s">
        <v>1287</v>
      </c>
      <c r="Z245">
        <v>1088.71</v>
      </c>
      <c r="AA245">
        <v>7076.2</v>
      </c>
      <c r="AB245">
        <v>7703914</v>
      </c>
      <c r="AC245" t="b">
        <v>1</v>
      </c>
      <c r="AD245" t="b">
        <v>1</v>
      </c>
      <c r="AE245" t="b">
        <v>0</v>
      </c>
      <c r="AF245" t="b">
        <v>0</v>
      </c>
      <c r="AG245" t="s">
        <v>58</v>
      </c>
      <c r="AH245">
        <v>20</v>
      </c>
      <c r="AI245" t="s">
        <v>59</v>
      </c>
      <c r="AJ245" t="s">
        <v>71</v>
      </c>
      <c r="AL245" t="s">
        <v>72</v>
      </c>
      <c r="AM245" t="s">
        <v>62</v>
      </c>
      <c r="AN245" t="s">
        <v>63</v>
      </c>
      <c r="AO245" t="s">
        <v>1288</v>
      </c>
      <c r="AP245" t="s">
        <v>1321</v>
      </c>
    </row>
    <row r="246" spans="1:42" x14ac:dyDescent="0.45">
      <c r="A246" t="s">
        <v>1278</v>
      </c>
      <c r="B246" t="s">
        <v>1279</v>
      </c>
      <c r="C246" t="s">
        <v>1280</v>
      </c>
      <c r="D246">
        <v>2023</v>
      </c>
      <c r="E246" t="s">
        <v>45</v>
      </c>
      <c r="F246" t="s">
        <v>46</v>
      </c>
      <c r="J246" t="s">
        <v>1325</v>
      </c>
      <c r="K246" t="s">
        <v>1326</v>
      </c>
      <c r="L246" t="s">
        <v>1327</v>
      </c>
      <c r="M246" t="s">
        <v>1328</v>
      </c>
      <c r="N246" t="s">
        <v>51</v>
      </c>
      <c r="O246" t="s">
        <v>52</v>
      </c>
      <c r="P246" t="s">
        <v>53</v>
      </c>
      <c r="Q246" t="s">
        <v>1285</v>
      </c>
      <c r="S246">
        <v>22</v>
      </c>
      <c r="T246" t="s">
        <v>1329</v>
      </c>
      <c r="U246">
        <v>3695</v>
      </c>
      <c r="V246">
        <v>6882</v>
      </c>
      <c r="W246">
        <v>0.53690000000000004</v>
      </c>
      <c r="X246" t="s">
        <v>196</v>
      </c>
      <c r="Y246" t="s">
        <v>1287</v>
      </c>
      <c r="Z246">
        <v>1135.71</v>
      </c>
      <c r="AA246">
        <v>3261.11</v>
      </c>
      <c r="AB246">
        <v>3703663</v>
      </c>
      <c r="AC246" t="b">
        <v>0</v>
      </c>
      <c r="AD246" t="b">
        <v>0</v>
      </c>
      <c r="AE246" t="b">
        <v>0</v>
      </c>
      <c r="AF246" t="b">
        <v>0</v>
      </c>
      <c r="AG246" t="s">
        <v>58</v>
      </c>
      <c r="AH246">
        <v>16</v>
      </c>
      <c r="AI246" t="s">
        <v>386</v>
      </c>
      <c r="AJ246" t="s">
        <v>387</v>
      </c>
      <c r="AL246" t="s">
        <v>1330</v>
      </c>
      <c r="AM246" t="s">
        <v>62</v>
      </c>
      <c r="AN246" t="s">
        <v>63</v>
      </c>
      <c r="AO246" t="s">
        <v>1288</v>
      </c>
      <c r="AP246" t="s">
        <v>1326</v>
      </c>
    </row>
    <row r="247" spans="1:42" x14ac:dyDescent="0.45">
      <c r="A247" t="s">
        <v>1278</v>
      </c>
      <c r="B247" t="s">
        <v>1279</v>
      </c>
      <c r="C247" t="s">
        <v>1280</v>
      </c>
      <c r="D247">
        <v>2023</v>
      </c>
      <c r="E247" t="s">
        <v>45</v>
      </c>
      <c r="F247" t="s">
        <v>46</v>
      </c>
      <c r="G247">
        <v>10</v>
      </c>
      <c r="J247" t="s">
        <v>1331</v>
      </c>
      <c r="K247" t="s">
        <v>1332</v>
      </c>
      <c r="L247" t="s">
        <v>1333</v>
      </c>
      <c r="M247" t="s">
        <v>1334</v>
      </c>
      <c r="N247" t="s">
        <v>51</v>
      </c>
      <c r="O247" t="s">
        <v>52</v>
      </c>
      <c r="P247" t="s">
        <v>53</v>
      </c>
      <c r="Q247" t="s">
        <v>1285</v>
      </c>
      <c r="S247">
        <v>6</v>
      </c>
      <c r="T247" t="s">
        <v>1335</v>
      </c>
      <c r="U247">
        <v>7020</v>
      </c>
      <c r="V247">
        <v>6882</v>
      </c>
      <c r="W247">
        <v>1.0201</v>
      </c>
      <c r="X247" t="s">
        <v>70</v>
      </c>
      <c r="Y247" t="s">
        <v>1287</v>
      </c>
      <c r="Z247">
        <v>1109.71</v>
      </c>
      <c r="AA247">
        <v>7565.35</v>
      </c>
      <c r="AB247">
        <v>8395318</v>
      </c>
      <c r="AC247" t="b">
        <v>1</v>
      </c>
      <c r="AD247" t="b">
        <v>1</v>
      </c>
      <c r="AE247" t="b">
        <v>0</v>
      </c>
      <c r="AF247" t="b">
        <v>0</v>
      </c>
      <c r="AG247" t="s">
        <v>58</v>
      </c>
      <c r="AH247">
        <v>20</v>
      </c>
      <c r="AI247" t="s">
        <v>59</v>
      </c>
      <c r="AJ247" t="s">
        <v>71</v>
      </c>
      <c r="AL247" t="s">
        <v>72</v>
      </c>
      <c r="AM247" t="s">
        <v>62</v>
      </c>
      <c r="AN247" t="s">
        <v>63</v>
      </c>
      <c r="AO247" t="s">
        <v>1288</v>
      </c>
      <c r="AP247" t="s">
        <v>1332</v>
      </c>
    </row>
    <row r="248" spans="1:42" x14ac:dyDescent="0.45">
      <c r="A248" t="s">
        <v>1278</v>
      </c>
      <c r="B248" t="s">
        <v>1279</v>
      </c>
      <c r="C248" t="s">
        <v>1280</v>
      </c>
      <c r="D248">
        <v>2023</v>
      </c>
      <c r="E248" t="s">
        <v>45</v>
      </c>
      <c r="F248" t="s">
        <v>46</v>
      </c>
      <c r="J248" t="s">
        <v>1336</v>
      </c>
      <c r="K248" t="s">
        <v>1337</v>
      </c>
      <c r="L248" t="s">
        <v>1338</v>
      </c>
      <c r="M248" t="s">
        <v>1339</v>
      </c>
      <c r="N248" t="s">
        <v>51</v>
      </c>
      <c r="O248" t="s">
        <v>52</v>
      </c>
      <c r="P248" t="s">
        <v>53</v>
      </c>
      <c r="Q248" t="s">
        <v>1285</v>
      </c>
      <c r="S248">
        <v>24</v>
      </c>
      <c r="T248" t="s">
        <v>1340</v>
      </c>
      <c r="U248">
        <v>788</v>
      </c>
      <c r="V248">
        <v>6882</v>
      </c>
      <c r="W248">
        <v>0.1145</v>
      </c>
      <c r="X248" t="s">
        <v>56</v>
      </c>
      <c r="Y248" t="s">
        <v>1287</v>
      </c>
      <c r="Z248">
        <v>1109.21</v>
      </c>
      <c r="AA248">
        <v>2838.06</v>
      </c>
      <c r="AB248">
        <v>3147991</v>
      </c>
      <c r="AC248" t="b">
        <v>0</v>
      </c>
      <c r="AD248" t="b">
        <v>0</v>
      </c>
      <c r="AE248" t="b">
        <v>0</v>
      </c>
      <c r="AF248" t="b">
        <v>0</v>
      </c>
      <c r="AG248" t="s">
        <v>58</v>
      </c>
      <c r="AH248">
        <v>14</v>
      </c>
      <c r="AI248" t="s">
        <v>169</v>
      </c>
      <c r="AJ248" t="s">
        <v>60</v>
      </c>
      <c r="AL248" t="s">
        <v>170</v>
      </c>
      <c r="AM248" t="s">
        <v>62</v>
      </c>
      <c r="AN248" t="s">
        <v>63</v>
      </c>
      <c r="AO248" t="s">
        <v>1288</v>
      </c>
      <c r="AP248" t="s">
        <v>1337</v>
      </c>
    </row>
    <row r="249" spans="1:42" x14ac:dyDescent="0.45">
      <c r="A249" t="s">
        <v>1278</v>
      </c>
      <c r="B249" t="s">
        <v>1279</v>
      </c>
      <c r="C249" t="s">
        <v>1280</v>
      </c>
      <c r="D249">
        <v>2023</v>
      </c>
      <c r="E249" t="s">
        <v>45</v>
      </c>
      <c r="F249" t="s">
        <v>46</v>
      </c>
      <c r="G249">
        <v>16</v>
      </c>
      <c r="J249" t="s">
        <v>1341</v>
      </c>
      <c r="K249" t="s">
        <v>1342</v>
      </c>
      <c r="L249" t="s">
        <v>1343</v>
      </c>
      <c r="M249" t="s">
        <v>1344</v>
      </c>
      <c r="N249" t="s">
        <v>51</v>
      </c>
      <c r="O249" t="s">
        <v>52</v>
      </c>
      <c r="P249" t="s">
        <v>53</v>
      </c>
      <c r="Q249" t="s">
        <v>1285</v>
      </c>
      <c r="S249">
        <v>0</v>
      </c>
      <c r="T249" t="s">
        <v>1345</v>
      </c>
      <c r="U249">
        <v>10631</v>
      </c>
      <c r="V249">
        <v>6882</v>
      </c>
      <c r="W249">
        <v>1.5448</v>
      </c>
      <c r="X249" t="s">
        <v>70</v>
      </c>
      <c r="Y249" t="s">
        <v>1287</v>
      </c>
      <c r="Z249">
        <v>1067.6099999999999</v>
      </c>
      <c r="AA249">
        <v>10762.27</v>
      </c>
      <c r="AB249">
        <v>11489922</v>
      </c>
      <c r="AC249" t="b">
        <v>1</v>
      </c>
      <c r="AD249" t="b">
        <v>1</v>
      </c>
      <c r="AE249" t="b">
        <v>0</v>
      </c>
      <c r="AF249" t="b">
        <v>0</v>
      </c>
      <c r="AG249" t="s">
        <v>58</v>
      </c>
      <c r="AH249">
        <v>20</v>
      </c>
      <c r="AI249" t="s">
        <v>59</v>
      </c>
      <c r="AJ249" t="s">
        <v>71</v>
      </c>
      <c r="AL249" t="s">
        <v>72</v>
      </c>
      <c r="AM249" t="s">
        <v>62</v>
      </c>
      <c r="AN249" t="s">
        <v>63</v>
      </c>
      <c r="AO249" t="s">
        <v>1288</v>
      </c>
      <c r="AP249" t="s">
        <v>1342</v>
      </c>
    </row>
    <row r="250" spans="1:42" x14ac:dyDescent="0.45">
      <c r="A250" t="s">
        <v>1278</v>
      </c>
      <c r="B250" t="s">
        <v>1279</v>
      </c>
      <c r="C250" t="s">
        <v>1280</v>
      </c>
      <c r="D250">
        <v>2023</v>
      </c>
      <c r="E250" t="s">
        <v>45</v>
      </c>
      <c r="F250" t="s">
        <v>46</v>
      </c>
      <c r="G250">
        <v>2</v>
      </c>
      <c r="J250" t="s">
        <v>1346</v>
      </c>
      <c r="K250" t="s">
        <v>1347</v>
      </c>
      <c r="L250" t="s">
        <v>1348</v>
      </c>
      <c r="M250" t="s">
        <v>1349</v>
      </c>
      <c r="N250" t="s">
        <v>51</v>
      </c>
      <c r="O250" t="s">
        <v>52</v>
      </c>
      <c r="P250" t="s">
        <v>53</v>
      </c>
      <c r="Q250" t="s">
        <v>1285</v>
      </c>
      <c r="S250">
        <v>14</v>
      </c>
      <c r="T250" t="s">
        <v>1350</v>
      </c>
      <c r="U250">
        <v>4821</v>
      </c>
      <c r="V250">
        <v>6882</v>
      </c>
      <c r="W250">
        <v>0.70050000000000001</v>
      </c>
      <c r="X250" t="s">
        <v>70</v>
      </c>
      <c r="Y250" t="s">
        <v>1287</v>
      </c>
      <c r="Z250">
        <v>1165.71</v>
      </c>
      <c r="AA250">
        <v>8445.33</v>
      </c>
      <c r="AB250">
        <v>9844784</v>
      </c>
      <c r="AC250" t="b">
        <v>1</v>
      </c>
      <c r="AD250" t="b">
        <v>1</v>
      </c>
      <c r="AE250" t="b">
        <v>0</v>
      </c>
      <c r="AF250" t="b">
        <v>0</v>
      </c>
      <c r="AG250" t="s">
        <v>58</v>
      </c>
      <c r="AH250">
        <v>20</v>
      </c>
      <c r="AI250" t="s">
        <v>59</v>
      </c>
      <c r="AJ250" t="s">
        <v>71</v>
      </c>
      <c r="AL250" t="s">
        <v>72</v>
      </c>
      <c r="AM250" t="s">
        <v>62</v>
      </c>
      <c r="AN250" t="s">
        <v>63</v>
      </c>
      <c r="AO250" t="s">
        <v>1288</v>
      </c>
      <c r="AP250" t="s">
        <v>1347</v>
      </c>
    </row>
    <row r="251" spans="1:42" x14ac:dyDescent="0.45">
      <c r="A251" t="s">
        <v>1278</v>
      </c>
      <c r="B251" t="s">
        <v>1279</v>
      </c>
      <c r="C251" t="s">
        <v>1280</v>
      </c>
      <c r="D251">
        <v>2023</v>
      </c>
      <c r="E251" t="s">
        <v>45</v>
      </c>
      <c r="F251" t="s">
        <v>46</v>
      </c>
      <c r="J251" t="s">
        <v>1351</v>
      </c>
      <c r="K251" t="s">
        <v>1352</v>
      </c>
      <c r="L251" t="s">
        <v>1353</v>
      </c>
      <c r="M251" t="s">
        <v>1354</v>
      </c>
      <c r="N251" t="s">
        <v>51</v>
      </c>
      <c r="O251" t="s">
        <v>52</v>
      </c>
      <c r="P251" t="s">
        <v>53</v>
      </c>
      <c r="Q251" t="s">
        <v>1285</v>
      </c>
      <c r="S251">
        <v>21</v>
      </c>
      <c r="T251" t="s">
        <v>1355</v>
      </c>
      <c r="U251">
        <v>716</v>
      </c>
      <c r="V251">
        <v>6882</v>
      </c>
      <c r="W251">
        <v>0.104</v>
      </c>
      <c r="X251" t="s">
        <v>56</v>
      </c>
      <c r="Y251" t="s">
        <v>1287</v>
      </c>
      <c r="Z251">
        <v>1144.6199999999999</v>
      </c>
      <c r="AA251">
        <v>4531.13</v>
      </c>
      <c r="AB251">
        <v>5186435</v>
      </c>
      <c r="AC251" t="b">
        <v>0</v>
      </c>
      <c r="AD251" t="b">
        <v>0</v>
      </c>
      <c r="AE251" t="b">
        <v>0</v>
      </c>
      <c r="AF251" t="b">
        <v>0</v>
      </c>
      <c r="AG251" t="s">
        <v>58</v>
      </c>
      <c r="AH251">
        <v>14</v>
      </c>
      <c r="AI251" t="s">
        <v>169</v>
      </c>
      <c r="AJ251" t="s">
        <v>60</v>
      </c>
      <c r="AL251" t="s">
        <v>170</v>
      </c>
      <c r="AM251" t="s">
        <v>62</v>
      </c>
      <c r="AN251" t="s">
        <v>63</v>
      </c>
      <c r="AO251" t="s">
        <v>1288</v>
      </c>
      <c r="AP251" t="s">
        <v>1352</v>
      </c>
    </row>
    <row r="252" spans="1:42" x14ac:dyDescent="0.45">
      <c r="A252" t="s">
        <v>1278</v>
      </c>
      <c r="B252" t="s">
        <v>1279</v>
      </c>
      <c r="C252" t="s">
        <v>1280</v>
      </c>
      <c r="D252">
        <v>2023</v>
      </c>
      <c r="E252" t="s">
        <v>45</v>
      </c>
      <c r="F252" t="s">
        <v>46</v>
      </c>
      <c r="G252">
        <v>12</v>
      </c>
      <c r="J252" t="s">
        <v>1356</v>
      </c>
      <c r="K252" t="s">
        <v>1357</v>
      </c>
      <c r="L252" t="s">
        <v>1358</v>
      </c>
      <c r="M252" t="s">
        <v>1359</v>
      </c>
      <c r="N252" t="s">
        <v>51</v>
      </c>
      <c r="O252" t="s">
        <v>52</v>
      </c>
      <c r="P252" t="s">
        <v>53</v>
      </c>
      <c r="Q252" t="s">
        <v>1285</v>
      </c>
      <c r="S252">
        <v>4</v>
      </c>
      <c r="T252" t="s">
        <v>1360</v>
      </c>
      <c r="U252">
        <v>6860</v>
      </c>
      <c r="V252">
        <v>6882</v>
      </c>
      <c r="W252">
        <v>0.99680000000000002</v>
      </c>
      <c r="X252" t="s">
        <v>70</v>
      </c>
      <c r="Y252" t="s">
        <v>1287</v>
      </c>
      <c r="Z252">
        <v>1095.71</v>
      </c>
      <c r="AA252">
        <v>7054.65</v>
      </c>
      <c r="AB252">
        <v>7729829</v>
      </c>
      <c r="AC252" t="b">
        <v>1</v>
      </c>
      <c r="AD252" t="b">
        <v>1</v>
      </c>
      <c r="AE252" t="b">
        <v>0</v>
      </c>
      <c r="AF252" t="b">
        <v>0</v>
      </c>
      <c r="AG252" t="s">
        <v>58</v>
      </c>
      <c r="AH252">
        <v>20</v>
      </c>
      <c r="AI252" t="s">
        <v>59</v>
      </c>
      <c r="AJ252" t="s">
        <v>71</v>
      </c>
      <c r="AL252" t="s">
        <v>72</v>
      </c>
      <c r="AM252" t="s">
        <v>62</v>
      </c>
      <c r="AN252" t="s">
        <v>63</v>
      </c>
      <c r="AO252" t="s">
        <v>1288</v>
      </c>
      <c r="AP252" t="s">
        <v>1357</v>
      </c>
    </row>
    <row r="253" spans="1:42" x14ac:dyDescent="0.45">
      <c r="A253" t="s">
        <v>1278</v>
      </c>
      <c r="B253" t="s">
        <v>1279</v>
      </c>
      <c r="C253" t="s">
        <v>1280</v>
      </c>
      <c r="D253">
        <v>2023</v>
      </c>
      <c r="E253" t="s">
        <v>45</v>
      </c>
      <c r="F253" t="s">
        <v>46</v>
      </c>
      <c r="J253" t="s">
        <v>1361</v>
      </c>
      <c r="K253" t="s">
        <v>1362</v>
      </c>
      <c r="L253" t="s">
        <v>1363</v>
      </c>
      <c r="M253" t="s">
        <v>1364</v>
      </c>
      <c r="N253" t="s">
        <v>51</v>
      </c>
      <c r="O253" t="s">
        <v>52</v>
      </c>
      <c r="P253" t="s">
        <v>53</v>
      </c>
      <c r="Q253" t="s">
        <v>1285</v>
      </c>
      <c r="S253">
        <v>26</v>
      </c>
      <c r="T253" t="s">
        <v>1365</v>
      </c>
      <c r="U253">
        <v>969</v>
      </c>
      <c r="V253">
        <v>6882</v>
      </c>
      <c r="W253">
        <v>0.14080000000000001</v>
      </c>
      <c r="X253" t="s">
        <v>56</v>
      </c>
      <c r="Y253" t="s">
        <v>1287</v>
      </c>
      <c r="Z253">
        <v>1172.0999999999999</v>
      </c>
      <c r="AA253">
        <v>1999.12</v>
      </c>
      <c r="AB253">
        <v>2343171</v>
      </c>
      <c r="AC253" t="b">
        <v>0</v>
      </c>
      <c r="AD253" t="b">
        <v>0</v>
      </c>
      <c r="AE253" t="b">
        <v>0</v>
      </c>
      <c r="AF253" t="b">
        <v>0</v>
      </c>
      <c r="AG253" t="s">
        <v>58</v>
      </c>
      <c r="AH253">
        <v>14</v>
      </c>
      <c r="AI253" t="s">
        <v>169</v>
      </c>
      <c r="AJ253" t="s">
        <v>60</v>
      </c>
      <c r="AL253" t="s">
        <v>170</v>
      </c>
      <c r="AM253" t="s">
        <v>62</v>
      </c>
      <c r="AN253" t="s">
        <v>63</v>
      </c>
      <c r="AO253" t="s">
        <v>1288</v>
      </c>
      <c r="AP253" t="s">
        <v>1362</v>
      </c>
    </row>
    <row r="254" spans="1:42" x14ac:dyDescent="0.45">
      <c r="A254" t="s">
        <v>1278</v>
      </c>
      <c r="B254" t="s">
        <v>1279</v>
      </c>
      <c r="C254" t="s">
        <v>1280</v>
      </c>
      <c r="D254">
        <v>2023</v>
      </c>
      <c r="E254" t="s">
        <v>45</v>
      </c>
      <c r="F254" t="s">
        <v>46</v>
      </c>
      <c r="J254" t="s">
        <v>1366</v>
      </c>
      <c r="K254" t="s">
        <v>1367</v>
      </c>
      <c r="L254" t="s">
        <v>1368</v>
      </c>
      <c r="M254" t="s">
        <v>1369</v>
      </c>
      <c r="N254" t="s">
        <v>51</v>
      </c>
      <c r="O254" t="s">
        <v>52</v>
      </c>
      <c r="P254" t="s">
        <v>53</v>
      </c>
      <c r="Q254" t="s">
        <v>1285</v>
      </c>
      <c r="S254">
        <v>29</v>
      </c>
      <c r="T254" t="s">
        <v>1370</v>
      </c>
      <c r="U254">
        <v>1034</v>
      </c>
      <c r="V254">
        <v>6882</v>
      </c>
      <c r="W254">
        <v>0.1502</v>
      </c>
      <c r="X254" t="s">
        <v>56</v>
      </c>
      <c r="Y254" t="s">
        <v>1287</v>
      </c>
      <c r="Z254">
        <v>1172.1400000000001</v>
      </c>
      <c r="AA254">
        <v>2283.73</v>
      </c>
      <c r="AB254">
        <v>2676867</v>
      </c>
      <c r="AC254" t="b">
        <v>0</v>
      </c>
      <c r="AD254" t="b">
        <v>0</v>
      </c>
      <c r="AE254" t="b">
        <v>0</v>
      </c>
      <c r="AF254" t="b">
        <v>0</v>
      </c>
      <c r="AG254" t="s">
        <v>58</v>
      </c>
      <c r="AH254">
        <v>14</v>
      </c>
      <c r="AI254" t="s">
        <v>169</v>
      </c>
      <c r="AJ254" t="s">
        <v>60</v>
      </c>
      <c r="AL254" t="s">
        <v>170</v>
      </c>
      <c r="AM254" t="s">
        <v>62</v>
      </c>
      <c r="AN254" t="s">
        <v>63</v>
      </c>
      <c r="AO254" t="s">
        <v>1288</v>
      </c>
      <c r="AP254" t="s">
        <v>1367</v>
      </c>
    </row>
    <row r="255" spans="1:42" x14ac:dyDescent="0.45">
      <c r="A255" t="s">
        <v>1278</v>
      </c>
      <c r="B255" t="s">
        <v>1279</v>
      </c>
      <c r="C255" t="s">
        <v>1280</v>
      </c>
      <c r="D255">
        <v>2023</v>
      </c>
      <c r="E255" t="s">
        <v>45</v>
      </c>
      <c r="F255" t="s">
        <v>46</v>
      </c>
      <c r="G255">
        <v>8</v>
      </c>
      <c r="J255" t="s">
        <v>1371</v>
      </c>
      <c r="K255" t="s">
        <v>1372</v>
      </c>
      <c r="L255" t="s">
        <v>1373</v>
      </c>
      <c r="M255" t="s">
        <v>1374</v>
      </c>
      <c r="N255" t="s">
        <v>51</v>
      </c>
      <c r="O255" t="s">
        <v>52</v>
      </c>
      <c r="P255" t="s">
        <v>53</v>
      </c>
      <c r="Q255" t="s">
        <v>1285</v>
      </c>
      <c r="S255">
        <v>8</v>
      </c>
      <c r="T255" t="s">
        <v>1375</v>
      </c>
      <c r="U255">
        <v>7003</v>
      </c>
      <c r="V255">
        <v>6882</v>
      </c>
      <c r="W255">
        <v>1.0176000000000001</v>
      </c>
      <c r="X255" t="s">
        <v>70</v>
      </c>
      <c r="Y255" t="s">
        <v>1287</v>
      </c>
      <c r="Z255">
        <v>1123.71</v>
      </c>
      <c r="AA255">
        <v>9023.51</v>
      </c>
      <c r="AB255">
        <v>10139787</v>
      </c>
      <c r="AC255" t="b">
        <v>1</v>
      </c>
      <c r="AD255" t="b">
        <v>1</v>
      </c>
      <c r="AE255" t="b">
        <v>0</v>
      </c>
      <c r="AF255" t="b">
        <v>0</v>
      </c>
      <c r="AG255" t="s">
        <v>58</v>
      </c>
      <c r="AH255">
        <v>20</v>
      </c>
      <c r="AI255" t="s">
        <v>59</v>
      </c>
      <c r="AJ255" t="s">
        <v>71</v>
      </c>
      <c r="AL255" t="s">
        <v>72</v>
      </c>
      <c r="AM255" t="s">
        <v>62</v>
      </c>
      <c r="AN255" t="s">
        <v>63</v>
      </c>
      <c r="AO255" t="s">
        <v>1288</v>
      </c>
      <c r="AP255" t="s">
        <v>1372</v>
      </c>
    </row>
    <row r="256" spans="1:42" x14ac:dyDescent="0.45">
      <c r="A256" t="s">
        <v>1278</v>
      </c>
      <c r="B256" t="s">
        <v>1279</v>
      </c>
      <c r="C256" t="s">
        <v>1280</v>
      </c>
      <c r="D256">
        <v>2023</v>
      </c>
      <c r="E256" t="s">
        <v>45</v>
      </c>
      <c r="F256" t="s">
        <v>46</v>
      </c>
      <c r="G256">
        <v>5</v>
      </c>
      <c r="J256" t="s">
        <v>1376</v>
      </c>
      <c r="K256" t="s">
        <v>1377</v>
      </c>
      <c r="L256" t="s">
        <v>1378</v>
      </c>
      <c r="M256" t="s">
        <v>1379</v>
      </c>
      <c r="N256" t="s">
        <v>51</v>
      </c>
      <c r="O256" t="s">
        <v>52</v>
      </c>
      <c r="P256" t="s">
        <v>53</v>
      </c>
      <c r="Q256" t="s">
        <v>1285</v>
      </c>
      <c r="S256">
        <v>11</v>
      </c>
      <c r="T256" t="s">
        <v>1380</v>
      </c>
      <c r="U256">
        <v>5360</v>
      </c>
      <c r="V256">
        <v>6882</v>
      </c>
      <c r="W256">
        <v>0.77880000000000005</v>
      </c>
      <c r="X256" t="s">
        <v>70</v>
      </c>
      <c r="Y256" t="s">
        <v>1287</v>
      </c>
      <c r="Z256">
        <v>1144.71</v>
      </c>
      <c r="AA256">
        <v>6699.54</v>
      </c>
      <c r="AB256">
        <v>7669013</v>
      </c>
      <c r="AC256" t="b">
        <v>1</v>
      </c>
      <c r="AD256" t="b">
        <v>1</v>
      </c>
      <c r="AE256" t="b">
        <v>0</v>
      </c>
      <c r="AF256" t="b">
        <v>0</v>
      </c>
      <c r="AG256" t="s">
        <v>58</v>
      </c>
      <c r="AH256">
        <v>20</v>
      </c>
      <c r="AI256" t="s">
        <v>59</v>
      </c>
      <c r="AJ256" t="s">
        <v>71</v>
      </c>
      <c r="AL256" t="s">
        <v>72</v>
      </c>
      <c r="AM256" t="s">
        <v>62</v>
      </c>
      <c r="AN256" t="s">
        <v>63</v>
      </c>
      <c r="AO256" t="s">
        <v>1288</v>
      </c>
      <c r="AP256" t="s">
        <v>1377</v>
      </c>
    </row>
    <row r="257" spans="1:42" x14ac:dyDescent="0.45">
      <c r="A257" t="s">
        <v>1278</v>
      </c>
      <c r="B257" t="s">
        <v>1279</v>
      </c>
      <c r="C257" t="s">
        <v>1280</v>
      </c>
      <c r="D257">
        <v>2023</v>
      </c>
      <c r="E257" t="s">
        <v>45</v>
      </c>
      <c r="F257" t="s">
        <v>46</v>
      </c>
      <c r="G257">
        <v>9</v>
      </c>
      <c r="J257" t="s">
        <v>1381</v>
      </c>
      <c r="K257" t="s">
        <v>1382</v>
      </c>
      <c r="L257" t="s">
        <v>1383</v>
      </c>
      <c r="M257" t="s">
        <v>1384</v>
      </c>
      <c r="N257" t="s">
        <v>51</v>
      </c>
      <c r="O257" t="s">
        <v>52</v>
      </c>
      <c r="P257" t="s">
        <v>53</v>
      </c>
      <c r="Q257" t="s">
        <v>1285</v>
      </c>
      <c r="S257">
        <v>7</v>
      </c>
      <c r="T257" t="s">
        <v>1385</v>
      </c>
      <c r="U257">
        <v>6689</v>
      </c>
      <c r="V257">
        <v>6882</v>
      </c>
      <c r="W257">
        <v>0.97199999999999998</v>
      </c>
      <c r="X257" t="s">
        <v>70</v>
      </c>
      <c r="Y257" t="s">
        <v>1287</v>
      </c>
      <c r="Z257">
        <v>1116.71</v>
      </c>
      <c r="AA257">
        <v>7835.68</v>
      </c>
      <c r="AB257">
        <v>8750158</v>
      </c>
      <c r="AC257" t="b">
        <v>1</v>
      </c>
      <c r="AD257" t="b">
        <v>1</v>
      </c>
      <c r="AE257" t="b">
        <v>0</v>
      </c>
      <c r="AF257" t="b">
        <v>0</v>
      </c>
      <c r="AG257" t="s">
        <v>58</v>
      </c>
      <c r="AH257">
        <v>20</v>
      </c>
      <c r="AI257" t="s">
        <v>59</v>
      </c>
      <c r="AJ257" t="s">
        <v>71</v>
      </c>
      <c r="AL257" t="s">
        <v>72</v>
      </c>
      <c r="AM257" t="s">
        <v>62</v>
      </c>
      <c r="AN257" t="s">
        <v>63</v>
      </c>
      <c r="AO257" t="s">
        <v>1288</v>
      </c>
      <c r="AP257" t="s">
        <v>1382</v>
      </c>
    </row>
    <row r="258" spans="1:42" x14ac:dyDescent="0.45">
      <c r="A258" t="s">
        <v>1278</v>
      </c>
      <c r="B258" t="s">
        <v>1279</v>
      </c>
      <c r="C258" t="s">
        <v>1280</v>
      </c>
      <c r="D258">
        <v>2023</v>
      </c>
      <c r="E258" t="s">
        <v>45</v>
      </c>
      <c r="F258" t="s">
        <v>46</v>
      </c>
      <c r="J258" t="s">
        <v>1386</v>
      </c>
      <c r="K258" t="s">
        <v>1387</v>
      </c>
      <c r="L258" t="s">
        <v>1388</v>
      </c>
      <c r="M258" t="s">
        <v>1389</v>
      </c>
      <c r="N258" t="s">
        <v>51</v>
      </c>
      <c r="O258" t="s">
        <v>52</v>
      </c>
      <c r="P258" t="s">
        <v>53</v>
      </c>
      <c r="Q258" t="s">
        <v>1285</v>
      </c>
      <c r="S258">
        <v>28</v>
      </c>
      <c r="T258" t="s">
        <v>1390</v>
      </c>
      <c r="U258">
        <v>539</v>
      </c>
      <c r="V258">
        <v>6882</v>
      </c>
      <c r="W258">
        <v>7.8299999999999995E-2</v>
      </c>
      <c r="X258" t="s">
        <v>56</v>
      </c>
      <c r="Y258" t="s">
        <v>1287</v>
      </c>
      <c r="Z258">
        <v>1088.21</v>
      </c>
      <c r="AA258">
        <v>3815.38</v>
      </c>
      <c r="AB258">
        <v>4151927</v>
      </c>
      <c r="AC258" t="b">
        <v>0</v>
      </c>
      <c r="AD258" t="b">
        <v>0</v>
      </c>
      <c r="AE258" t="b">
        <v>0</v>
      </c>
      <c r="AF258" t="b">
        <v>0</v>
      </c>
      <c r="AG258" t="s">
        <v>58</v>
      </c>
      <c r="AH258">
        <v>14</v>
      </c>
      <c r="AI258" t="s">
        <v>169</v>
      </c>
      <c r="AJ258" t="s">
        <v>60</v>
      </c>
      <c r="AL258" t="s">
        <v>170</v>
      </c>
      <c r="AM258" t="s">
        <v>62</v>
      </c>
      <c r="AN258" t="s">
        <v>63</v>
      </c>
      <c r="AO258" t="s">
        <v>1288</v>
      </c>
      <c r="AP258" t="s">
        <v>1387</v>
      </c>
    </row>
    <row r="259" spans="1:42" x14ac:dyDescent="0.45">
      <c r="A259" t="s">
        <v>1278</v>
      </c>
      <c r="B259" t="s">
        <v>1279</v>
      </c>
      <c r="C259" t="s">
        <v>1280</v>
      </c>
      <c r="D259">
        <v>2023</v>
      </c>
      <c r="E259" t="s">
        <v>45</v>
      </c>
      <c r="F259" t="s">
        <v>46</v>
      </c>
      <c r="J259" t="s">
        <v>1391</v>
      </c>
      <c r="K259" t="s">
        <v>1392</v>
      </c>
      <c r="L259" t="s">
        <v>1393</v>
      </c>
      <c r="M259" t="s">
        <v>1394</v>
      </c>
      <c r="N259" t="s">
        <v>51</v>
      </c>
      <c r="O259" t="s">
        <v>52</v>
      </c>
      <c r="P259" t="s">
        <v>53</v>
      </c>
      <c r="Q259" t="s">
        <v>1285</v>
      </c>
      <c r="S259">
        <v>19</v>
      </c>
      <c r="T259" t="s">
        <v>1395</v>
      </c>
      <c r="U259">
        <v>945</v>
      </c>
      <c r="V259">
        <v>6882</v>
      </c>
      <c r="W259">
        <v>0.13730000000000001</v>
      </c>
      <c r="X259" t="s">
        <v>56</v>
      </c>
      <c r="Y259" t="s">
        <v>1287</v>
      </c>
      <c r="Z259">
        <v>1165.6199999999999</v>
      </c>
      <c r="AA259">
        <v>7139.15</v>
      </c>
      <c r="AB259">
        <v>8321558</v>
      </c>
      <c r="AC259" t="b">
        <v>0</v>
      </c>
      <c r="AD259" t="b">
        <v>0</v>
      </c>
      <c r="AE259" t="b">
        <v>0</v>
      </c>
      <c r="AF259" t="b">
        <v>0</v>
      </c>
      <c r="AG259" t="s">
        <v>58</v>
      </c>
      <c r="AH259">
        <v>14</v>
      </c>
      <c r="AI259" t="s">
        <v>169</v>
      </c>
      <c r="AJ259" t="s">
        <v>60</v>
      </c>
      <c r="AL259" t="s">
        <v>170</v>
      </c>
      <c r="AM259" t="s">
        <v>62</v>
      </c>
      <c r="AN259" t="s">
        <v>63</v>
      </c>
      <c r="AO259" t="s">
        <v>1288</v>
      </c>
      <c r="AP259" t="s">
        <v>1392</v>
      </c>
    </row>
    <row r="260" spans="1:42" x14ac:dyDescent="0.45">
      <c r="A260" t="s">
        <v>1278</v>
      </c>
      <c r="B260" t="s">
        <v>1279</v>
      </c>
      <c r="C260" t="s">
        <v>1280</v>
      </c>
      <c r="D260">
        <v>2023</v>
      </c>
      <c r="E260" t="s">
        <v>45</v>
      </c>
      <c r="F260" t="s">
        <v>46</v>
      </c>
      <c r="J260" t="s">
        <v>1396</v>
      </c>
      <c r="K260" t="s">
        <v>1397</v>
      </c>
      <c r="L260" t="s">
        <v>1398</v>
      </c>
      <c r="M260" t="s">
        <v>1399</v>
      </c>
      <c r="N260" t="s">
        <v>51</v>
      </c>
      <c r="O260" t="s">
        <v>52</v>
      </c>
      <c r="P260" t="s">
        <v>53</v>
      </c>
      <c r="Q260" t="s">
        <v>1285</v>
      </c>
      <c r="S260">
        <v>27</v>
      </c>
      <c r="T260" t="s">
        <v>1400</v>
      </c>
      <c r="U260">
        <v>783</v>
      </c>
      <c r="V260">
        <v>6882</v>
      </c>
      <c r="W260">
        <v>0.1138</v>
      </c>
      <c r="X260" t="s">
        <v>56</v>
      </c>
      <c r="Y260" t="s">
        <v>1287</v>
      </c>
      <c r="Z260">
        <v>1102.6199999999999</v>
      </c>
      <c r="AA260">
        <v>3623.15</v>
      </c>
      <c r="AB260">
        <v>3994971</v>
      </c>
      <c r="AC260" t="b">
        <v>0</v>
      </c>
      <c r="AD260" t="b">
        <v>0</v>
      </c>
      <c r="AE260" t="b">
        <v>0</v>
      </c>
      <c r="AF260" t="b">
        <v>0</v>
      </c>
      <c r="AG260" t="s">
        <v>58</v>
      </c>
      <c r="AH260">
        <v>14</v>
      </c>
      <c r="AI260" t="s">
        <v>169</v>
      </c>
      <c r="AJ260" t="s">
        <v>60</v>
      </c>
      <c r="AL260" t="s">
        <v>170</v>
      </c>
      <c r="AM260" t="s">
        <v>62</v>
      </c>
      <c r="AN260" t="s">
        <v>63</v>
      </c>
      <c r="AO260" t="s">
        <v>1288</v>
      </c>
      <c r="AP260" t="s">
        <v>1397</v>
      </c>
    </row>
    <row r="261" spans="1:42" x14ac:dyDescent="0.45">
      <c r="A261" t="s">
        <v>1278</v>
      </c>
      <c r="B261" t="s">
        <v>1279</v>
      </c>
      <c r="C261" t="s">
        <v>1280</v>
      </c>
      <c r="D261">
        <v>2023</v>
      </c>
      <c r="E261" t="s">
        <v>45</v>
      </c>
      <c r="F261" t="s">
        <v>46</v>
      </c>
      <c r="J261" t="s">
        <v>1401</v>
      </c>
      <c r="K261" t="s">
        <v>1402</v>
      </c>
      <c r="L261" t="s">
        <v>1403</v>
      </c>
      <c r="M261" t="s">
        <v>1404</v>
      </c>
      <c r="N261" t="s">
        <v>51</v>
      </c>
      <c r="O261" t="s">
        <v>52</v>
      </c>
      <c r="P261" t="s">
        <v>53</v>
      </c>
      <c r="Q261" t="s">
        <v>1285</v>
      </c>
      <c r="S261">
        <v>20</v>
      </c>
      <c r="T261" t="s">
        <v>1405</v>
      </c>
      <c r="U261">
        <v>654</v>
      </c>
      <c r="V261">
        <v>6882</v>
      </c>
      <c r="W261">
        <v>9.5000000000000001E-2</v>
      </c>
      <c r="X261" t="s">
        <v>56</v>
      </c>
      <c r="Y261" t="s">
        <v>1287</v>
      </c>
      <c r="Z261">
        <v>1165.1199999999999</v>
      </c>
      <c r="AA261">
        <v>8592.2000000000007</v>
      </c>
      <c r="AB261">
        <v>10010979</v>
      </c>
      <c r="AC261" t="b">
        <v>0</v>
      </c>
      <c r="AD261" t="b">
        <v>0</v>
      </c>
      <c r="AE261" t="b">
        <v>0</v>
      </c>
      <c r="AF261" t="b">
        <v>0</v>
      </c>
      <c r="AG261" t="s">
        <v>58</v>
      </c>
      <c r="AH261">
        <v>14</v>
      </c>
      <c r="AI261" t="s">
        <v>169</v>
      </c>
      <c r="AJ261" t="s">
        <v>60</v>
      </c>
      <c r="AL261" t="s">
        <v>170</v>
      </c>
      <c r="AM261" t="s">
        <v>62</v>
      </c>
      <c r="AN261" t="s">
        <v>63</v>
      </c>
      <c r="AO261" t="s">
        <v>1288</v>
      </c>
      <c r="AP261" t="s">
        <v>1402</v>
      </c>
    </row>
    <row r="262" spans="1:42" x14ac:dyDescent="0.45">
      <c r="A262" t="s">
        <v>1278</v>
      </c>
      <c r="B262" t="s">
        <v>1279</v>
      </c>
      <c r="C262" t="s">
        <v>1280</v>
      </c>
      <c r="D262">
        <v>2023</v>
      </c>
      <c r="E262" t="s">
        <v>45</v>
      </c>
      <c r="F262" t="s">
        <v>46</v>
      </c>
      <c r="J262" t="s">
        <v>1406</v>
      </c>
      <c r="K262" t="s">
        <v>1407</v>
      </c>
      <c r="L262" t="s">
        <v>1408</v>
      </c>
      <c r="M262" t="s">
        <v>1409</v>
      </c>
      <c r="N262" t="s">
        <v>51</v>
      </c>
      <c r="O262" t="s">
        <v>52</v>
      </c>
      <c r="P262" t="s">
        <v>53</v>
      </c>
      <c r="Q262" t="s">
        <v>1285</v>
      </c>
      <c r="S262">
        <v>23</v>
      </c>
      <c r="T262" t="s">
        <v>1410</v>
      </c>
      <c r="U262">
        <v>888</v>
      </c>
      <c r="V262">
        <v>6882</v>
      </c>
      <c r="W262">
        <v>0.129</v>
      </c>
      <c r="X262" t="s">
        <v>56</v>
      </c>
      <c r="Y262" t="s">
        <v>1287</v>
      </c>
      <c r="Z262">
        <v>1123.21</v>
      </c>
      <c r="AA262">
        <v>4248.4399999999996</v>
      </c>
      <c r="AB262">
        <v>4771876</v>
      </c>
      <c r="AC262" t="b">
        <v>0</v>
      </c>
      <c r="AD262" t="b">
        <v>0</v>
      </c>
      <c r="AE262" t="b">
        <v>0</v>
      </c>
      <c r="AF262" t="b">
        <v>0</v>
      </c>
      <c r="AG262" t="s">
        <v>58</v>
      </c>
      <c r="AH262">
        <v>14</v>
      </c>
      <c r="AI262" t="s">
        <v>169</v>
      </c>
      <c r="AJ262" t="s">
        <v>60</v>
      </c>
      <c r="AL262" t="s">
        <v>170</v>
      </c>
      <c r="AM262" t="s">
        <v>62</v>
      </c>
      <c r="AN262" t="s">
        <v>63</v>
      </c>
      <c r="AO262" t="s">
        <v>1288</v>
      </c>
      <c r="AP262" t="s">
        <v>1407</v>
      </c>
    </row>
    <row r="263" spans="1:42" x14ac:dyDescent="0.45">
      <c r="A263" t="s">
        <v>1278</v>
      </c>
      <c r="B263" t="s">
        <v>1279</v>
      </c>
      <c r="C263" t="s">
        <v>1280</v>
      </c>
      <c r="D263">
        <v>2023</v>
      </c>
      <c r="E263" t="s">
        <v>45</v>
      </c>
      <c r="F263" t="s">
        <v>46</v>
      </c>
      <c r="J263" t="s">
        <v>1411</v>
      </c>
      <c r="K263" t="s">
        <v>1412</v>
      </c>
      <c r="L263" t="s">
        <v>1413</v>
      </c>
      <c r="M263" t="s">
        <v>1414</v>
      </c>
      <c r="N263" t="s">
        <v>51</v>
      </c>
      <c r="O263" t="s">
        <v>52</v>
      </c>
      <c r="P263" t="s">
        <v>53</v>
      </c>
      <c r="Q263" t="s">
        <v>1285</v>
      </c>
      <c r="S263">
        <v>31</v>
      </c>
      <c r="T263" t="s">
        <v>1415</v>
      </c>
      <c r="U263">
        <v>773</v>
      </c>
      <c r="V263">
        <v>6882</v>
      </c>
      <c r="W263">
        <v>0.1123</v>
      </c>
      <c r="X263" t="s">
        <v>56</v>
      </c>
      <c r="Y263" t="s">
        <v>1287</v>
      </c>
      <c r="Z263">
        <v>1136.79</v>
      </c>
      <c r="AA263">
        <v>2275.08</v>
      </c>
      <c r="AB263">
        <v>2586280</v>
      </c>
      <c r="AC263" t="b">
        <v>0</v>
      </c>
      <c r="AD263" t="b">
        <v>0</v>
      </c>
      <c r="AE263" t="b">
        <v>0</v>
      </c>
      <c r="AF263" t="b">
        <v>0</v>
      </c>
      <c r="AG263" t="s">
        <v>58</v>
      </c>
      <c r="AH263">
        <v>14</v>
      </c>
      <c r="AI263" t="s">
        <v>169</v>
      </c>
      <c r="AJ263" t="s">
        <v>60</v>
      </c>
      <c r="AL263" t="s">
        <v>170</v>
      </c>
      <c r="AM263" t="s">
        <v>62</v>
      </c>
      <c r="AN263" t="s">
        <v>63</v>
      </c>
      <c r="AO263" t="s">
        <v>1288</v>
      </c>
      <c r="AP263" t="s">
        <v>1412</v>
      </c>
    </row>
    <row r="264" spans="1:42" x14ac:dyDescent="0.45">
      <c r="A264" t="s">
        <v>1278</v>
      </c>
      <c r="B264" t="s">
        <v>1279</v>
      </c>
      <c r="C264" t="s">
        <v>1280</v>
      </c>
      <c r="D264">
        <v>2023</v>
      </c>
      <c r="E264" t="s">
        <v>45</v>
      </c>
      <c r="F264" t="s">
        <v>46</v>
      </c>
      <c r="G264">
        <v>11</v>
      </c>
      <c r="J264" t="s">
        <v>1416</v>
      </c>
      <c r="K264" t="s">
        <v>1417</v>
      </c>
      <c r="L264" t="s">
        <v>1418</v>
      </c>
      <c r="M264" t="s">
        <v>1419</v>
      </c>
      <c r="N264" t="s">
        <v>51</v>
      </c>
      <c r="O264" t="s">
        <v>52</v>
      </c>
      <c r="P264" t="s">
        <v>53</v>
      </c>
      <c r="Q264" t="s">
        <v>1285</v>
      </c>
      <c r="S264">
        <v>5</v>
      </c>
      <c r="T264" t="s">
        <v>1420</v>
      </c>
      <c r="U264">
        <v>6904</v>
      </c>
      <c r="V264">
        <v>6882</v>
      </c>
      <c r="W264">
        <v>1.0032000000000001</v>
      </c>
      <c r="X264" t="s">
        <v>70</v>
      </c>
      <c r="Y264" t="s">
        <v>1287</v>
      </c>
      <c r="Z264">
        <v>1102.71</v>
      </c>
      <c r="AA264">
        <v>8055.19</v>
      </c>
      <c r="AB264">
        <v>8882518</v>
      </c>
      <c r="AC264" t="b">
        <v>1</v>
      </c>
      <c r="AD264" t="b">
        <v>1</v>
      </c>
      <c r="AE264" t="b">
        <v>0</v>
      </c>
      <c r="AF264" t="b">
        <v>0</v>
      </c>
      <c r="AG264" t="s">
        <v>58</v>
      </c>
      <c r="AH264">
        <v>20</v>
      </c>
      <c r="AI264" t="s">
        <v>59</v>
      </c>
      <c r="AJ264" t="s">
        <v>71</v>
      </c>
      <c r="AL264" t="s">
        <v>72</v>
      </c>
      <c r="AM264" t="s">
        <v>62</v>
      </c>
      <c r="AN264" t="s">
        <v>63</v>
      </c>
      <c r="AO264" t="s">
        <v>1288</v>
      </c>
      <c r="AP264" t="s">
        <v>1417</v>
      </c>
    </row>
    <row r="265" spans="1:42" x14ac:dyDescent="0.45">
      <c r="A265" t="s">
        <v>1278</v>
      </c>
      <c r="B265" t="s">
        <v>1279</v>
      </c>
      <c r="C265" t="s">
        <v>1280</v>
      </c>
      <c r="D265">
        <v>2023</v>
      </c>
      <c r="E265" t="s">
        <v>45</v>
      </c>
      <c r="F265" t="s">
        <v>46</v>
      </c>
      <c r="G265">
        <v>4</v>
      </c>
      <c r="J265" t="s">
        <v>1421</v>
      </c>
      <c r="K265" t="s">
        <v>1422</v>
      </c>
      <c r="L265" t="s">
        <v>1423</v>
      </c>
      <c r="M265" t="s">
        <v>1424</v>
      </c>
      <c r="N265" t="s">
        <v>51</v>
      </c>
      <c r="O265" t="s">
        <v>52</v>
      </c>
      <c r="P265" t="s">
        <v>53</v>
      </c>
      <c r="Q265" t="s">
        <v>1285</v>
      </c>
      <c r="S265">
        <v>12</v>
      </c>
      <c r="T265" t="s">
        <v>1425</v>
      </c>
      <c r="U265">
        <v>5939</v>
      </c>
      <c r="V265">
        <v>6882</v>
      </c>
      <c r="W265">
        <v>0.86299999999999999</v>
      </c>
      <c r="X265" t="s">
        <v>70</v>
      </c>
      <c r="Y265" t="s">
        <v>1287</v>
      </c>
      <c r="Z265">
        <v>1151.71</v>
      </c>
      <c r="AA265">
        <v>7850.7</v>
      </c>
      <c r="AB265">
        <v>9041702</v>
      </c>
      <c r="AC265" t="b">
        <v>1</v>
      </c>
      <c r="AD265" t="b">
        <v>0</v>
      </c>
      <c r="AE265" t="b">
        <v>0</v>
      </c>
      <c r="AF265" t="b">
        <v>0</v>
      </c>
      <c r="AG265" t="s">
        <v>58</v>
      </c>
      <c r="AH265">
        <v>20</v>
      </c>
      <c r="AI265" t="s">
        <v>59</v>
      </c>
      <c r="AJ265" t="s">
        <v>60</v>
      </c>
      <c r="AK265" t="s">
        <v>252</v>
      </c>
      <c r="AL265" t="s">
        <v>1426</v>
      </c>
      <c r="AM265" t="s">
        <v>62</v>
      </c>
      <c r="AN265" t="s">
        <v>63</v>
      </c>
      <c r="AO265" t="s">
        <v>1288</v>
      </c>
      <c r="AP265" t="s">
        <v>1422</v>
      </c>
    </row>
    <row r="266" spans="1:42" x14ac:dyDescent="0.45">
      <c r="A266" t="s">
        <v>1278</v>
      </c>
      <c r="B266" t="s">
        <v>1279</v>
      </c>
      <c r="C266" t="s">
        <v>1280</v>
      </c>
      <c r="D266">
        <v>2023</v>
      </c>
      <c r="E266" t="s">
        <v>45</v>
      </c>
      <c r="F266" t="s">
        <v>46</v>
      </c>
      <c r="G266">
        <v>7</v>
      </c>
      <c r="J266" t="s">
        <v>1427</v>
      </c>
      <c r="K266" t="s">
        <v>1428</v>
      </c>
      <c r="L266" t="s">
        <v>1429</v>
      </c>
      <c r="M266" t="s">
        <v>1430</v>
      </c>
      <c r="N266" t="s">
        <v>51</v>
      </c>
      <c r="O266" t="s">
        <v>52</v>
      </c>
      <c r="P266" t="s">
        <v>53</v>
      </c>
      <c r="Q266" t="s">
        <v>1285</v>
      </c>
      <c r="S266">
        <v>9</v>
      </c>
      <c r="T266" t="s">
        <v>1431</v>
      </c>
      <c r="U266">
        <v>6979</v>
      </c>
      <c r="V266">
        <v>6882</v>
      </c>
      <c r="W266">
        <v>1.0141</v>
      </c>
      <c r="X266" t="s">
        <v>70</v>
      </c>
      <c r="Y266" t="s">
        <v>1287</v>
      </c>
      <c r="Z266">
        <v>1130.71</v>
      </c>
      <c r="AA266">
        <v>7468.85</v>
      </c>
      <c r="AB266">
        <v>8445077</v>
      </c>
      <c r="AC266" t="b">
        <v>1</v>
      </c>
      <c r="AD266" t="b">
        <v>1</v>
      </c>
      <c r="AE266" t="b">
        <v>0</v>
      </c>
      <c r="AF266" t="b">
        <v>0</v>
      </c>
      <c r="AG266" t="s">
        <v>58</v>
      </c>
      <c r="AH266">
        <v>20</v>
      </c>
      <c r="AI266" t="s">
        <v>59</v>
      </c>
      <c r="AJ266" t="s">
        <v>71</v>
      </c>
      <c r="AL266" t="s">
        <v>72</v>
      </c>
      <c r="AM266" t="s">
        <v>62</v>
      </c>
      <c r="AN266" t="s">
        <v>63</v>
      </c>
      <c r="AO266" t="s">
        <v>1288</v>
      </c>
      <c r="AP266" t="s">
        <v>1428</v>
      </c>
    </row>
    <row r="267" spans="1:42" x14ac:dyDescent="0.45">
      <c r="A267" t="s">
        <v>1278</v>
      </c>
      <c r="B267" t="s">
        <v>1279</v>
      </c>
      <c r="C267" t="s">
        <v>1280</v>
      </c>
      <c r="D267">
        <v>2023</v>
      </c>
      <c r="E267" t="s">
        <v>45</v>
      </c>
      <c r="F267" t="s">
        <v>46</v>
      </c>
      <c r="G267">
        <v>4</v>
      </c>
      <c r="J267" t="s">
        <v>1432</v>
      </c>
      <c r="K267" t="s">
        <v>1433</v>
      </c>
      <c r="L267" t="s">
        <v>1434</v>
      </c>
      <c r="M267" t="s">
        <v>1435</v>
      </c>
      <c r="N267" t="s">
        <v>51</v>
      </c>
      <c r="O267" t="s">
        <v>52</v>
      </c>
      <c r="P267" t="s">
        <v>53</v>
      </c>
      <c r="Q267" t="s">
        <v>1285</v>
      </c>
      <c r="S267">
        <v>16</v>
      </c>
      <c r="T267" t="s">
        <v>1436</v>
      </c>
      <c r="U267">
        <v>810</v>
      </c>
      <c r="V267">
        <v>6882</v>
      </c>
      <c r="W267">
        <v>0.1177</v>
      </c>
      <c r="X267" t="s">
        <v>56</v>
      </c>
      <c r="Y267" t="s">
        <v>1287</v>
      </c>
      <c r="Z267">
        <v>1151.6199999999999</v>
      </c>
      <c r="AA267">
        <v>9434.2099999999991</v>
      </c>
      <c r="AB267">
        <v>10864661</v>
      </c>
      <c r="AC267" t="b">
        <v>1</v>
      </c>
      <c r="AD267" t="b">
        <v>1</v>
      </c>
      <c r="AE267" t="b">
        <v>0</v>
      </c>
      <c r="AF267" t="b">
        <v>0</v>
      </c>
      <c r="AG267" t="s">
        <v>58</v>
      </c>
      <c r="AH267">
        <v>18</v>
      </c>
      <c r="AI267" t="s">
        <v>59</v>
      </c>
      <c r="AJ267" t="s">
        <v>71</v>
      </c>
      <c r="AL267" t="s">
        <v>1437</v>
      </c>
      <c r="AM267" t="s">
        <v>62</v>
      </c>
      <c r="AN267" t="s">
        <v>63</v>
      </c>
      <c r="AO267" t="s">
        <v>1288</v>
      </c>
      <c r="AP267" t="s">
        <v>1433</v>
      </c>
    </row>
    <row r="268" spans="1:42" x14ac:dyDescent="0.45">
      <c r="A268" t="s">
        <v>1278</v>
      </c>
      <c r="B268" t="s">
        <v>1279</v>
      </c>
      <c r="C268" t="s">
        <v>1280</v>
      </c>
      <c r="D268">
        <v>2023</v>
      </c>
      <c r="E268" t="s">
        <v>45</v>
      </c>
      <c r="F268" t="s">
        <v>46</v>
      </c>
      <c r="J268" t="s">
        <v>1438</v>
      </c>
      <c r="K268" t="s">
        <v>1439</v>
      </c>
      <c r="L268" t="s">
        <v>1440</v>
      </c>
      <c r="M268" t="s">
        <v>1441</v>
      </c>
      <c r="N268" t="s">
        <v>51</v>
      </c>
      <c r="O268" t="s">
        <v>52</v>
      </c>
      <c r="P268" t="s">
        <v>53</v>
      </c>
      <c r="Q268" t="s">
        <v>1285</v>
      </c>
      <c r="S268">
        <v>30</v>
      </c>
      <c r="T268" t="s">
        <v>1442</v>
      </c>
      <c r="U268">
        <v>605</v>
      </c>
      <c r="V268">
        <v>6882</v>
      </c>
      <c r="W268">
        <v>8.7900000000000006E-2</v>
      </c>
      <c r="X268" t="s">
        <v>56</v>
      </c>
      <c r="Y268" t="s">
        <v>1287</v>
      </c>
      <c r="Z268">
        <v>1088.6199999999999</v>
      </c>
      <c r="AA268">
        <v>4362.1499999999996</v>
      </c>
      <c r="AB268">
        <v>4748742</v>
      </c>
      <c r="AC268" t="b">
        <v>0</v>
      </c>
      <c r="AD268" t="b">
        <v>0</v>
      </c>
      <c r="AE268" t="b">
        <v>0</v>
      </c>
      <c r="AF268" t="b">
        <v>0</v>
      </c>
      <c r="AG268" t="s">
        <v>58</v>
      </c>
      <c r="AH268">
        <v>14</v>
      </c>
      <c r="AI268" t="s">
        <v>169</v>
      </c>
      <c r="AJ268" t="s">
        <v>60</v>
      </c>
      <c r="AL268" t="s">
        <v>170</v>
      </c>
      <c r="AM268" t="s">
        <v>62</v>
      </c>
      <c r="AN268" t="s">
        <v>63</v>
      </c>
      <c r="AO268" t="s">
        <v>1288</v>
      </c>
      <c r="AP268" t="s">
        <v>1439</v>
      </c>
    </row>
    <row r="269" spans="1:42" x14ac:dyDescent="0.45">
      <c r="A269" t="s">
        <v>1278</v>
      </c>
      <c r="B269" t="s">
        <v>1279</v>
      </c>
      <c r="C269" t="s">
        <v>1280</v>
      </c>
      <c r="D269">
        <v>2023</v>
      </c>
      <c r="E269" t="s">
        <v>45</v>
      </c>
      <c r="F269" t="s">
        <v>46</v>
      </c>
      <c r="G269">
        <v>6</v>
      </c>
      <c r="J269" t="s">
        <v>1443</v>
      </c>
      <c r="K269" t="s">
        <v>1444</v>
      </c>
      <c r="L269" t="s">
        <v>1445</v>
      </c>
      <c r="M269" t="s">
        <v>1446</v>
      </c>
      <c r="N269" t="s">
        <v>51</v>
      </c>
      <c r="O269" t="s">
        <v>52</v>
      </c>
      <c r="P269" t="s">
        <v>53</v>
      </c>
      <c r="Q269" t="s">
        <v>1285</v>
      </c>
      <c r="S269">
        <v>10</v>
      </c>
      <c r="T269" t="s">
        <v>1447</v>
      </c>
      <c r="U269">
        <v>5684</v>
      </c>
      <c r="V269">
        <v>6882</v>
      </c>
      <c r="W269">
        <v>0.82589999999999997</v>
      </c>
      <c r="X269" t="s">
        <v>70</v>
      </c>
      <c r="Y269" t="s">
        <v>1287</v>
      </c>
      <c r="Z269">
        <v>1137.71</v>
      </c>
      <c r="AA269">
        <v>6373.13</v>
      </c>
      <c r="AB269">
        <v>7250757</v>
      </c>
      <c r="AC269" t="b">
        <v>1</v>
      </c>
      <c r="AD269" t="b">
        <v>1</v>
      </c>
      <c r="AE269" t="b">
        <v>0</v>
      </c>
      <c r="AF269" t="b">
        <v>0</v>
      </c>
      <c r="AG269" t="s">
        <v>58</v>
      </c>
      <c r="AH269">
        <v>20</v>
      </c>
      <c r="AI269" t="s">
        <v>59</v>
      </c>
      <c r="AJ269" t="s">
        <v>71</v>
      </c>
      <c r="AL269" t="s">
        <v>72</v>
      </c>
      <c r="AM269" t="s">
        <v>62</v>
      </c>
      <c r="AN269" t="s">
        <v>63</v>
      </c>
      <c r="AO269" t="s">
        <v>1288</v>
      </c>
      <c r="AP269" t="s">
        <v>1444</v>
      </c>
    </row>
    <row r="270" spans="1:42" x14ac:dyDescent="0.45">
      <c r="A270" t="s">
        <v>1448</v>
      </c>
      <c r="B270" t="s">
        <v>1449</v>
      </c>
      <c r="C270" t="s">
        <v>1450</v>
      </c>
      <c r="D270">
        <v>2023</v>
      </c>
      <c r="E270" t="s">
        <v>45</v>
      </c>
      <c r="F270" t="s">
        <v>46</v>
      </c>
      <c r="G270">
        <v>8</v>
      </c>
      <c r="J270" t="s">
        <v>1451</v>
      </c>
      <c r="K270" t="s">
        <v>1452</v>
      </c>
      <c r="L270" t="s">
        <v>1453</v>
      </c>
      <c r="M270" t="s">
        <v>1454</v>
      </c>
      <c r="N270" t="s">
        <v>89</v>
      </c>
      <c r="O270" t="s">
        <v>90</v>
      </c>
      <c r="P270" t="s">
        <v>91</v>
      </c>
      <c r="Q270" t="s">
        <v>1455</v>
      </c>
      <c r="S270">
        <v>9</v>
      </c>
      <c r="T270" t="s">
        <v>1456</v>
      </c>
      <c r="U270">
        <v>7373</v>
      </c>
      <c r="V270">
        <v>6948</v>
      </c>
      <c r="W270">
        <v>1.0611999999999999</v>
      </c>
      <c r="X270" t="s">
        <v>70</v>
      </c>
      <c r="Y270" t="s">
        <v>1457</v>
      </c>
      <c r="Z270">
        <v>1047.71</v>
      </c>
      <c r="AA270">
        <v>2020.73</v>
      </c>
      <c r="AB270">
        <v>2117137</v>
      </c>
      <c r="AC270" t="b">
        <v>1</v>
      </c>
      <c r="AD270" t="b">
        <v>1</v>
      </c>
      <c r="AE270" t="b">
        <v>0</v>
      </c>
      <c r="AF270" t="b">
        <v>0</v>
      </c>
      <c r="AG270" t="s">
        <v>58</v>
      </c>
      <c r="AH270">
        <v>20</v>
      </c>
      <c r="AI270" t="s">
        <v>59</v>
      </c>
      <c r="AJ270" t="s">
        <v>71</v>
      </c>
      <c r="AL270" t="s">
        <v>72</v>
      </c>
      <c r="AM270" t="s">
        <v>62</v>
      </c>
      <c r="AN270" t="s">
        <v>63</v>
      </c>
      <c r="AO270" t="s">
        <v>1458</v>
      </c>
      <c r="AP270" t="s">
        <v>1452</v>
      </c>
    </row>
    <row r="271" spans="1:42" x14ac:dyDescent="0.45">
      <c r="A271" t="s">
        <v>1448</v>
      </c>
      <c r="B271" t="s">
        <v>1449</v>
      </c>
      <c r="C271" t="s">
        <v>1450</v>
      </c>
      <c r="D271">
        <v>2023</v>
      </c>
      <c r="E271" t="s">
        <v>45</v>
      </c>
      <c r="F271" t="s">
        <v>46</v>
      </c>
      <c r="G271">
        <v>4</v>
      </c>
      <c r="J271" t="s">
        <v>1459</v>
      </c>
      <c r="K271" t="s">
        <v>1460</v>
      </c>
      <c r="L271" t="s">
        <v>1461</v>
      </c>
      <c r="M271" t="s">
        <v>1462</v>
      </c>
      <c r="N271" t="s">
        <v>51</v>
      </c>
      <c r="O271" t="s">
        <v>52</v>
      </c>
      <c r="P271" t="s">
        <v>53</v>
      </c>
      <c r="Q271" t="s">
        <v>1455</v>
      </c>
      <c r="S271">
        <v>16</v>
      </c>
      <c r="T271" t="s">
        <v>1463</v>
      </c>
      <c r="U271">
        <v>6854</v>
      </c>
      <c r="V271">
        <v>6948</v>
      </c>
      <c r="W271">
        <v>0.98650000000000004</v>
      </c>
      <c r="X271" t="s">
        <v>70</v>
      </c>
      <c r="Y271" t="s">
        <v>1457</v>
      </c>
      <c r="Z271">
        <v>1082.71</v>
      </c>
      <c r="AA271">
        <v>3160.2</v>
      </c>
      <c r="AB271">
        <v>3421582</v>
      </c>
      <c r="AC271" t="b">
        <v>1</v>
      </c>
      <c r="AD271" t="b">
        <v>1</v>
      </c>
      <c r="AE271" t="b">
        <v>0</v>
      </c>
      <c r="AF271" t="b">
        <v>0</v>
      </c>
      <c r="AG271" t="s">
        <v>58</v>
      </c>
      <c r="AH271">
        <v>20</v>
      </c>
      <c r="AI271" t="s">
        <v>59</v>
      </c>
      <c r="AJ271" t="s">
        <v>71</v>
      </c>
      <c r="AL271" t="s">
        <v>72</v>
      </c>
      <c r="AM271" t="s">
        <v>62</v>
      </c>
      <c r="AN271" t="s">
        <v>63</v>
      </c>
      <c r="AO271" t="s">
        <v>1458</v>
      </c>
      <c r="AP271" t="s">
        <v>1460</v>
      </c>
    </row>
    <row r="272" spans="1:42" x14ac:dyDescent="0.45">
      <c r="A272" t="s">
        <v>1448</v>
      </c>
      <c r="B272" t="s">
        <v>1449</v>
      </c>
      <c r="C272" t="s">
        <v>1450</v>
      </c>
      <c r="D272">
        <v>2023</v>
      </c>
      <c r="E272" t="s">
        <v>45</v>
      </c>
      <c r="F272" t="s">
        <v>46</v>
      </c>
      <c r="G272">
        <v>3</v>
      </c>
      <c r="J272" t="s">
        <v>1464</v>
      </c>
      <c r="K272" t="s">
        <v>1465</v>
      </c>
      <c r="L272" t="s">
        <v>1466</v>
      </c>
      <c r="M272" t="s">
        <v>1467</v>
      </c>
      <c r="N272" t="s">
        <v>51</v>
      </c>
      <c r="O272" t="s">
        <v>52</v>
      </c>
      <c r="P272" t="s">
        <v>53</v>
      </c>
      <c r="Q272" t="s">
        <v>1455</v>
      </c>
      <c r="S272">
        <v>17</v>
      </c>
      <c r="T272" t="s">
        <v>1468</v>
      </c>
      <c r="U272">
        <v>1421</v>
      </c>
      <c r="V272">
        <v>6948</v>
      </c>
      <c r="W272">
        <v>0.20449999999999999</v>
      </c>
      <c r="X272" t="s">
        <v>56</v>
      </c>
      <c r="Y272" t="s">
        <v>1457</v>
      </c>
      <c r="Z272">
        <v>1084.71</v>
      </c>
      <c r="AA272">
        <v>1473.96</v>
      </c>
      <c r="AB272">
        <v>1598821</v>
      </c>
      <c r="AC272" t="b">
        <v>1</v>
      </c>
      <c r="AD272" t="b">
        <v>0</v>
      </c>
      <c r="AE272" t="b">
        <v>0</v>
      </c>
      <c r="AF272" t="b">
        <v>0</v>
      </c>
      <c r="AG272" t="s">
        <v>58</v>
      </c>
      <c r="AH272">
        <v>18</v>
      </c>
      <c r="AI272" t="s">
        <v>59</v>
      </c>
      <c r="AJ272" t="s">
        <v>60</v>
      </c>
      <c r="AK272" t="s">
        <v>252</v>
      </c>
      <c r="AL272" t="s">
        <v>1299</v>
      </c>
      <c r="AM272" t="s">
        <v>62</v>
      </c>
      <c r="AN272" t="s">
        <v>63</v>
      </c>
      <c r="AO272" t="s">
        <v>1458</v>
      </c>
      <c r="AP272" t="s">
        <v>1465</v>
      </c>
    </row>
    <row r="273" spans="1:42" x14ac:dyDescent="0.45">
      <c r="A273" t="s">
        <v>1448</v>
      </c>
      <c r="B273" t="s">
        <v>1449</v>
      </c>
      <c r="C273" t="s">
        <v>1450</v>
      </c>
      <c r="D273">
        <v>2023</v>
      </c>
      <c r="E273" t="s">
        <v>45</v>
      </c>
      <c r="F273" t="s">
        <v>46</v>
      </c>
      <c r="G273">
        <v>5</v>
      </c>
      <c r="J273" t="s">
        <v>1469</v>
      </c>
      <c r="K273" t="s">
        <v>1470</v>
      </c>
      <c r="L273" t="s">
        <v>1471</v>
      </c>
      <c r="M273" t="s">
        <v>1472</v>
      </c>
      <c r="N273" t="s">
        <v>51</v>
      </c>
      <c r="O273" t="s">
        <v>52</v>
      </c>
      <c r="P273" t="s">
        <v>53</v>
      </c>
      <c r="Q273" t="s">
        <v>1455</v>
      </c>
      <c r="S273">
        <v>13</v>
      </c>
      <c r="T273" t="s">
        <v>1473</v>
      </c>
      <c r="U273">
        <v>1697</v>
      </c>
      <c r="V273">
        <v>6948</v>
      </c>
      <c r="W273">
        <v>0.2442</v>
      </c>
      <c r="X273" t="s">
        <v>56</v>
      </c>
      <c r="Y273" t="s">
        <v>1457</v>
      </c>
      <c r="Z273">
        <v>1070.71</v>
      </c>
      <c r="AA273">
        <v>3313.46</v>
      </c>
      <c r="AB273">
        <v>3547761</v>
      </c>
      <c r="AC273" t="b">
        <v>1</v>
      </c>
      <c r="AD273" t="b">
        <v>0</v>
      </c>
      <c r="AE273" t="b">
        <v>0</v>
      </c>
      <c r="AF273" t="b">
        <v>0</v>
      </c>
      <c r="AG273" t="s">
        <v>58</v>
      </c>
      <c r="AH273">
        <v>20</v>
      </c>
      <c r="AI273" t="s">
        <v>59</v>
      </c>
      <c r="AJ273" t="s">
        <v>60</v>
      </c>
      <c r="AK273" t="s">
        <v>252</v>
      </c>
      <c r="AL273" t="s">
        <v>1426</v>
      </c>
      <c r="AM273" t="s">
        <v>62</v>
      </c>
      <c r="AN273" t="s">
        <v>63</v>
      </c>
      <c r="AO273" t="s">
        <v>1458</v>
      </c>
      <c r="AP273" t="s">
        <v>1470</v>
      </c>
    </row>
    <row r="274" spans="1:42" x14ac:dyDescent="0.45">
      <c r="A274" t="s">
        <v>1448</v>
      </c>
      <c r="B274" t="s">
        <v>1449</v>
      </c>
      <c r="C274" t="s">
        <v>1450</v>
      </c>
      <c r="D274">
        <v>2023</v>
      </c>
      <c r="E274" t="s">
        <v>45</v>
      </c>
      <c r="F274" t="s">
        <v>46</v>
      </c>
      <c r="G274">
        <v>9</v>
      </c>
      <c r="J274" t="s">
        <v>1474</v>
      </c>
      <c r="K274" t="s">
        <v>1475</v>
      </c>
      <c r="L274" t="s">
        <v>1476</v>
      </c>
      <c r="M274" t="s">
        <v>1477</v>
      </c>
      <c r="N274" t="s">
        <v>51</v>
      </c>
      <c r="O274" t="s">
        <v>52</v>
      </c>
      <c r="P274" t="s">
        <v>53</v>
      </c>
      <c r="Q274" t="s">
        <v>1455</v>
      </c>
      <c r="S274">
        <v>8</v>
      </c>
      <c r="T274" t="s">
        <v>1478</v>
      </c>
      <c r="U274">
        <v>7042</v>
      </c>
      <c r="V274">
        <v>6948</v>
      </c>
      <c r="W274">
        <v>1.0135000000000001</v>
      </c>
      <c r="X274" t="s">
        <v>70</v>
      </c>
      <c r="Y274" t="s">
        <v>1457</v>
      </c>
      <c r="Z274">
        <v>1040.71</v>
      </c>
      <c r="AA274">
        <v>1871.93</v>
      </c>
      <c r="AB274">
        <v>1948142</v>
      </c>
      <c r="AC274" t="b">
        <v>1</v>
      </c>
      <c r="AD274" t="b">
        <v>1</v>
      </c>
      <c r="AE274" t="b">
        <v>0</v>
      </c>
      <c r="AF274" t="b">
        <v>0</v>
      </c>
      <c r="AG274" t="s">
        <v>58</v>
      </c>
      <c r="AH274">
        <v>20</v>
      </c>
      <c r="AI274" t="s">
        <v>59</v>
      </c>
      <c r="AJ274" t="s">
        <v>71</v>
      </c>
      <c r="AL274" t="s">
        <v>72</v>
      </c>
      <c r="AM274" t="s">
        <v>62</v>
      </c>
      <c r="AN274" t="s">
        <v>63</v>
      </c>
      <c r="AO274" t="s">
        <v>1458</v>
      </c>
      <c r="AP274" t="s">
        <v>1475</v>
      </c>
    </row>
    <row r="275" spans="1:42" x14ac:dyDescent="0.45">
      <c r="A275" t="s">
        <v>1448</v>
      </c>
      <c r="B275" t="s">
        <v>1449</v>
      </c>
      <c r="C275" t="s">
        <v>1450</v>
      </c>
      <c r="D275">
        <v>2023</v>
      </c>
      <c r="E275" t="s">
        <v>45</v>
      </c>
      <c r="F275" t="s">
        <v>46</v>
      </c>
      <c r="G275">
        <v>6</v>
      </c>
      <c r="J275" t="s">
        <v>1479</v>
      </c>
      <c r="K275" t="s">
        <v>1480</v>
      </c>
      <c r="L275" t="s">
        <v>1481</v>
      </c>
      <c r="M275" t="s">
        <v>1482</v>
      </c>
      <c r="N275" t="s">
        <v>51</v>
      </c>
      <c r="O275" t="s">
        <v>52</v>
      </c>
      <c r="P275" t="s">
        <v>53</v>
      </c>
      <c r="Q275" t="s">
        <v>1455</v>
      </c>
      <c r="S275">
        <v>12</v>
      </c>
      <c r="T275" t="s">
        <v>1483</v>
      </c>
      <c r="U275">
        <v>6773</v>
      </c>
      <c r="V275">
        <v>6948</v>
      </c>
      <c r="W275">
        <v>0.9748</v>
      </c>
      <c r="X275" t="s">
        <v>70</v>
      </c>
      <c r="Y275" t="s">
        <v>1457</v>
      </c>
      <c r="Z275">
        <v>1061.71</v>
      </c>
      <c r="AA275">
        <v>2625.04</v>
      </c>
      <c r="AB275">
        <v>2787029</v>
      </c>
      <c r="AC275" t="b">
        <v>1</v>
      </c>
      <c r="AD275" t="b">
        <v>1</v>
      </c>
      <c r="AE275" t="b">
        <v>0</v>
      </c>
      <c r="AF275" t="b">
        <v>0</v>
      </c>
      <c r="AG275" t="s">
        <v>58</v>
      </c>
      <c r="AH275">
        <v>20</v>
      </c>
      <c r="AI275" t="s">
        <v>59</v>
      </c>
      <c r="AJ275" t="s">
        <v>71</v>
      </c>
      <c r="AL275" t="s">
        <v>72</v>
      </c>
      <c r="AM275" t="s">
        <v>62</v>
      </c>
      <c r="AN275" t="s">
        <v>63</v>
      </c>
      <c r="AO275" t="s">
        <v>1458</v>
      </c>
      <c r="AP275" t="s">
        <v>1480</v>
      </c>
    </row>
    <row r="276" spans="1:42" x14ac:dyDescent="0.45">
      <c r="A276" t="s">
        <v>1448</v>
      </c>
      <c r="B276" t="s">
        <v>1449</v>
      </c>
      <c r="C276" t="s">
        <v>1450</v>
      </c>
      <c r="D276">
        <v>2023</v>
      </c>
      <c r="E276" t="s">
        <v>45</v>
      </c>
      <c r="F276" t="s">
        <v>46</v>
      </c>
      <c r="G276">
        <v>5</v>
      </c>
      <c r="J276" t="s">
        <v>1484</v>
      </c>
      <c r="K276" t="s">
        <v>1485</v>
      </c>
      <c r="L276" t="s">
        <v>1486</v>
      </c>
      <c r="M276" t="s">
        <v>1487</v>
      </c>
      <c r="N276" t="s">
        <v>51</v>
      </c>
      <c r="O276" t="s">
        <v>52</v>
      </c>
      <c r="P276" t="s">
        <v>53</v>
      </c>
      <c r="Q276" t="s">
        <v>1455</v>
      </c>
      <c r="S276">
        <v>14</v>
      </c>
      <c r="T276" t="s">
        <v>1488</v>
      </c>
      <c r="U276">
        <v>6357</v>
      </c>
      <c r="V276">
        <v>6948</v>
      </c>
      <c r="W276">
        <v>0.91490000000000005</v>
      </c>
      <c r="X276" t="s">
        <v>70</v>
      </c>
      <c r="Y276" t="s">
        <v>1457</v>
      </c>
      <c r="Z276">
        <v>1075.71</v>
      </c>
      <c r="AA276">
        <v>3519.13</v>
      </c>
      <c r="AB276">
        <v>3785568</v>
      </c>
      <c r="AC276" t="b">
        <v>1</v>
      </c>
      <c r="AD276" t="b">
        <v>1</v>
      </c>
      <c r="AE276" t="b">
        <v>0</v>
      </c>
      <c r="AF276" t="b">
        <v>0</v>
      </c>
      <c r="AG276" t="s">
        <v>58</v>
      </c>
      <c r="AH276">
        <v>20</v>
      </c>
      <c r="AI276" t="s">
        <v>59</v>
      </c>
      <c r="AJ276" t="s">
        <v>71</v>
      </c>
      <c r="AL276" t="s">
        <v>72</v>
      </c>
      <c r="AM276" t="s">
        <v>62</v>
      </c>
      <c r="AN276" t="s">
        <v>63</v>
      </c>
      <c r="AO276" t="s">
        <v>1458</v>
      </c>
      <c r="AP276" t="s">
        <v>1485</v>
      </c>
    </row>
    <row r="277" spans="1:42" x14ac:dyDescent="0.45">
      <c r="A277" t="s">
        <v>1448</v>
      </c>
      <c r="B277" t="s">
        <v>1449</v>
      </c>
      <c r="C277" t="s">
        <v>1450</v>
      </c>
      <c r="D277">
        <v>2023</v>
      </c>
      <c r="E277" t="s">
        <v>45</v>
      </c>
      <c r="F277" t="s">
        <v>46</v>
      </c>
      <c r="G277">
        <v>2</v>
      </c>
      <c r="J277" t="s">
        <v>1489</v>
      </c>
      <c r="K277" t="s">
        <v>1490</v>
      </c>
      <c r="L277" t="s">
        <v>1491</v>
      </c>
      <c r="M277" t="s">
        <v>1492</v>
      </c>
      <c r="N277" t="s">
        <v>201</v>
      </c>
      <c r="O277" t="s">
        <v>202</v>
      </c>
      <c r="P277" t="s">
        <v>203</v>
      </c>
      <c r="Q277" t="s">
        <v>1455</v>
      </c>
      <c r="S277">
        <v>19</v>
      </c>
      <c r="T277" t="s">
        <v>1493</v>
      </c>
      <c r="U277">
        <v>1619</v>
      </c>
      <c r="V277">
        <v>6948</v>
      </c>
      <c r="W277">
        <v>0.23300000000000001</v>
      </c>
      <c r="X277" t="s">
        <v>56</v>
      </c>
      <c r="Y277" t="s">
        <v>1457</v>
      </c>
      <c r="Z277">
        <v>1091.71</v>
      </c>
      <c r="AA277">
        <v>1992.51</v>
      </c>
      <c r="AB277">
        <v>2175242</v>
      </c>
      <c r="AC277" t="b">
        <v>1</v>
      </c>
      <c r="AD277" t="b">
        <v>0</v>
      </c>
      <c r="AE277" t="b">
        <v>0</v>
      </c>
      <c r="AF277" t="b">
        <v>0</v>
      </c>
      <c r="AG277" t="s">
        <v>58</v>
      </c>
      <c r="AH277">
        <v>16</v>
      </c>
      <c r="AI277" t="s">
        <v>59</v>
      </c>
      <c r="AJ277" t="s">
        <v>60</v>
      </c>
      <c r="AK277" t="s">
        <v>252</v>
      </c>
      <c r="AL277" t="s">
        <v>1494</v>
      </c>
      <c r="AM277" t="s">
        <v>62</v>
      </c>
      <c r="AN277" t="s">
        <v>63</v>
      </c>
      <c r="AO277" t="s">
        <v>1458</v>
      </c>
      <c r="AP277" t="s">
        <v>1490</v>
      </c>
    </row>
    <row r="278" spans="1:42" x14ac:dyDescent="0.45">
      <c r="A278" t="s">
        <v>1448</v>
      </c>
      <c r="B278" t="s">
        <v>1449</v>
      </c>
      <c r="C278" t="s">
        <v>1450</v>
      </c>
      <c r="D278">
        <v>2023</v>
      </c>
      <c r="E278" t="s">
        <v>45</v>
      </c>
      <c r="F278" t="s">
        <v>46</v>
      </c>
      <c r="G278">
        <v>7</v>
      </c>
      <c r="J278" t="s">
        <v>1495</v>
      </c>
      <c r="K278" t="s">
        <v>1496</v>
      </c>
      <c r="L278" t="s">
        <v>1497</v>
      </c>
      <c r="M278" t="s">
        <v>1498</v>
      </c>
      <c r="N278" t="s">
        <v>89</v>
      </c>
      <c r="O278" t="s">
        <v>90</v>
      </c>
      <c r="P278" t="s">
        <v>91</v>
      </c>
      <c r="Q278" t="s">
        <v>1455</v>
      </c>
      <c r="S278">
        <v>10</v>
      </c>
      <c r="T278" t="s">
        <v>1499</v>
      </c>
      <c r="U278">
        <v>7503</v>
      </c>
      <c r="V278">
        <v>6948</v>
      </c>
      <c r="W278">
        <v>1.0799000000000001</v>
      </c>
      <c r="X278" t="s">
        <v>70</v>
      </c>
      <c r="Y278" t="s">
        <v>1457</v>
      </c>
      <c r="Z278">
        <v>1054.71</v>
      </c>
      <c r="AA278">
        <v>2276.8000000000002</v>
      </c>
      <c r="AB278">
        <v>2401368</v>
      </c>
      <c r="AC278" t="b">
        <v>1</v>
      </c>
      <c r="AD278" t="b">
        <v>1</v>
      </c>
      <c r="AE278" t="b">
        <v>0</v>
      </c>
      <c r="AF278" t="b">
        <v>0</v>
      </c>
      <c r="AG278" t="s">
        <v>58</v>
      </c>
      <c r="AH278">
        <v>20</v>
      </c>
      <c r="AI278" t="s">
        <v>59</v>
      </c>
      <c r="AJ278" t="s">
        <v>71</v>
      </c>
      <c r="AL278" t="s">
        <v>72</v>
      </c>
      <c r="AM278" t="s">
        <v>62</v>
      </c>
      <c r="AN278" t="s">
        <v>63</v>
      </c>
      <c r="AO278" t="s">
        <v>1458</v>
      </c>
      <c r="AP278" t="s">
        <v>1496</v>
      </c>
    </row>
    <row r="279" spans="1:42" x14ac:dyDescent="0.45">
      <c r="A279" t="s">
        <v>1448</v>
      </c>
      <c r="B279" t="s">
        <v>1449</v>
      </c>
      <c r="C279" t="s">
        <v>1450</v>
      </c>
      <c r="D279">
        <v>2023</v>
      </c>
      <c r="E279" t="s">
        <v>45</v>
      </c>
      <c r="F279" t="s">
        <v>46</v>
      </c>
      <c r="G279">
        <v>6</v>
      </c>
      <c r="J279" t="s">
        <v>1500</v>
      </c>
      <c r="K279" t="s">
        <v>1501</v>
      </c>
      <c r="L279" t="s">
        <v>1502</v>
      </c>
      <c r="M279" t="s">
        <v>1503</v>
      </c>
      <c r="N279" t="s">
        <v>89</v>
      </c>
      <c r="O279" t="s">
        <v>90</v>
      </c>
      <c r="P279" t="s">
        <v>91</v>
      </c>
      <c r="Q279" t="s">
        <v>1455</v>
      </c>
      <c r="S279">
        <v>11</v>
      </c>
      <c r="T279" t="s">
        <v>1504</v>
      </c>
      <c r="U279">
        <v>1861</v>
      </c>
      <c r="V279">
        <v>6948</v>
      </c>
      <c r="W279">
        <v>0.26779999999999998</v>
      </c>
      <c r="X279" t="s">
        <v>56</v>
      </c>
      <c r="Y279" t="s">
        <v>1457</v>
      </c>
      <c r="Z279">
        <v>1056.71</v>
      </c>
      <c r="AA279">
        <v>1041.1400000000001</v>
      </c>
      <c r="AB279">
        <v>1100185</v>
      </c>
      <c r="AC279" t="b">
        <v>1</v>
      </c>
      <c r="AD279" t="b">
        <v>0</v>
      </c>
      <c r="AE279" t="b">
        <v>0</v>
      </c>
      <c r="AF279" t="b">
        <v>0</v>
      </c>
      <c r="AG279" t="s">
        <v>58</v>
      </c>
      <c r="AH279">
        <v>20</v>
      </c>
      <c r="AI279" t="s">
        <v>59</v>
      </c>
      <c r="AJ279" t="s">
        <v>60</v>
      </c>
      <c r="AK279" t="s">
        <v>252</v>
      </c>
      <c r="AL279" t="s">
        <v>1426</v>
      </c>
      <c r="AM279" t="s">
        <v>62</v>
      </c>
      <c r="AN279" t="s">
        <v>63</v>
      </c>
      <c r="AO279" t="s">
        <v>1458</v>
      </c>
      <c r="AP279" t="s">
        <v>1501</v>
      </c>
    </row>
    <row r="280" spans="1:42" x14ac:dyDescent="0.45">
      <c r="A280" t="s">
        <v>1448</v>
      </c>
      <c r="B280" t="s">
        <v>1449</v>
      </c>
      <c r="C280" t="s">
        <v>1450</v>
      </c>
      <c r="D280">
        <v>2023</v>
      </c>
      <c r="E280" t="s">
        <v>45</v>
      </c>
      <c r="F280" t="s">
        <v>46</v>
      </c>
      <c r="G280">
        <v>1</v>
      </c>
      <c r="J280" t="s">
        <v>1505</v>
      </c>
      <c r="K280" t="s">
        <v>1506</v>
      </c>
      <c r="L280" t="s">
        <v>1507</v>
      </c>
      <c r="M280" t="s">
        <v>1508</v>
      </c>
      <c r="N280" t="s">
        <v>51</v>
      </c>
      <c r="O280" t="s">
        <v>52</v>
      </c>
      <c r="P280" t="s">
        <v>53</v>
      </c>
      <c r="Q280" t="s">
        <v>1455</v>
      </c>
      <c r="S280">
        <v>21</v>
      </c>
      <c r="T280" t="s">
        <v>1509</v>
      </c>
      <c r="U280">
        <v>7841</v>
      </c>
      <c r="V280">
        <v>6948</v>
      </c>
      <c r="W280">
        <v>1.1285000000000001</v>
      </c>
      <c r="X280" t="s">
        <v>70</v>
      </c>
      <c r="Y280" t="s">
        <v>1457</v>
      </c>
      <c r="Z280">
        <v>1103.71</v>
      </c>
      <c r="AA280">
        <v>5749.78</v>
      </c>
      <c r="AB280">
        <v>6346099</v>
      </c>
      <c r="AC280" t="b">
        <v>1</v>
      </c>
      <c r="AD280" t="b">
        <v>1</v>
      </c>
      <c r="AE280" t="b">
        <v>0</v>
      </c>
      <c r="AF280" t="b">
        <v>0</v>
      </c>
      <c r="AG280" t="s">
        <v>58</v>
      </c>
      <c r="AH280">
        <v>20</v>
      </c>
      <c r="AI280" t="s">
        <v>59</v>
      </c>
      <c r="AJ280" t="s">
        <v>71</v>
      </c>
      <c r="AL280" t="s">
        <v>72</v>
      </c>
      <c r="AM280" t="s">
        <v>62</v>
      </c>
      <c r="AN280" t="s">
        <v>63</v>
      </c>
      <c r="AO280" t="s">
        <v>1458</v>
      </c>
      <c r="AP280" t="s">
        <v>1506</v>
      </c>
    </row>
    <row r="281" spans="1:42" x14ac:dyDescent="0.45">
      <c r="A281" t="s">
        <v>1448</v>
      </c>
      <c r="B281" t="s">
        <v>1449</v>
      </c>
      <c r="C281" t="s">
        <v>1450</v>
      </c>
      <c r="D281">
        <v>2023</v>
      </c>
      <c r="E281" t="s">
        <v>45</v>
      </c>
      <c r="F281" t="s">
        <v>46</v>
      </c>
      <c r="G281">
        <v>2</v>
      </c>
      <c r="J281" t="s">
        <v>1510</v>
      </c>
      <c r="K281" t="s">
        <v>1511</v>
      </c>
      <c r="L281" t="s">
        <v>1512</v>
      </c>
      <c r="M281" t="s">
        <v>1513</v>
      </c>
      <c r="N281" t="s">
        <v>89</v>
      </c>
      <c r="O281" t="s">
        <v>90</v>
      </c>
      <c r="P281" t="s">
        <v>91</v>
      </c>
      <c r="T281" t="s">
        <v>1514</v>
      </c>
      <c r="U281">
        <v>6600</v>
      </c>
      <c r="V281">
        <v>6948</v>
      </c>
      <c r="W281">
        <v>0.94989999999999997</v>
      </c>
      <c r="X281" t="s">
        <v>70</v>
      </c>
      <c r="Y281" t="s">
        <v>1457</v>
      </c>
      <c r="Z281">
        <v>1096.71</v>
      </c>
      <c r="AA281">
        <v>4513.58</v>
      </c>
      <c r="AB281">
        <v>4950093</v>
      </c>
      <c r="AC281" t="b">
        <v>1</v>
      </c>
      <c r="AD281" t="b">
        <v>1</v>
      </c>
      <c r="AE281" t="b">
        <v>0</v>
      </c>
      <c r="AF281" t="b">
        <v>0</v>
      </c>
      <c r="AG281" t="s">
        <v>58</v>
      </c>
      <c r="AH281">
        <v>20</v>
      </c>
      <c r="AI281" t="s">
        <v>59</v>
      </c>
      <c r="AJ281" t="s">
        <v>71</v>
      </c>
      <c r="AL281" t="s">
        <v>72</v>
      </c>
      <c r="AM281" t="s">
        <v>62</v>
      </c>
      <c r="AN281" t="s">
        <v>63</v>
      </c>
      <c r="AO281" t="s">
        <v>1458</v>
      </c>
      <c r="AP281" t="s">
        <v>1511</v>
      </c>
    </row>
    <row r="282" spans="1:42" x14ac:dyDescent="0.45">
      <c r="A282" t="s">
        <v>1448</v>
      </c>
      <c r="B282" t="s">
        <v>1449</v>
      </c>
      <c r="C282" t="s">
        <v>1450</v>
      </c>
      <c r="D282">
        <v>2023</v>
      </c>
      <c r="E282" t="s">
        <v>45</v>
      </c>
      <c r="F282" t="s">
        <v>46</v>
      </c>
      <c r="J282" t="s">
        <v>1515</v>
      </c>
      <c r="K282" t="s">
        <v>1516</v>
      </c>
      <c r="L282" t="s">
        <v>1517</v>
      </c>
      <c r="M282" t="s">
        <v>1518</v>
      </c>
      <c r="N282" t="s">
        <v>51</v>
      </c>
      <c r="O282" t="s">
        <v>52</v>
      </c>
      <c r="P282" t="s">
        <v>53</v>
      </c>
      <c r="Q282" t="s">
        <v>1455</v>
      </c>
      <c r="S282">
        <v>26</v>
      </c>
      <c r="T282" t="s">
        <v>1519</v>
      </c>
      <c r="U282">
        <v>496</v>
      </c>
      <c r="V282">
        <v>6948</v>
      </c>
      <c r="W282">
        <v>7.1400000000000005E-2</v>
      </c>
      <c r="X282" t="s">
        <v>56</v>
      </c>
      <c r="Y282" t="s">
        <v>1457</v>
      </c>
      <c r="Z282">
        <v>1095.6600000000001</v>
      </c>
      <c r="AA282">
        <v>456.57</v>
      </c>
      <c r="AB282">
        <v>500245</v>
      </c>
      <c r="AC282" t="b">
        <v>0</v>
      </c>
      <c r="AD282" t="b">
        <v>0</v>
      </c>
      <c r="AE282" t="b">
        <v>0</v>
      </c>
      <c r="AF282" t="b">
        <v>0</v>
      </c>
      <c r="AG282" t="s">
        <v>58</v>
      </c>
      <c r="AH282">
        <v>14</v>
      </c>
      <c r="AI282" t="s">
        <v>169</v>
      </c>
      <c r="AJ282" t="s">
        <v>60</v>
      </c>
      <c r="AL282" t="s">
        <v>170</v>
      </c>
      <c r="AM282" t="s">
        <v>62</v>
      </c>
      <c r="AN282" t="s">
        <v>63</v>
      </c>
      <c r="AO282" t="s">
        <v>1458</v>
      </c>
      <c r="AP282" t="s">
        <v>1516</v>
      </c>
    </row>
    <row r="283" spans="1:42" x14ac:dyDescent="0.45">
      <c r="A283" t="s">
        <v>1448</v>
      </c>
      <c r="B283" t="s">
        <v>1449</v>
      </c>
      <c r="C283" t="s">
        <v>1450</v>
      </c>
      <c r="D283">
        <v>2023</v>
      </c>
      <c r="E283" t="s">
        <v>45</v>
      </c>
      <c r="F283" t="s">
        <v>46</v>
      </c>
      <c r="J283" t="s">
        <v>1520</v>
      </c>
      <c r="K283" t="s">
        <v>1521</v>
      </c>
      <c r="L283" t="s">
        <v>1522</v>
      </c>
      <c r="M283" t="s">
        <v>1523</v>
      </c>
      <c r="N283" t="s">
        <v>51</v>
      </c>
      <c r="O283" t="s">
        <v>52</v>
      </c>
      <c r="P283" t="s">
        <v>53</v>
      </c>
      <c r="Q283" t="s">
        <v>1455</v>
      </c>
      <c r="S283">
        <v>24</v>
      </c>
      <c r="T283" t="s">
        <v>1524</v>
      </c>
      <c r="U283">
        <v>527</v>
      </c>
      <c r="V283">
        <v>6948</v>
      </c>
      <c r="W283">
        <v>7.5800000000000006E-2</v>
      </c>
      <c r="X283" t="s">
        <v>56</v>
      </c>
      <c r="Y283" t="s">
        <v>1457</v>
      </c>
      <c r="Z283">
        <v>1097.75</v>
      </c>
      <c r="AA283">
        <v>81.239999999999995</v>
      </c>
      <c r="AB283">
        <v>89182</v>
      </c>
      <c r="AC283" t="b">
        <v>0</v>
      </c>
      <c r="AD283" t="b">
        <v>0</v>
      </c>
      <c r="AE283" t="b">
        <v>0</v>
      </c>
      <c r="AF283" t="b">
        <v>0</v>
      </c>
      <c r="AG283" t="s">
        <v>58</v>
      </c>
      <c r="AH283">
        <v>14</v>
      </c>
      <c r="AI283" t="s">
        <v>169</v>
      </c>
      <c r="AJ283" t="s">
        <v>60</v>
      </c>
      <c r="AL283" t="s">
        <v>170</v>
      </c>
      <c r="AM283" t="s">
        <v>62</v>
      </c>
      <c r="AN283" t="s">
        <v>63</v>
      </c>
      <c r="AO283" t="s">
        <v>1458</v>
      </c>
      <c r="AP283" t="s">
        <v>1521</v>
      </c>
    </row>
    <row r="284" spans="1:42" x14ac:dyDescent="0.45">
      <c r="A284" t="s">
        <v>1448</v>
      </c>
      <c r="B284" t="s">
        <v>1449</v>
      </c>
      <c r="C284" t="s">
        <v>1450</v>
      </c>
      <c r="D284">
        <v>2023</v>
      </c>
      <c r="E284" t="s">
        <v>45</v>
      </c>
      <c r="F284" t="s">
        <v>46</v>
      </c>
      <c r="G284">
        <v>16</v>
      </c>
      <c r="J284" t="s">
        <v>1525</v>
      </c>
      <c r="K284" t="s">
        <v>1526</v>
      </c>
      <c r="L284" t="s">
        <v>1527</v>
      </c>
      <c r="M284" t="s">
        <v>1528</v>
      </c>
      <c r="N284" t="s">
        <v>51</v>
      </c>
      <c r="O284" t="s">
        <v>52</v>
      </c>
      <c r="P284" t="s">
        <v>53</v>
      </c>
      <c r="Q284" t="s">
        <v>1455</v>
      </c>
      <c r="S284">
        <v>0</v>
      </c>
      <c r="T284" t="s">
        <v>1529</v>
      </c>
      <c r="U284">
        <v>9638</v>
      </c>
      <c r="V284">
        <v>6948</v>
      </c>
      <c r="W284">
        <v>1.3872</v>
      </c>
      <c r="X284" t="s">
        <v>70</v>
      </c>
      <c r="Y284" t="s">
        <v>1457</v>
      </c>
      <c r="Z284">
        <v>991.71</v>
      </c>
      <c r="AA284">
        <v>6833.29</v>
      </c>
      <c r="AB284">
        <v>6776645</v>
      </c>
      <c r="AC284" t="b">
        <v>1</v>
      </c>
      <c r="AD284" t="b">
        <v>1</v>
      </c>
      <c r="AE284" t="b">
        <v>0</v>
      </c>
      <c r="AF284" t="b">
        <v>0</v>
      </c>
      <c r="AG284" t="s">
        <v>58</v>
      </c>
      <c r="AH284">
        <v>20</v>
      </c>
      <c r="AI284" t="s">
        <v>59</v>
      </c>
      <c r="AJ284" t="s">
        <v>71</v>
      </c>
      <c r="AL284" t="s">
        <v>72</v>
      </c>
      <c r="AM284" t="s">
        <v>62</v>
      </c>
      <c r="AN284" t="s">
        <v>63</v>
      </c>
      <c r="AO284" t="s">
        <v>1458</v>
      </c>
      <c r="AP284" t="s">
        <v>1526</v>
      </c>
    </row>
    <row r="285" spans="1:42" x14ac:dyDescent="0.45">
      <c r="A285" t="s">
        <v>1448</v>
      </c>
      <c r="B285" t="s">
        <v>1449</v>
      </c>
      <c r="C285" t="s">
        <v>1450</v>
      </c>
      <c r="D285">
        <v>2023</v>
      </c>
      <c r="E285" t="s">
        <v>45</v>
      </c>
      <c r="F285" t="s">
        <v>46</v>
      </c>
      <c r="J285" t="s">
        <v>1530</v>
      </c>
      <c r="K285" t="s">
        <v>1531</v>
      </c>
      <c r="L285" t="s">
        <v>1532</v>
      </c>
      <c r="M285" t="s">
        <v>1533</v>
      </c>
      <c r="N285" t="s">
        <v>51</v>
      </c>
      <c r="O285" t="s">
        <v>52</v>
      </c>
      <c r="P285" t="s">
        <v>53</v>
      </c>
      <c r="Q285" t="s">
        <v>1455</v>
      </c>
      <c r="S285">
        <v>25</v>
      </c>
      <c r="T285" t="s">
        <v>1534</v>
      </c>
      <c r="U285">
        <v>533</v>
      </c>
      <c r="V285">
        <v>6948</v>
      </c>
      <c r="W285">
        <v>7.6700000000000004E-2</v>
      </c>
      <c r="X285" t="s">
        <v>56</v>
      </c>
      <c r="Y285" t="s">
        <v>1457</v>
      </c>
      <c r="Z285">
        <v>1092.7</v>
      </c>
      <c r="AA285">
        <v>130.34</v>
      </c>
      <c r="AB285">
        <v>142425</v>
      </c>
      <c r="AC285" t="b">
        <v>0</v>
      </c>
      <c r="AD285" t="b">
        <v>0</v>
      </c>
      <c r="AE285" t="b">
        <v>0</v>
      </c>
      <c r="AF285" t="b">
        <v>0</v>
      </c>
      <c r="AG285" t="s">
        <v>58</v>
      </c>
      <c r="AH285">
        <v>-15</v>
      </c>
      <c r="AI285" t="s">
        <v>59</v>
      </c>
      <c r="AJ285" t="s">
        <v>60</v>
      </c>
      <c r="AK285" t="s">
        <v>140</v>
      </c>
      <c r="AL285" t="s">
        <v>141</v>
      </c>
      <c r="AM285" t="s">
        <v>62</v>
      </c>
      <c r="AN285" t="s">
        <v>63</v>
      </c>
      <c r="AO285" t="s">
        <v>1458</v>
      </c>
      <c r="AP285" t="s">
        <v>1531</v>
      </c>
    </row>
    <row r="286" spans="1:42" x14ac:dyDescent="0.45">
      <c r="A286" t="s">
        <v>1448</v>
      </c>
      <c r="B286" t="s">
        <v>1449</v>
      </c>
      <c r="C286" t="s">
        <v>1450</v>
      </c>
      <c r="D286">
        <v>2023</v>
      </c>
      <c r="E286" t="s">
        <v>45</v>
      </c>
      <c r="F286" t="s">
        <v>46</v>
      </c>
      <c r="J286" t="s">
        <v>1535</v>
      </c>
      <c r="K286" t="s">
        <v>1536</v>
      </c>
      <c r="L286" t="s">
        <v>1537</v>
      </c>
      <c r="M286" t="s">
        <v>1538</v>
      </c>
      <c r="N286" t="s">
        <v>51</v>
      </c>
      <c r="O286" t="s">
        <v>52</v>
      </c>
      <c r="P286" t="s">
        <v>53</v>
      </c>
      <c r="Q286" t="s">
        <v>1455</v>
      </c>
      <c r="S286">
        <v>22</v>
      </c>
      <c r="T286" t="s">
        <v>1539</v>
      </c>
      <c r="U286">
        <v>711</v>
      </c>
      <c r="V286">
        <v>6948</v>
      </c>
      <c r="W286">
        <v>0.1023</v>
      </c>
      <c r="X286" t="s">
        <v>56</v>
      </c>
      <c r="Y286" t="s">
        <v>1457</v>
      </c>
      <c r="Z286">
        <v>1106.69</v>
      </c>
      <c r="AA286">
        <v>155.46</v>
      </c>
      <c r="AB286">
        <v>172046</v>
      </c>
      <c r="AC286" t="b">
        <v>0</v>
      </c>
      <c r="AD286" t="b">
        <v>0</v>
      </c>
      <c r="AE286" t="b">
        <v>0</v>
      </c>
      <c r="AF286" t="b">
        <v>0</v>
      </c>
      <c r="AG286" t="s">
        <v>58</v>
      </c>
      <c r="AH286">
        <v>14</v>
      </c>
      <c r="AI286" t="s">
        <v>169</v>
      </c>
      <c r="AJ286" t="s">
        <v>60</v>
      </c>
      <c r="AL286" t="s">
        <v>170</v>
      </c>
      <c r="AM286" t="s">
        <v>62</v>
      </c>
      <c r="AN286" t="s">
        <v>63</v>
      </c>
      <c r="AO286" t="s">
        <v>1458</v>
      </c>
      <c r="AP286" t="s">
        <v>1536</v>
      </c>
    </row>
    <row r="287" spans="1:42" x14ac:dyDescent="0.45">
      <c r="A287" t="s">
        <v>1448</v>
      </c>
      <c r="B287" t="s">
        <v>1449</v>
      </c>
      <c r="C287" t="s">
        <v>1450</v>
      </c>
      <c r="D287">
        <v>2023</v>
      </c>
      <c r="E287" t="s">
        <v>45</v>
      </c>
      <c r="F287" t="s">
        <v>46</v>
      </c>
      <c r="J287" t="s">
        <v>1540</v>
      </c>
      <c r="K287" t="s">
        <v>1541</v>
      </c>
      <c r="L287" t="s">
        <v>1542</v>
      </c>
      <c r="M287" t="s">
        <v>1543</v>
      </c>
      <c r="N287" t="s">
        <v>51</v>
      </c>
      <c r="O287" t="s">
        <v>52</v>
      </c>
      <c r="P287" t="s">
        <v>53</v>
      </c>
      <c r="Q287" t="s">
        <v>1455</v>
      </c>
      <c r="S287">
        <v>23</v>
      </c>
      <c r="T287" t="s">
        <v>1544</v>
      </c>
      <c r="U287">
        <v>626</v>
      </c>
      <c r="V287">
        <v>6948</v>
      </c>
      <c r="W287">
        <v>9.01E-2</v>
      </c>
      <c r="X287" t="s">
        <v>56</v>
      </c>
      <c r="Y287" t="s">
        <v>1457</v>
      </c>
      <c r="Z287">
        <v>1107.71</v>
      </c>
      <c r="AA287">
        <v>59.27</v>
      </c>
      <c r="AB287">
        <v>65657</v>
      </c>
      <c r="AC287" t="b">
        <v>0</v>
      </c>
      <c r="AD287" t="b">
        <v>0</v>
      </c>
      <c r="AE287" t="b">
        <v>0</v>
      </c>
      <c r="AF287" t="b">
        <v>0</v>
      </c>
      <c r="AG287" t="s">
        <v>58</v>
      </c>
      <c r="AH287">
        <v>-15</v>
      </c>
      <c r="AI287" t="s">
        <v>59</v>
      </c>
      <c r="AJ287" t="s">
        <v>60</v>
      </c>
      <c r="AK287" t="s">
        <v>140</v>
      </c>
      <c r="AL287" t="s">
        <v>141</v>
      </c>
      <c r="AM287" t="s">
        <v>62</v>
      </c>
      <c r="AN287" t="s">
        <v>63</v>
      </c>
      <c r="AO287" t="s">
        <v>1458</v>
      </c>
      <c r="AP287" t="s">
        <v>1541</v>
      </c>
    </row>
    <row r="288" spans="1:42" x14ac:dyDescent="0.45">
      <c r="A288" t="s">
        <v>1448</v>
      </c>
      <c r="B288" t="s">
        <v>1449</v>
      </c>
      <c r="C288" t="s">
        <v>1450</v>
      </c>
      <c r="D288">
        <v>2023</v>
      </c>
      <c r="E288" t="s">
        <v>45</v>
      </c>
      <c r="F288" t="s">
        <v>46</v>
      </c>
      <c r="G288">
        <v>11</v>
      </c>
      <c r="J288" t="s">
        <v>1545</v>
      </c>
      <c r="K288" t="s">
        <v>1546</v>
      </c>
      <c r="L288" t="s">
        <v>1547</v>
      </c>
      <c r="M288" t="s">
        <v>1548</v>
      </c>
      <c r="N288" t="s">
        <v>51</v>
      </c>
      <c r="O288" t="s">
        <v>52</v>
      </c>
      <c r="P288" t="s">
        <v>53</v>
      </c>
      <c r="Q288" t="s">
        <v>1455</v>
      </c>
      <c r="S288">
        <v>6</v>
      </c>
      <c r="T288" t="s">
        <v>1549</v>
      </c>
      <c r="U288">
        <v>6558</v>
      </c>
      <c r="V288">
        <v>6948</v>
      </c>
      <c r="W288">
        <v>0.94389999999999996</v>
      </c>
      <c r="X288" t="s">
        <v>70</v>
      </c>
      <c r="Y288" t="s">
        <v>1457</v>
      </c>
      <c r="Z288">
        <v>1026.71</v>
      </c>
      <c r="AA288">
        <v>2679.49</v>
      </c>
      <c r="AB288">
        <v>2751065</v>
      </c>
      <c r="AC288" t="b">
        <v>1</v>
      </c>
      <c r="AD288" t="b">
        <v>1</v>
      </c>
      <c r="AE288" t="b">
        <v>0</v>
      </c>
      <c r="AF288" t="b">
        <v>0</v>
      </c>
      <c r="AG288" t="s">
        <v>58</v>
      </c>
      <c r="AH288">
        <v>20</v>
      </c>
      <c r="AI288" t="s">
        <v>59</v>
      </c>
      <c r="AJ288" t="s">
        <v>71</v>
      </c>
      <c r="AL288" t="s">
        <v>72</v>
      </c>
      <c r="AM288" t="s">
        <v>62</v>
      </c>
      <c r="AN288" t="s">
        <v>63</v>
      </c>
      <c r="AO288" t="s">
        <v>1458</v>
      </c>
      <c r="AP288" t="s">
        <v>1546</v>
      </c>
    </row>
    <row r="289" spans="1:42" x14ac:dyDescent="0.45">
      <c r="A289" t="s">
        <v>1448</v>
      </c>
      <c r="B289" t="s">
        <v>1449</v>
      </c>
      <c r="C289" t="s">
        <v>1450</v>
      </c>
      <c r="D289">
        <v>2023</v>
      </c>
      <c r="E289" t="s">
        <v>45</v>
      </c>
      <c r="F289" t="s">
        <v>46</v>
      </c>
      <c r="J289" t="s">
        <v>1550</v>
      </c>
      <c r="K289" t="s">
        <v>1551</v>
      </c>
      <c r="L289" t="s">
        <v>1552</v>
      </c>
      <c r="M289" t="s">
        <v>1553</v>
      </c>
      <c r="N289" t="s">
        <v>51</v>
      </c>
      <c r="O289" t="s">
        <v>52</v>
      </c>
      <c r="P289" t="s">
        <v>53</v>
      </c>
      <c r="Q289" t="s">
        <v>1455</v>
      </c>
      <c r="S289">
        <v>32</v>
      </c>
      <c r="T289" t="s">
        <v>1554</v>
      </c>
      <c r="U289">
        <v>604</v>
      </c>
      <c r="V289">
        <v>6948</v>
      </c>
      <c r="W289">
        <v>8.6900000000000005E-2</v>
      </c>
      <c r="X289" t="s">
        <v>56</v>
      </c>
      <c r="Y289" t="s">
        <v>1457</v>
      </c>
      <c r="Z289">
        <v>1083.79</v>
      </c>
      <c r="AA289">
        <v>67.48</v>
      </c>
      <c r="AB289">
        <v>73138</v>
      </c>
      <c r="AC289" t="b">
        <v>0</v>
      </c>
      <c r="AD289" t="b">
        <v>0</v>
      </c>
      <c r="AE289" t="b">
        <v>0</v>
      </c>
      <c r="AF289" t="b">
        <v>0</v>
      </c>
      <c r="AG289" t="s">
        <v>58</v>
      </c>
      <c r="AH289">
        <v>-15</v>
      </c>
      <c r="AI289" t="s">
        <v>59</v>
      </c>
      <c r="AJ289" t="s">
        <v>60</v>
      </c>
      <c r="AK289" t="s">
        <v>333</v>
      </c>
      <c r="AL289" t="s">
        <v>334</v>
      </c>
      <c r="AM289" t="s">
        <v>62</v>
      </c>
      <c r="AN289" t="s">
        <v>63</v>
      </c>
      <c r="AO289" t="s">
        <v>1458</v>
      </c>
      <c r="AP289" t="s">
        <v>1551</v>
      </c>
    </row>
    <row r="290" spans="1:42" x14ac:dyDescent="0.45">
      <c r="A290" t="s">
        <v>1448</v>
      </c>
      <c r="B290" t="s">
        <v>1449</v>
      </c>
      <c r="C290" t="s">
        <v>1450</v>
      </c>
      <c r="D290">
        <v>2023</v>
      </c>
      <c r="E290" t="s">
        <v>45</v>
      </c>
      <c r="F290" t="s">
        <v>46</v>
      </c>
      <c r="G290">
        <v>12</v>
      </c>
      <c r="J290" t="s">
        <v>1555</v>
      </c>
      <c r="K290" t="s">
        <v>1556</v>
      </c>
      <c r="L290" t="s">
        <v>1557</v>
      </c>
      <c r="M290" t="s">
        <v>1558</v>
      </c>
      <c r="N290" t="s">
        <v>51</v>
      </c>
      <c r="O290" t="s">
        <v>52</v>
      </c>
      <c r="P290" t="s">
        <v>53</v>
      </c>
      <c r="Q290" t="s">
        <v>1455</v>
      </c>
      <c r="S290">
        <v>5</v>
      </c>
      <c r="T290" t="s">
        <v>1559</v>
      </c>
      <c r="U290">
        <v>6607</v>
      </c>
      <c r="V290">
        <v>6948</v>
      </c>
      <c r="W290">
        <v>0.95089999999999997</v>
      </c>
      <c r="X290" t="s">
        <v>70</v>
      </c>
      <c r="Y290" t="s">
        <v>1457</v>
      </c>
      <c r="Z290">
        <v>1019.71</v>
      </c>
      <c r="AA290">
        <v>2862.78</v>
      </c>
      <c r="AB290">
        <v>2919212</v>
      </c>
      <c r="AC290" t="b">
        <v>1</v>
      </c>
      <c r="AD290" t="b">
        <v>1</v>
      </c>
      <c r="AE290" t="b">
        <v>0</v>
      </c>
      <c r="AF290" t="b">
        <v>0</v>
      </c>
      <c r="AG290" t="s">
        <v>58</v>
      </c>
      <c r="AH290">
        <v>20</v>
      </c>
      <c r="AI290" t="s">
        <v>59</v>
      </c>
      <c r="AJ290" t="s">
        <v>71</v>
      </c>
      <c r="AL290" t="s">
        <v>72</v>
      </c>
      <c r="AM290" t="s">
        <v>62</v>
      </c>
      <c r="AN290" t="s">
        <v>63</v>
      </c>
      <c r="AO290" t="s">
        <v>1458</v>
      </c>
      <c r="AP290" t="s">
        <v>1556</v>
      </c>
    </row>
    <row r="291" spans="1:42" x14ac:dyDescent="0.45">
      <c r="A291" t="s">
        <v>1448</v>
      </c>
      <c r="B291" t="s">
        <v>1449</v>
      </c>
      <c r="C291" t="s">
        <v>1450</v>
      </c>
      <c r="D291">
        <v>2023</v>
      </c>
      <c r="E291" t="s">
        <v>45</v>
      </c>
      <c r="F291" t="s">
        <v>46</v>
      </c>
      <c r="J291" t="s">
        <v>1560</v>
      </c>
      <c r="K291" t="s">
        <v>1561</v>
      </c>
      <c r="L291" t="s">
        <v>1562</v>
      </c>
      <c r="M291" t="s">
        <v>1563</v>
      </c>
      <c r="N291" t="s">
        <v>51</v>
      </c>
      <c r="O291" t="s">
        <v>52</v>
      </c>
      <c r="P291" t="s">
        <v>53</v>
      </c>
      <c r="Q291" t="s">
        <v>1455</v>
      </c>
      <c r="S291">
        <v>30</v>
      </c>
      <c r="T291" t="s">
        <v>1564</v>
      </c>
      <c r="U291">
        <v>567</v>
      </c>
      <c r="V291">
        <v>6948</v>
      </c>
      <c r="W291">
        <v>8.1600000000000006E-2</v>
      </c>
      <c r="X291" t="s">
        <v>56</v>
      </c>
      <c r="Y291" t="s">
        <v>1457</v>
      </c>
      <c r="Z291">
        <v>1085.71</v>
      </c>
      <c r="AA291">
        <v>157.72999999999999</v>
      </c>
      <c r="AB291">
        <v>171252</v>
      </c>
      <c r="AC291" t="b">
        <v>0</v>
      </c>
      <c r="AD291" t="b">
        <v>0</v>
      </c>
      <c r="AE291" t="b">
        <v>0</v>
      </c>
      <c r="AF291" t="b">
        <v>0</v>
      </c>
      <c r="AG291" t="s">
        <v>58</v>
      </c>
      <c r="AH291">
        <v>14</v>
      </c>
      <c r="AI291" t="s">
        <v>169</v>
      </c>
      <c r="AJ291" t="s">
        <v>60</v>
      </c>
      <c r="AL291" t="s">
        <v>170</v>
      </c>
      <c r="AM291" t="s">
        <v>62</v>
      </c>
      <c r="AN291" t="s">
        <v>63</v>
      </c>
      <c r="AO291" t="s">
        <v>1458</v>
      </c>
      <c r="AP291" t="s">
        <v>1561</v>
      </c>
    </row>
    <row r="292" spans="1:42" x14ac:dyDescent="0.45">
      <c r="A292" t="s">
        <v>1448</v>
      </c>
      <c r="B292" t="s">
        <v>1449</v>
      </c>
      <c r="C292" t="s">
        <v>1450</v>
      </c>
      <c r="D292">
        <v>2023</v>
      </c>
      <c r="E292" t="s">
        <v>45</v>
      </c>
      <c r="F292" t="s">
        <v>46</v>
      </c>
      <c r="G292">
        <v>13</v>
      </c>
      <c r="J292" t="s">
        <v>1565</v>
      </c>
      <c r="K292" t="s">
        <v>1566</v>
      </c>
      <c r="L292" t="s">
        <v>1567</v>
      </c>
      <c r="M292" t="s">
        <v>1568</v>
      </c>
      <c r="N292" t="s">
        <v>89</v>
      </c>
      <c r="O292" t="s">
        <v>90</v>
      </c>
      <c r="P292" t="s">
        <v>91</v>
      </c>
      <c r="Q292" t="s">
        <v>1455</v>
      </c>
      <c r="S292">
        <v>4</v>
      </c>
      <c r="T292" t="s">
        <v>1569</v>
      </c>
      <c r="U292">
        <v>10747</v>
      </c>
      <c r="V292">
        <v>6948</v>
      </c>
      <c r="W292">
        <v>1.5468</v>
      </c>
      <c r="X292" t="s">
        <v>70</v>
      </c>
      <c r="Y292" t="s">
        <v>1457</v>
      </c>
      <c r="Z292">
        <v>1012.71</v>
      </c>
      <c r="AA292">
        <v>3967.92</v>
      </c>
      <c r="AB292">
        <v>4018358</v>
      </c>
      <c r="AC292" t="b">
        <v>1</v>
      </c>
      <c r="AD292" t="b">
        <v>1</v>
      </c>
      <c r="AE292" t="b">
        <v>0</v>
      </c>
      <c r="AF292" t="b">
        <v>0</v>
      </c>
      <c r="AG292" t="s">
        <v>58</v>
      </c>
      <c r="AH292">
        <v>20</v>
      </c>
      <c r="AI292" t="s">
        <v>59</v>
      </c>
      <c r="AJ292" t="s">
        <v>71</v>
      </c>
      <c r="AL292" t="s">
        <v>72</v>
      </c>
      <c r="AM292" t="s">
        <v>62</v>
      </c>
      <c r="AN292" t="s">
        <v>63</v>
      </c>
      <c r="AO292" t="s">
        <v>1458</v>
      </c>
      <c r="AP292" t="s">
        <v>1566</v>
      </c>
    </row>
    <row r="293" spans="1:42" x14ac:dyDescent="0.45">
      <c r="A293" t="s">
        <v>1448</v>
      </c>
      <c r="B293" t="s">
        <v>1449</v>
      </c>
      <c r="C293" t="s">
        <v>1450</v>
      </c>
      <c r="D293">
        <v>2023</v>
      </c>
      <c r="E293" t="s">
        <v>45</v>
      </c>
      <c r="F293" t="s">
        <v>46</v>
      </c>
      <c r="G293">
        <v>4</v>
      </c>
      <c r="J293" t="s">
        <v>1570</v>
      </c>
      <c r="K293" t="s">
        <v>1571</v>
      </c>
      <c r="L293" t="s">
        <v>1572</v>
      </c>
      <c r="M293" t="s">
        <v>1573</v>
      </c>
      <c r="N293" t="s">
        <v>51</v>
      </c>
      <c r="O293" t="s">
        <v>52</v>
      </c>
      <c r="P293" t="s">
        <v>53</v>
      </c>
      <c r="Q293" t="s">
        <v>1455</v>
      </c>
      <c r="S293">
        <v>15</v>
      </c>
      <c r="T293" t="s">
        <v>1574</v>
      </c>
      <c r="U293">
        <v>1490</v>
      </c>
      <c r="V293">
        <v>6948</v>
      </c>
      <c r="W293">
        <v>0.2145</v>
      </c>
      <c r="X293" t="s">
        <v>56</v>
      </c>
      <c r="Y293" t="s">
        <v>1457</v>
      </c>
      <c r="Z293">
        <v>1077.71</v>
      </c>
      <c r="AA293">
        <v>1175.48</v>
      </c>
      <c r="AB293">
        <v>1266826</v>
      </c>
      <c r="AC293" t="b">
        <v>1</v>
      </c>
      <c r="AD293" t="b">
        <v>0</v>
      </c>
      <c r="AE293" t="b">
        <v>0</v>
      </c>
      <c r="AF293" t="b">
        <v>0</v>
      </c>
      <c r="AG293" t="s">
        <v>58</v>
      </c>
      <c r="AH293">
        <v>18</v>
      </c>
      <c r="AI293" t="s">
        <v>59</v>
      </c>
      <c r="AJ293" t="s">
        <v>60</v>
      </c>
      <c r="AK293" t="s">
        <v>252</v>
      </c>
      <c r="AL293" t="s">
        <v>1299</v>
      </c>
      <c r="AM293" t="s">
        <v>62</v>
      </c>
      <c r="AN293" t="s">
        <v>63</v>
      </c>
      <c r="AO293" t="s">
        <v>1458</v>
      </c>
      <c r="AP293" t="s">
        <v>1571</v>
      </c>
    </row>
    <row r="294" spans="1:42" x14ac:dyDescent="0.45">
      <c r="A294" t="s">
        <v>1448</v>
      </c>
      <c r="B294" t="s">
        <v>1449</v>
      </c>
      <c r="C294" t="s">
        <v>1450</v>
      </c>
      <c r="D294">
        <v>2023</v>
      </c>
      <c r="E294" t="s">
        <v>45</v>
      </c>
      <c r="F294" t="s">
        <v>46</v>
      </c>
      <c r="J294" t="s">
        <v>1575</v>
      </c>
      <c r="K294" t="s">
        <v>1576</v>
      </c>
      <c r="L294" t="s">
        <v>1577</v>
      </c>
      <c r="M294" t="s">
        <v>1578</v>
      </c>
      <c r="N294" t="s">
        <v>51</v>
      </c>
      <c r="O294" t="s">
        <v>52</v>
      </c>
      <c r="P294" t="s">
        <v>53</v>
      </c>
      <c r="Q294" t="s">
        <v>1455</v>
      </c>
      <c r="S294">
        <v>29</v>
      </c>
      <c r="T294" t="s">
        <v>1579</v>
      </c>
      <c r="U294">
        <v>340</v>
      </c>
      <c r="V294">
        <v>6948</v>
      </c>
      <c r="W294">
        <v>4.8899999999999999E-2</v>
      </c>
      <c r="X294" t="s">
        <v>56</v>
      </c>
      <c r="Y294" t="s">
        <v>1457</v>
      </c>
      <c r="Z294">
        <v>1089.21</v>
      </c>
      <c r="AA294">
        <v>502.05</v>
      </c>
      <c r="AB294">
        <v>546834</v>
      </c>
      <c r="AC294" t="b">
        <v>0</v>
      </c>
      <c r="AD294" t="b">
        <v>0</v>
      </c>
      <c r="AE294" t="b">
        <v>0</v>
      </c>
      <c r="AF294" t="b">
        <v>0</v>
      </c>
      <c r="AG294" t="s">
        <v>58</v>
      </c>
      <c r="AH294">
        <v>14</v>
      </c>
      <c r="AI294" t="s">
        <v>169</v>
      </c>
      <c r="AJ294" t="s">
        <v>60</v>
      </c>
      <c r="AL294" t="s">
        <v>170</v>
      </c>
      <c r="AM294" t="s">
        <v>62</v>
      </c>
      <c r="AN294" t="s">
        <v>63</v>
      </c>
      <c r="AO294" t="s">
        <v>1458</v>
      </c>
      <c r="AP294" t="s">
        <v>1576</v>
      </c>
    </row>
    <row r="295" spans="1:42" x14ac:dyDescent="0.45">
      <c r="A295" t="s">
        <v>1448</v>
      </c>
      <c r="B295" t="s">
        <v>1449</v>
      </c>
      <c r="C295" t="s">
        <v>1450</v>
      </c>
      <c r="D295">
        <v>2023</v>
      </c>
      <c r="E295" t="s">
        <v>45</v>
      </c>
      <c r="F295" t="s">
        <v>46</v>
      </c>
      <c r="J295" t="s">
        <v>1580</v>
      </c>
      <c r="K295" t="s">
        <v>1581</v>
      </c>
      <c r="L295" t="s">
        <v>1582</v>
      </c>
      <c r="M295" t="s">
        <v>1583</v>
      </c>
      <c r="N295" t="s">
        <v>51</v>
      </c>
      <c r="O295" t="s">
        <v>52</v>
      </c>
      <c r="P295" t="s">
        <v>53</v>
      </c>
      <c r="Q295" t="s">
        <v>1455</v>
      </c>
      <c r="S295">
        <v>31</v>
      </c>
      <c r="T295" t="s">
        <v>1584</v>
      </c>
      <c r="U295">
        <v>613</v>
      </c>
      <c r="V295">
        <v>6948</v>
      </c>
      <c r="W295">
        <v>8.8200000000000001E-2</v>
      </c>
      <c r="X295" t="s">
        <v>56</v>
      </c>
      <c r="Y295" t="s">
        <v>1457</v>
      </c>
      <c r="Z295">
        <v>1083.75</v>
      </c>
      <c r="AA295">
        <v>151</v>
      </c>
      <c r="AB295">
        <v>163643</v>
      </c>
      <c r="AC295" t="b">
        <v>0</v>
      </c>
      <c r="AD295" t="b">
        <v>0</v>
      </c>
      <c r="AE295" t="b">
        <v>0</v>
      </c>
      <c r="AF295" t="b">
        <v>0</v>
      </c>
      <c r="AG295" t="s">
        <v>58</v>
      </c>
      <c r="AH295">
        <v>14</v>
      </c>
      <c r="AI295" t="s">
        <v>169</v>
      </c>
      <c r="AJ295" t="s">
        <v>60</v>
      </c>
      <c r="AL295" t="s">
        <v>170</v>
      </c>
      <c r="AM295" t="s">
        <v>62</v>
      </c>
      <c r="AN295" t="s">
        <v>63</v>
      </c>
      <c r="AO295" t="s">
        <v>1458</v>
      </c>
      <c r="AP295" t="s">
        <v>1581</v>
      </c>
    </row>
    <row r="296" spans="1:42" x14ac:dyDescent="0.45">
      <c r="A296" t="s">
        <v>1448</v>
      </c>
      <c r="B296" t="s">
        <v>1449</v>
      </c>
      <c r="C296" t="s">
        <v>1450</v>
      </c>
      <c r="D296">
        <v>2023</v>
      </c>
      <c r="E296" t="s">
        <v>45</v>
      </c>
      <c r="F296" t="s">
        <v>46</v>
      </c>
      <c r="G296">
        <v>14</v>
      </c>
      <c r="J296" t="s">
        <v>1585</v>
      </c>
      <c r="K296" t="s">
        <v>1586</v>
      </c>
      <c r="L296" t="s">
        <v>1587</v>
      </c>
      <c r="M296" t="s">
        <v>1588</v>
      </c>
      <c r="N296" t="s">
        <v>89</v>
      </c>
      <c r="O296" t="s">
        <v>90</v>
      </c>
      <c r="P296" t="s">
        <v>91</v>
      </c>
      <c r="Q296" t="s">
        <v>1455</v>
      </c>
      <c r="S296">
        <v>2</v>
      </c>
      <c r="T296" t="s">
        <v>1589</v>
      </c>
      <c r="U296">
        <v>8422</v>
      </c>
      <c r="V296">
        <v>6948</v>
      </c>
      <c r="W296">
        <v>1.2121</v>
      </c>
      <c r="X296" t="s">
        <v>70</v>
      </c>
      <c r="Y296" t="s">
        <v>1457</v>
      </c>
      <c r="Z296">
        <v>1005.71</v>
      </c>
      <c r="AA296">
        <v>4332.71</v>
      </c>
      <c r="AB296">
        <v>4357458</v>
      </c>
      <c r="AC296" t="b">
        <v>1</v>
      </c>
      <c r="AD296" t="b">
        <v>1</v>
      </c>
      <c r="AE296" t="b">
        <v>0</v>
      </c>
      <c r="AF296" t="b">
        <v>0</v>
      </c>
      <c r="AG296" t="s">
        <v>58</v>
      </c>
      <c r="AH296">
        <v>20</v>
      </c>
      <c r="AI296" t="s">
        <v>59</v>
      </c>
      <c r="AJ296" t="s">
        <v>71</v>
      </c>
      <c r="AL296" t="s">
        <v>72</v>
      </c>
      <c r="AM296" t="s">
        <v>62</v>
      </c>
      <c r="AN296" t="s">
        <v>63</v>
      </c>
      <c r="AO296" t="s">
        <v>1458</v>
      </c>
      <c r="AP296" t="s">
        <v>1586</v>
      </c>
    </row>
    <row r="297" spans="1:42" x14ac:dyDescent="0.45">
      <c r="A297" t="s">
        <v>1448</v>
      </c>
      <c r="B297" t="s">
        <v>1449</v>
      </c>
      <c r="C297" t="s">
        <v>1450</v>
      </c>
      <c r="D297">
        <v>2023</v>
      </c>
      <c r="E297" t="s">
        <v>45</v>
      </c>
      <c r="F297" t="s">
        <v>46</v>
      </c>
      <c r="G297">
        <v>10</v>
      </c>
      <c r="J297" t="s">
        <v>1590</v>
      </c>
      <c r="K297" t="s">
        <v>1591</v>
      </c>
      <c r="L297" t="s">
        <v>1592</v>
      </c>
      <c r="M297" t="s">
        <v>1593</v>
      </c>
      <c r="N297" t="s">
        <v>51</v>
      </c>
      <c r="O297" t="s">
        <v>52</v>
      </c>
      <c r="P297" t="s">
        <v>53</v>
      </c>
      <c r="Q297" t="s">
        <v>1455</v>
      </c>
      <c r="S297">
        <v>7</v>
      </c>
      <c r="T297" t="s">
        <v>1594</v>
      </c>
      <c r="U297">
        <v>6129</v>
      </c>
      <c r="V297">
        <v>6948</v>
      </c>
      <c r="W297">
        <v>0.8821</v>
      </c>
      <c r="X297" t="s">
        <v>70</v>
      </c>
      <c r="Y297" t="s">
        <v>1457</v>
      </c>
      <c r="Z297">
        <v>1033.71</v>
      </c>
      <c r="AA297">
        <v>1859.44</v>
      </c>
      <c r="AB297">
        <v>1922121</v>
      </c>
      <c r="AC297" t="b">
        <v>1</v>
      </c>
      <c r="AD297" t="b">
        <v>1</v>
      </c>
      <c r="AE297" t="b">
        <v>0</v>
      </c>
      <c r="AF297" t="b">
        <v>0</v>
      </c>
      <c r="AG297" t="s">
        <v>58</v>
      </c>
      <c r="AH297">
        <v>20</v>
      </c>
      <c r="AI297" t="s">
        <v>59</v>
      </c>
      <c r="AJ297" t="s">
        <v>71</v>
      </c>
      <c r="AL297" t="s">
        <v>72</v>
      </c>
      <c r="AM297" t="s">
        <v>62</v>
      </c>
      <c r="AN297" t="s">
        <v>63</v>
      </c>
      <c r="AO297" t="s">
        <v>1458</v>
      </c>
      <c r="AP297" t="s">
        <v>1591</v>
      </c>
    </row>
    <row r="298" spans="1:42" x14ac:dyDescent="0.45">
      <c r="A298" t="s">
        <v>1448</v>
      </c>
      <c r="B298" t="s">
        <v>1449</v>
      </c>
      <c r="C298" t="s">
        <v>1450</v>
      </c>
      <c r="D298">
        <v>2023</v>
      </c>
      <c r="E298" t="s">
        <v>45</v>
      </c>
      <c r="F298" t="s">
        <v>46</v>
      </c>
      <c r="J298" t="s">
        <v>1595</v>
      </c>
      <c r="K298" t="s">
        <v>1596</v>
      </c>
      <c r="L298" t="s">
        <v>1597</v>
      </c>
      <c r="M298" t="s">
        <v>1598</v>
      </c>
      <c r="N298" t="s">
        <v>51</v>
      </c>
      <c r="O298" t="s">
        <v>52</v>
      </c>
      <c r="P298" t="s">
        <v>53</v>
      </c>
      <c r="Q298" t="s">
        <v>1455</v>
      </c>
      <c r="S298">
        <v>27</v>
      </c>
      <c r="T298" t="s">
        <v>1599</v>
      </c>
      <c r="U298">
        <v>538</v>
      </c>
      <c r="V298">
        <v>6948</v>
      </c>
      <c r="W298">
        <v>7.7399999999999997E-2</v>
      </c>
      <c r="X298" t="s">
        <v>56</v>
      </c>
      <c r="Y298" t="s">
        <v>1457</v>
      </c>
      <c r="Z298">
        <v>1090.75</v>
      </c>
      <c r="AA298">
        <v>88.48</v>
      </c>
      <c r="AB298">
        <v>96509</v>
      </c>
      <c r="AC298" t="b">
        <v>0</v>
      </c>
      <c r="AD298" t="b">
        <v>0</v>
      </c>
      <c r="AE298" t="b">
        <v>0</v>
      </c>
      <c r="AF298" t="b">
        <v>0</v>
      </c>
      <c r="AG298" t="s">
        <v>58</v>
      </c>
      <c r="AH298">
        <v>14</v>
      </c>
      <c r="AI298" t="s">
        <v>169</v>
      </c>
      <c r="AJ298" t="s">
        <v>60</v>
      </c>
      <c r="AL298" t="s">
        <v>170</v>
      </c>
      <c r="AM298" t="s">
        <v>62</v>
      </c>
      <c r="AN298" t="s">
        <v>63</v>
      </c>
      <c r="AO298" t="s">
        <v>1458</v>
      </c>
      <c r="AP298" t="s">
        <v>1596</v>
      </c>
    </row>
    <row r="299" spans="1:42" x14ac:dyDescent="0.45">
      <c r="A299" t="s">
        <v>1448</v>
      </c>
      <c r="B299" t="s">
        <v>1449</v>
      </c>
      <c r="C299" t="s">
        <v>1450</v>
      </c>
      <c r="D299">
        <v>2023</v>
      </c>
      <c r="E299" t="s">
        <v>45</v>
      </c>
      <c r="F299" t="s">
        <v>46</v>
      </c>
      <c r="G299">
        <v>15</v>
      </c>
      <c r="J299" t="s">
        <v>1600</v>
      </c>
      <c r="K299" t="s">
        <v>1601</v>
      </c>
      <c r="L299" t="s">
        <v>1602</v>
      </c>
      <c r="M299" t="s">
        <v>1603</v>
      </c>
      <c r="N299" t="s">
        <v>51</v>
      </c>
      <c r="O299" t="s">
        <v>52</v>
      </c>
      <c r="P299" t="s">
        <v>53</v>
      </c>
      <c r="Q299" t="s">
        <v>1455</v>
      </c>
      <c r="S299">
        <v>1</v>
      </c>
      <c r="T299" t="s">
        <v>1604</v>
      </c>
      <c r="U299">
        <v>7747</v>
      </c>
      <c r="V299">
        <v>6948</v>
      </c>
      <c r="W299">
        <v>1.115</v>
      </c>
      <c r="X299" t="s">
        <v>70</v>
      </c>
      <c r="Y299" t="s">
        <v>1457</v>
      </c>
      <c r="Z299">
        <v>998.71</v>
      </c>
      <c r="AA299">
        <v>4651.7299999999996</v>
      </c>
      <c r="AB299">
        <v>4645732</v>
      </c>
      <c r="AC299" t="b">
        <v>1</v>
      </c>
      <c r="AD299" t="b">
        <v>1</v>
      </c>
      <c r="AE299" t="b">
        <v>0</v>
      </c>
      <c r="AF299" t="b">
        <v>0</v>
      </c>
      <c r="AG299" t="s">
        <v>58</v>
      </c>
      <c r="AH299">
        <v>20</v>
      </c>
      <c r="AI299" t="s">
        <v>59</v>
      </c>
      <c r="AJ299" t="s">
        <v>71</v>
      </c>
      <c r="AL299" t="s">
        <v>72</v>
      </c>
      <c r="AM299" t="s">
        <v>62</v>
      </c>
      <c r="AN299" t="s">
        <v>63</v>
      </c>
      <c r="AO299" t="s">
        <v>1458</v>
      </c>
      <c r="AP299" t="s">
        <v>1601</v>
      </c>
    </row>
    <row r="300" spans="1:42" x14ac:dyDescent="0.45">
      <c r="A300" t="s">
        <v>1448</v>
      </c>
      <c r="B300" t="s">
        <v>1449</v>
      </c>
      <c r="C300" t="s">
        <v>1450</v>
      </c>
      <c r="D300">
        <v>2023</v>
      </c>
      <c r="E300" t="s">
        <v>45</v>
      </c>
      <c r="F300" t="s">
        <v>46</v>
      </c>
      <c r="G300">
        <v>3</v>
      </c>
      <c r="J300" t="s">
        <v>1605</v>
      </c>
      <c r="K300" t="s">
        <v>1606</v>
      </c>
      <c r="L300" t="s">
        <v>1607</v>
      </c>
      <c r="M300" t="s">
        <v>1608</v>
      </c>
      <c r="N300" t="s">
        <v>51</v>
      </c>
      <c r="O300" t="s">
        <v>52</v>
      </c>
      <c r="P300" t="s">
        <v>53</v>
      </c>
      <c r="Q300" t="s">
        <v>1455</v>
      </c>
      <c r="S300">
        <v>18</v>
      </c>
      <c r="T300" t="s">
        <v>1609</v>
      </c>
      <c r="U300">
        <v>6566</v>
      </c>
      <c r="V300">
        <v>6948</v>
      </c>
      <c r="W300">
        <v>0.94499999999999995</v>
      </c>
      <c r="X300" t="s">
        <v>70</v>
      </c>
      <c r="Y300" t="s">
        <v>1457</v>
      </c>
      <c r="Z300">
        <v>1089.71</v>
      </c>
      <c r="AA300">
        <v>3703.93</v>
      </c>
      <c r="AB300">
        <v>4036215</v>
      </c>
      <c r="AC300" t="b">
        <v>1</v>
      </c>
      <c r="AD300" t="b">
        <v>1</v>
      </c>
      <c r="AE300" t="b">
        <v>0</v>
      </c>
      <c r="AF300" t="b">
        <v>0</v>
      </c>
      <c r="AG300" t="s">
        <v>58</v>
      </c>
      <c r="AH300">
        <v>20</v>
      </c>
      <c r="AI300" t="s">
        <v>59</v>
      </c>
      <c r="AJ300" t="s">
        <v>71</v>
      </c>
      <c r="AL300" t="s">
        <v>72</v>
      </c>
      <c r="AM300" t="s">
        <v>62</v>
      </c>
      <c r="AN300" t="s">
        <v>63</v>
      </c>
      <c r="AO300" t="s">
        <v>1458</v>
      </c>
      <c r="AP300" t="s">
        <v>1606</v>
      </c>
    </row>
    <row r="301" spans="1:42" x14ac:dyDescent="0.45">
      <c r="A301" t="s">
        <v>1448</v>
      </c>
      <c r="B301" t="s">
        <v>1449</v>
      </c>
      <c r="C301" t="s">
        <v>1450</v>
      </c>
      <c r="D301">
        <v>2023</v>
      </c>
      <c r="E301" t="s">
        <v>45</v>
      </c>
      <c r="F301" t="s">
        <v>46</v>
      </c>
      <c r="J301" t="s">
        <v>1610</v>
      </c>
      <c r="K301" t="s">
        <v>1611</v>
      </c>
      <c r="L301" t="s">
        <v>1612</v>
      </c>
      <c r="M301" t="s">
        <v>1613</v>
      </c>
      <c r="N301" t="s">
        <v>51</v>
      </c>
      <c r="O301" t="s">
        <v>52</v>
      </c>
      <c r="P301" t="s">
        <v>53</v>
      </c>
      <c r="Q301" t="s">
        <v>1455</v>
      </c>
      <c r="S301">
        <v>28</v>
      </c>
      <c r="T301" t="s">
        <v>1614</v>
      </c>
      <c r="U301">
        <v>758</v>
      </c>
      <c r="V301">
        <v>6948</v>
      </c>
      <c r="W301">
        <v>0.1091</v>
      </c>
      <c r="X301" t="s">
        <v>56</v>
      </c>
      <c r="Y301" t="s">
        <v>1457</v>
      </c>
      <c r="Z301">
        <v>1090.79</v>
      </c>
      <c r="AA301">
        <v>51.92</v>
      </c>
      <c r="AB301">
        <v>56631</v>
      </c>
      <c r="AC301" t="b">
        <v>0</v>
      </c>
      <c r="AD301" t="b">
        <v>0</v>
      </c>
      <c r="AE301" t="b">
        <v>0</v>
      </c>
      <c r="AF301" t="b">
        <v>0</v>
      </c>
      <c r="AG301" t="s">
        <v>58</v>
      </c>
      <c r="AH301">
        <v>-15</v>
      </c>
      <c r="AI301" t="s">
        <v>59</v>
      </c>
      <c r="AJ301" t="s">
        <v>60</v>
      </c>
      <c r="AK301" t="s">
        <v>333</v>
      </c>
      <c r="AL301" t="s">
        <v>334</v>
      </c>
      <c r="AM301" t="s">
        <v>62</v>
      </c>
      <c r="AN301" t="s">
        <v>63</v>
      </c>
      <c r="AO301" t="s">
        <v>1458</v>
      </c>
      <c r="AP301" t="s">
        <v>1611</v>
      </c>
    </row>
    <row r="302" spans="1:42" x14ac:dyDescent="0.45">
      <c r="A302" t="s">
        <v>1615</v>
      </c>
      <c r="B302" t="s">
        <v>1616</v>
      </c>
      <c r="C302" t="s">
        <v>1617</v>
      </c>
      <c r="D302">
        <v>2025</v>
      </c>
      <c r="E302" t="s">
        <v>45</v>
      </c>
      <c r="F302" t="s">
        <v>46</v>
      </c>
      <c r="G302">
        <v>9</v>
      </c>
      <c r="J302" t="s">
        <v>1618</v>
      </c>
      <c r="K302" t="s">
        <v>1619</v>
      </c>
      <c r="L302" t="s">
        <v>1620</v>
      </c>
      <c r="M302" t="s">
        <v>1621</v>
      </c>
      <c r="N302" t="s">
        <v>1622</v>
      </c>
      <c r="O302" t="s">
        <v>1623</v>
      </c>
      <c r="P302" t="s">
        <v>223</v>
      </c>
      <c r="Q302" t="s">
        <v>1624</v>
      </c>
      <c r="S302">
        <v>6</v>
      </c>
      <c r="T302" t="s">
        <v>1625</v>
      </c>
      <c r="U302">
        <v>10620</v>
      </c>
      <c r="V302">
        <v>8644</v>
      </c>
      <c r="W302">
        <v>1.2285999999999999</v>
      </c>
      <c r="X302" t="s">
        <v>70</v>
      </c>
      <c r="Y302" t="s">
        <v>1626</v>
      </c>
      <c r="Z302">
        <v>255.73</v>
      </c>
      <c r="AA302">
        <v>17895.75</v>
      </c>
      <c r="AB302">
        <v>4576465</v>
      </c>
      <c r="AC302" t="b">
        <v>1</v>
      </c>
      <c r="AD302" t="b">
        <v>1</v>
      </c>
      <c r="AE302" t="b">
        <v>0</v>
      </c>
      <c r="AF302" t="b">
        <v>0</v>
      </c>
      <c r="AG302" t="s">
        <v>58</v>
      </c>
      <c r="AH302">
        <v>20</v>
      </c>
      <c r="AI302" t="s">
        <v>59</v>
      </c>
      <c r="AJ302" t="s">
        <v>71</v>
      </c>
      <c r="AL302" t="s">
        <v>72</v>
      </c>
      <c r="AM302" t="s">
        <v>62</v>
      </c>
      <c r="AN302" t="s">
        <v>63</v>
      </c>
      <c r="AO302" t="s">
        <v>1627</v>
      </c>
      <c r="AP302" t="s">
        <v>1619</v>
      </c>
    </row>
    <row r="303" spans="1:42" x14ac:dyDescent="0.45">
      <c r="A303" t="s">
        <v>1615</v>
      </c>
      <c r="B303" t="s">
        <v>1616</v>
      </c>
      <c r="C303" t="s">
        <v>1617</v>
      </c>
      <c r="D303">
        <v>2025</v>
      </c>
      <c r="E303" t="s">
        <v>45</v>
      </c>
      <c r="F303" t="s">
        <v>46</v>
      </c>
      <c r="G303">
        <v>3</v>
      </c>
      <c r="J303" t="s">
        <v>1628</v>
      </c>
      <c r="K303" t="s">
        <v>1629</v>
      </c>
      <c r="L303" t="s">
        <v>1630</v>
      </c>
      <c r="M303" t="s">
        <v>1631</v>
      </c>
      <c r="N303" t="s">
        <v>1622</v>
      </c>
      <c r="O303" t="s">
        <v>1623</v>
      </c>
      <c r="P303" t="s">
        <v>223</v>
      </c>
      <c r="Q303" t="s">
        <v>1624</v>
      </c>
      <c r="S303">
        <v>12</v>
      </c>
      <c r="T303" t="s">
        <v>1632</v>
      </c>
      <c r="U303">
        <v>8007</v>
      </c>
      <c r="V303">
        <v>8644</v>
      </c>
      <c r="W303">
        <v>0.92630000000000001</v>
      </c>
      <c r="X303" t="s">
        <v>70</v>
      </c>
      <c r="Y303" t="s">
        <v>1626</v>
      </c>
      <c r="Z303">
        <v>297.73</v>
      </c>
      <c r="AA303">
        <v>18826.12</v>
      </c>
      <c r="AB303">
        <v>5605086</v>
      </c>
      <c r="AC303" t="b">
        <v>1</v>
      </c>
      <c r="AD303" t="b">
        <v>1</v>
      </c>
      <c r="AE303" t="b">
        <v>0</v>
      </c>
      <c r="AF303" t="b">
        <v>0</v>
      </c>
      <c r="AG303" t="s">
        <v>58</v>
      </c>
      <c r="AH303">
        <v>20</v>
      </c>
      <c r="AI303" t="s">
        <v>59</v>
      </c>
      <c r="AJ303" t="s">
        <v>71</v>
      </c>
      <c r="AL303" t="s">
        <v>72</v>
      </c>
      <c r="AM303" t="s">
        <v>62</v>
      </c>
      <c r="AN303" t="s">
        <v>63</v>
      </c>
      <c r="AO303" t="s">
        <v>1627</v>
      </c>
      <c r="AP303" t="s">
        <v>1629</v>
      </c>
    </row>
    <row r="304" spans="1:42" x14ac:dyDescent="0.45">
      <c r="A304" t="s">
        <v>1615</v>
      </c>
      <c r="B304" t="s">
        <v>1616</v>
      </c>
      <c r="C304" t="s">
        <v>1617</v>
      </c>
      <c r="D304">
        <v>2025</v>
      </c>
      <c r="E304" t="s">
        <v>45</v>
      </c>
      <c r="F304" t="s">
        <v>46</v>
      </c>
      <c r="J304" t="s">
        <v>1633</v>
      </c>
      <c r="K304" t="s">
        <v>1634</v>
      </c>
      <c r="L304" t="s">
        <v>1635</v>
      </c>
      <c r="M304" t="s">
        <v>1636</v>
      </c>
      <c r="N304" t="s">
        <v>1027</v>
      </c>
      <c r="O304" t="s">
        <v>1028</v>
      </c>
      <c r="P304" t="s">
        <v>91</v>
      </c>
      <c r="Q304" t="s">
        <v>1624</v>
      </c>
      <c r="S304">
        <v>16</v>
      </c>
      <c r="T304" t="s">
        <v>1637</v>
      </c>
      <c r="U304">
        <v>331</v>
      </c>
      <c r="V304">
        <v>8644</v>
      </c>
      <c r="W304">
        <v>3.8300000000000001E-2</v>
      </c>
      <c r="X304" t="s">
        <v>56</v>
      </c>
      <c r="Y304" t="s">
        <v>1626</v>
      </c>
      <c r="Z304">
        <v>315.75</v>
      </c>
      <c r="AA304">
        <v>160.30000000000001</v>
      </c>
      <c r="AB304">
        <v>50614</v>
      </c>
      <c r="AC304" t="b">
        <v>0</v>
      </c>
      <c r="AD304" t="b">
        <v>0</v>
      </c>
      <c r="AE304" t="b">
        <v>0</v>
      </c>
      <c r="AF304" t="b">
        <v>0</v>
      </c>
      <c r="AG304" t="s">
        <v>58</v>
      </c>
      <c r="AH304">
        <v>-15</v>
      </c>
      <c r="AI304" t="s">
        <v>59</v>
      </c>
      <c r="AJ304" t="s">
        <v>60</v>
      </c>
      <c r="AK304" t="s">
        <v>162</v>
      </c>
      <c r="AL304" t="s">
        <v>163</v>
      </c>
      <c r="AM304" t="s">
        <v>62</v>
      </c>
      <c r="AN304" t="s">
        <v>63</v>
      </c>
      <c r="AO304" t="s">
        <v>1627</v>
      </c>
      <c r="AP304" t="s">
        <v>1634</v>
      </c>
    </row>
    <row r="305" spans="1:42" x14ac:dyDescent="0.45">
      <c r="A305" t="s">
        <v>1615</v>
      </c>
      <c r="B305" t="s">
        <v>1616</v>
      </c>
      <c r="C305" t="s">
        <v>1617</v>
      </c>
      <c r="D305">
        <v>2025</v>
      </c>
      <c r="E305" t="s">
        <v>45</v>
      </c>
      <c r="F305" t="s">
        <v>46</v>
      </c>
      <c r="G305">
        <v>14</v>
      </c>
      <c r="J305" t="s">
        <v>1638</v>
      </c>
      <c r="K305" t="s">
        <v>1639</v>
      </c>
      <c r="L305" t="s">
        <v>1640</v>
      </c>
      <c r="M305" t="s">
        <v>1641</v>
      </c>
      <c r="N305" t="s">
        <v>1622</v>
      </c>
      <c r="O305" t="s">
        <v>1623</v>
      </c>
      <c r="P305" t="s">
        <v>223</v>
      </c>
      <c r="Q305" t="s">
        <v>1624</v>
      </c>
      <c r="S305">
        <v>1</v>
      </c>
      <c r="T305" t="s">
        <v>1642</v>
      </c>
      <c r="U305">
        <v>12095</v>
      </c>
      <c r="V305">
        <v>8644</v>
      </c>
      <c r="W305">
        <v>1.3992</v>
      </c>
      <c r="X305" t="s">
        <v>70</v>
      </c>
      <c r="Y305" t="s">
        <v>1626</v>
      </c>
      <c r="Z305">
        <v>220.73</v>
      </c>
      <c r="AA305">
        <v>19194.12</v>
      </c>
      <c r="AB305">
        <v>4236702</v>
      </c>
      <c r="AC305" t="b">
        <v>1</v>
      </c>
      <c r="AD305" t="b">
        <v>1</v>
      </c>
      <c r="AE305" t="b">
        <v>0</v>
      </c>
      <c r="AF305" t="b">
        <v>0</v>
      </c>
      <c r="AG305" t="s">
        <v>58</v>
      </c>
      <c r="AH305">
        <v>20</v>
      </c>
      <c r="AI305" t="s">
        <v>59</v>
      </c>
      <c r="AJ305" t="s">
        <v>71</v>
      </c>
      <c r="AL305" t="s">
        <v>72</v>
      </c>
      <c r="AM305" t="s">
        <v>62</v>
      </c>
      <c r="AN305" t="s">
        <v>63</v>
      </c>
      <c r="AO305" t="s">
        <v>1627</v>
      </c>
      <c r="AP305" t="s">
        <v>1639</v>
      </c>
    </row>
    <row r="306" spans="1:42" x14ac:dyDescent="0.45">
      <c r="A306" t="s">
        <v>1615</v>
      </c>
      <c r="B306" t="s">
        <v>1616</v>
      </c>
      <c r="C306" t="s">
        <v>1617</v>
      </c>
      <c r="D306">
        <v>2025</v>
      </c>
      <c r="E306" t="s">
        <v>45</v>
      </c>
      <c r="F306" t="s">
        <v>46</v>
      </c>
      <c r="G306">
        <v>12</v>
      </c>
      <c r="J306" t="s">
        <v>1643</v>
      </c>
      <c r="K306" t="s">
        <v>1644</v>
      </c>
      <c r="L306" t="s">
        <v>1645</v>
      </c>
      <c r="M306" t="s">
        <v>1646</v>
      </c>
      <c r="N306" t="s">
        <v>1622</v>
      </c>
      <c r="O306" t="s">
        <v>1623</v>
      </c>
      <c r="P306" t="s">
        <v>223</v>
      </c>
      <c r="Q306" t="s">
        <v>1624</v>
      </c>
      <c r="S306">
        <v>3</v>
      </c>
      <c r="T306" t="s">
        <v>1647</v>
      </c>
      <c r="U306">
        <v>9041</v>
      </c>
      <c r="V306">
        <v>8644</v>
      </c>
      <c r="W306">
        <v>1.0459000000000001</v>
      </c>
      <c r="X306" t="s">
        <v>70</v>
      </c>
      <c r="Y306" t="s">
        <v>1626</v>
      </c>
      <c r="Z306">
        <v>234.73</v>
      </c>
      <c r="AA306">
        <v>19559.27</v>
      </c>
      <c r="AB306">
        <v>4591131</v>
      </c>
      <c r="AC306" t="b">
        <v>1</v>
      </c>
      <c r="AD306" t="b">
        <v>1</v>
      </c>
      <c r="AE306" t="b">
        <v>0</v>
      </c>
      <c r="AF306" t="b">
        <v>0</v>
      </c>
      <c r="AG306" t="s">
        <v>58</v>
      </c>
      <c r="AH306">
        <v>20</v>
      </c>
      <c r="AI306" t="s">
        <v>59</v>
      </c>
      <c r="AJ306" t="s">
        <v>71</v>
      </c>
      <c r="AL306" t="s">
        <v>72</v>
      </c>
      <c r="AM306" t="s">
        <v>62</v>
      </c>
      <c r="AN306" t="s">
        <v>63</v>
      </c>
      <c r="AO306" t="s">
        <v>1627</v>
      </c>
      <c r="AP306" t="s">
        <v>1644</v>
      </c>
    </row>
    <row r="307" spans="1:42" x14ac:dyDescent="0.45">
      <c r="A307" t="s">
        <v>1615</v>
      </c>
      <c r="B307" t="s">
        <v>1616</v>
      </c>
      <c r="C307" t="s">
        <v>1617</v>
      </c>
      <c r="D307">
        <v>2025</v>
      </c>
      <c r="E307" t="s">
        <v>45</v>
      </c>
      <c r="F307" t="s">
        <v>46</v>
      </c>
      <c r="G307">
        <v>5</v>
      </c>
      <c r="J307" t="s">
        <v>1648</v>
      </c>
      <c r="K307" t="s">
        <v>1649</v>
      </c>
      <c r="L307" t="s">
        <v>1650</v>
      </c>
      <c r="M307" t="s">
        <v>1651</v>
      </c>
      <c r="N307" t="s">
        <v>1622</v>
      </c>
      <c r="O307" t="s">
        <v>1623</v>
      </c>
      <c r="P307" t="s">
        <v>223</v>
      </c>
      <c r="Q307" t="s">
        <v>1624</v>
      </c>
      <c r="S307">
        <v>10</v>
      </c>
      <c r="T307" t="s">
        <v>1652</v>
      </c>
      <c r="U307">
        <v>6447</v>
      </c>
      <c r="V307">
        <v>8644</v>
      </c>
      <c r="W307">
        <v>0.74580000000000002</v>
      </c>
      <c r="X307" t="s">
        <v>70</v>
      </c>
      <c r="Y307" t="s">
        <v>1626</v>
      </c>
      <c r="Z307">
        <v>283.73</v>
      </c>
      <c r="AA307">
        <v>15124.69</v>
      </c>
      <c r="AB307">
        <v>4291316</v>
      </c>
      <c r="AC307" t="b">
        <v>1</v>
      </c>
      <c r="AD307" t="b">
        <v>1</v>
      </c>
      <c r="AE307" t="b">
        <v>0</v>
      </c>
      <c r="AF307" t="b">
        <v>0</v>
      </c>
      <c r="AG307" t="s">
        <v>58</v>
      </c>
      <c r="AH307">
        <v>20</v>
      </c>
      <c r="AI307" t="s">
        <v>59</v>
      </c>
      <c r="AJ307" t="s">
        <v>71</v>
      </c>
      <c r="AL307" t="s">
        <v>72</v>
      </c>
      <c r="AM307" t="s">
        <v>62</v>
      </c>
      <c r="AN307" t="s">
        <v>63</v>
      </c>
      <c r="AO307" t="s">
        <v>1627</v>
      </c>
      <c r="AP307" t="s">
        <v>1649</v>
      </c>
    </row>
    <row r="308" spans="1:42" x14ac:dyDescent="0.45">
      <c r="A308" t="s">
        <v>1615</v>
      </c>
      <c r="B308" t="s">
        <v>1616</v>
      </c>
      <c r="C308" t="s">
        <v>1617</v>
      </c>
      <c r="D308">
        <v>2025</v>
      </c>
      <c r="E308" t="s">
        <v>45</v>
      </c>
      <c r="F308" t="s">
        <v>46</v>
      </c>
      <c r="G308">
        <v>8</v>
      </c>
      <c r="J308" t="s">
        <v>1653</v>
      </c>
      <c r="K308" t="s">
        <v>1654</v>
      </c>
      <c r="L308" t="s">
        <v>1655</v>
      </c>
      <c r="M308" t="s">
        <v>1656</v>
      </c>
      <c r="N308" t="s">
        <v>1622</v>
      </c>
      <c r="O308" t="s">
        <v>1623</v>
      </c>
      <c r="P308" t="s">
        <v>223</v>
      </c>
      <c r="Q308" t="s">
        <v>1624</v>
      </c>
      <c r="S308">
        <v>7</v>
      </c>
      <c r="T308" t="s">
        <v>1657</v>
      </c>
      <c r="U308">
        <v>8495</v>
      </c>
      <c r="V308">
        <v>8644</v>
      </c>
      <c r="W308">
        <v>0.98280000000000001</v>
      </c>
      <c r="X308" t="s">
        <v>70</v>
      </c>
      <c r="Y308" t="s">
        <v>1626</v>
      </c>
      <c r="Z308">
        <v>262.73</v>
      </c>
      <c r="AA308">
        <v>15997.49</v>
      </c>
      <c r="AB308">
        <v>4203007</v>
      </c>
      <c r="AC308" t="b">
        <v>1</v>
      </c>
      <c r="AD308" t="b">
        <v>1</v>
      </c>
      <c r="AE308" t="b">
        <v>0</v>
      </c>
      <c r="AF308" t="b">
        <v>0</v>
      </c>
      <c r="AG308" t="s">
        <v>58</v>
      </c>
      <c r="AH308">
        <v>20</v>
      </c>
      <c r="AI308" t="s">
        <v>59</v>
      </c>
      <c r="AJ308" t="s">
        <v>71</v>
      </c>
      <c r="AL308" t="s">
        <v>72</v>
      </c>
      <c r="AM308" t="s">
        <v>62</v>
      </c>
      <c r="AN308" t="s">
        <v>63</v>
      </c>
      <c r="AO308" t="s">
        <v>1627</v>
      </c>
      <c r="AP308" t="s">
        <v>1654</v>
      </c>
    </row>
    <row r="309" spans="1:42" x14ac:dyDescent="0.45">
      <c r="A309" t="s">
        <v>1615</v>
      </c>
      <c r="B309" t="s">
        <v>1616</v>
      </c>
      <c r="C309" t="s">
        <v>1617</v>
      </c>
      <c r="D309">
        <v>2025</v>
      </c>
      <c r="E309" t="s">
        <v>45</v>
      </c>
      <c r="F309" t="s">
        <v>46</v>
      </c>
      <c r="G309">
        <v>7</v>
      </c>
      <c r="J309" t="s">
        <v>1658</v>
      </c>
      <c r="K309" t="s">
        <v>1659</v>
      </c>
      <c r="L309" t="s">
        <v>1660</v>
      </c>
      <c r="M309" t="s">
        <v>1661</v>
      </c>
      <c r="N309" t="s">
        <v>1622</v>
      </c>
      <c r="O309" t="s">
        <v>1623</v>
      </c>
      <c r="P309" t="s">
        <v>223</v>
      </c>
      <c r="Q309" t="s">
        <v>1624</v>
      </c>
      <c r="S309">
        <v>8</v>
      </c>
      <c r="T309" t="s">
        <v>1662</v>
      </c>
      <c r="U309">
        <v>6346</v>
      </c>
      <c r="V309">
        <v>8644</v>
      </c>
      <c r="W309">
        <v>0.73419999999999996</v>
      </c>
      <c r="X309" t="s">
        <v>70</v>
      </c>
      <c r="Y309" t="s">
        <v>1626</v>
      </c>
      <c r="Z309">
        <v>269.73</v>
      </c>
      <c r="AA309">
        <v>15624.38</v>
      </c>
      <c r="AB309">
        <v>4214350</v>
      </c>
      <c r="AC309" t="b">
        <v>1</v>
      </c>
      <c r="AD309" t="b">
        <v>1</v>
      </c>
      <c r="AE309" t="b">
        <v>0</v>
      </c>
      <c r="AF309" t="b">
        <v>0</v>
      </c>
      <c r="AG309" t="s">
        <v>58</v>
      </c>
      <c r="AH309">
        <v>20</v>
      </c>
      <c r="AI309" t="s">
        <v>59</v>
      </c>
      <c r="AJ309" t="s">
        <v>71</v>
      </c>
      <c r="AL309" t="s">
        <v>72</v>
      </c>
      <c r="AM309" t="s">
        <v>62</v>
      </c>
      <c r="AN309" t="s">
        <v>63</v>
      </c>
      <c r="AO309" t="s">
        <v>1627</v>
      </c>
      <c r="AP309" t="s">
        <v>1659</v>
      </c>
    </row>
    <row r="310" spans="1:42" x14ac:dyDescent="0.45">
      <c r="A310" t="s">
        <v>1615</v>
      </c>
      <c r="B310" t="s">
        <v>1616</v>
      </c>
      <c r="C310" t="s">
        <v>1617</v>
      </c>
      <c r="D310">
        <v>2025</v>
      </c>
      <c r="E310" t="s">
        <v>45</v>
      </c>
      <c r="F310" t="s">
        <v>46</v>
      </c>
      <c r="G310">
        <v>13</v>
      </c>
      <c r="J310" t="s">
        <v>1663</v>
      </c>
      <c r="K310" t="s">
        <v>1664</v>
      </c>
      <c r="L310" t="s">
        <v>1665</v>
      </c>
      <c r="M310" t="s">
        <v>1666</v>
      </c>
      <c r="N310" t="s">
        <v>1622</v>
      </c>
      <c r="O310" t="s">
        <v>1623</v>
      </c>
      <c r="P310" t="s">
        <v>223</v>
      </c>
      <c r="Q310" t="s">
        <v>1624</v>
      </c>
      <c r="S310">
        <v>2</v>
      </c>
      <c r="T310" t="s">
        <v>1667</v>
      </c>
      <c r="U310">
        <v>6704</v>
      </c>
      <c r="V310">
        <v>8644</v>
      </c>
      <c r="W310">
        <v>0.77559999999999996</v>
      </c>
      <c r="X310" t="s">
        <v>70</v>
      </c>
      <c r="Y310" t="s">
        <v>1626</v>
      </c>
      <c r="Z310">
        <v>227.73</v>
      </c>
      <c r="AA310">
        <v>19363.09</v>
      </c>
      <c r="AB310">
        <v>4409539</v>
      </c>
      <c r="AC310" t="b">
        <v>1</v>
      </c>
      <c r="AD310" t="b">
        <v>1</v>
      </c>
      <c r="AE310" t="b">
        <v>0</v>
      </c>
      <c r="AF310" t="b">
        <v>0</v>
      </c>
      <c r="AG310" t="s">
        <v>58</v>
      </c>
      <c r="AH310">
        <v>20</v>
      </c>
      <c r="AI310" t="s">
        <v>59</v>
      </c>
      <c r="AJ310" t="s">
        <v>71</v>
      </c>
      <c r="AL310" t="s">
        <v>72</v>
      </c>
      <c r="AM310" t="s">
        <v>62</v>
      </c>
      <c r="AN310" t="s">
        <v>63</v>
      </c>
      <c r="AO310" t="s">
        <v>1627</v>
      </c>
      <c r="AP310" t="s">
        <v>1664</v>
      </c>
    </row>
    <row r="311" spans="1:42" x14ac:dyDescent="0.45">
      <c r="A311" t="s">
        <v>1615</v>
      </c>
      <c r="B311" t="s">
        <v>1616</v>
      </c>
      <c r="C311" t="s">
        <v>1617</v>
      </c>
      <c r="D311">
        <v>2025</v>
      </c>
      <c r="E311" t="s">
        <v>45</v>
      </c>
      <c r="F311" t="s">
        <v>46</v>
      </c>
      <c r="G311">
        <v>6</v>
      </c>
      <c r="J311" t="s">
        <v>1668</v>
      </c>
      <c r="K311" t="s">
        <v>1669</v>
      </c>
      <c r="L311" t="s">
        <v>1670</v>
      </c>
      <c r="M311" t="s">
        <v>1671</v>
      </c>
      <c r="N311" t="s">
        <v>1622</v>
      </c>
      <c r="O311" t="s">
        <v>1623</v>
      </c>
      <c r="P311" t="s">
        <v>223</v>
      </c>
      <c r="Q311" t="s">
        <v>1624</v>
      </c>
      <c r="S311">
        <v>9</v>
      </c>
      <c r="T311" t="s">
        <v>1672</v>
      </c>
      <c r="U311">
        <v>9182</v>
      </c>
      <c r="V311">
        <v>8644</v>
      </c>
      <c r="W311">
        <v>1.0622</v>
      </c>
      <c r="X311" t="s">
        <v>70</v>
      </c>
      <c r="Y311" t="s">
        <v>1626</v>
      </c>
      <c r="Z311">
        <v>276.73</v>
      </c>
      <c r="AA311">
        <v>16579.189999999999</v>
      </c>
      <c r="AB311">
        <v>4587945</v>
      </c>
      <c r="AC311" t="b">
        <v>1</v>
      </c>
      <c r="AD311" t="b">
        <v>1</v>
      </c>
      <c r="AE311" t="b">
        <v>0</v>
      </c>
      <c r="AF311" t="b">
        <v>0</v>
      </c>
      <c r="AG311" t="s">
        <v>58</v>
      </c>
      <c r="AH311">
        <v>20</v>
      </c>
      <c r="AI311" t="s">
        <v>59</v>
      </c>
      <c r="AJ311" t="s">
        <v>71</v>
      </c>
      <c r="AL311" t="s">
        <v>72</v>
      </c>
      <c r="AM311" t="s">
        <v>62</v>
      </c>
      <c r="AN311" t="s">
        <v>63</v>
      </c>
      <c r="AO311" t="s">
        <v>1627</v>
      </c>
      <c r="AP311" t="s">
        <v>1669</v>
      </c>
    </row>
    <row r="312" spans="1:42" x14ac:dyDescent="0.45">
      <c r="A312" t="s">
        <v>1615</v>
      </c>
      <c r="B312" t="s">
        <v>1616</v>
      </c>
      <c r="C312" t="s">
        <v>1617</v>
      </c>
      <c r="D312">
        <v>2025</v>
      </c>
      <c r="E312" t="s">
        <v>45</v>
      </c>
      <c r="F312" t="s">
        <v>46</v>
      </c>
      <c r="J312" t="s">
        <v>1673</v>
      </c>
      <c r="K312" t="s">
        <v>1674</v>
      </c>
      <c r="L312" t="s">
        <v>1675</v>
      </c>
      <c r="M312" t="s">
        <v>1676</v>
      </c>
      <c r="N312" t="s">
        <v>1677</v>
      </c>
      <c r="O312" t="s">
        <v>1678</v>
      </c>
      <c r="P312" t="s">
        <v>293</v>
      </c>
      <c r="Q312" t="s">
        <v>1624</v>
      </c>
      <c r="S312">
        <v>15</v>
      </c>
      <c r="T312" t="s">
        <v>1679</v>
      </c>
      <c r="U312">
        <v>266</v>
      </c>
      <c r="V312">
        <v>8644</v>
      </c>
      <c r="W312">
        <v>3.0800000000000001E-2</v>
      </c>
      <c r="X312" t="s">
        <v>56</v>
      </c>
      <c r="Y312" t="s">
        <v>1626</v>
      </c>
      <c r="Z312">
        <v>322.77999999999997</v>
      </c>
      <c r="AA312">
        <v>7000.24</v>
      </c>
      <c r="AB312">
        <v>2259526</v>
      </c>
      <c r="AC312" t="b">
        <v>0</v>
      </c>
      <c r="AD312" t="b">
        <v>0</v>
      </c>
      <c r="AE312" t="b">
        <v>0</v>
      </c>
      <c r="AF312" t="b">
        <v>0</v>
      </c>
      <c r="AG312" t="s">
        <v>58</v>
      </c>
      <c r="AH312">
        <v>10</v>
      </c>
      <c r="AI312" t="s">
        <v>169</v>
      </c>
      <c r="AJ312" t="s">
        <v>60</v>
      </c>
      <c r="AL312" t="s">
        <v>1680</v>
      </c>
      <c r="AM312" t="s">
        <v>62</v>
      </c>
      <c r="AN312" t="s">
        <v>63</v>
      </c>
      <c r="AO312" t="s">
        <v>1627</v>
      </c>
      <c r="AP312" t="s">
        <v>1674</v>
      </c>
    </row>
    <row r="313" spans="1:42" x14ac:dyDescent="0.45">
      <c r="A313" t="s">
        <v>1615</v>
      </c>
      <c r="B313" t="s">
        <v>1616</v>
      </c>
      <c r="C313" t="s">
        <v>1617</v>
      </c>
      <c r="D313">
        <v>2025</v>
      </c>
      <c r="E313" t="s">
        <v>45</v>
      </c>
      <c r="F313" t="s">
        <v>46</v>
      </c>
      <c r="G313">
        <v>2</v>
      </c>
      <c r="J313" t="s">
        <v>1681</v>
      </c>
      <c r="K313" t="s">
        <v>1682</v>
      </c>
      <c r="L313" t="s">
        <v>1683</v>
      </c>
      <c r="M313" t="s">
        <v>1684</v>
      </c>
      <c r="N313" t="s">
        <v>1622</v>
      </c>
      <c r="O313" t="s">
        <v>1623</v>
      </c>
      <c r="P313" t="s">
        <v>223</v>
      </c>
      <c r="Q313" t="s">
        <v>1624</v>
      </c>
      <c r="S313">
        <v>13</v>
      </c>
      <c r="T313" t="s">
        <v>1685</v>
      </c>
      <c r="U313">
        <v>6517</v>
      </c>
      <c r="V313">
        <v>8644</v>
      </c>
      <c r="W313">
        <v>0.75390000000000001</v>
      </c>
      <c r="X313" t="s">
        <v>70</v>
      </c>
      <c r="Y313" t="s">
        <v>1626</v>
      </c>
      <c r="Z313">
        <v>304.73</v>
      </c>
      <c r="AA313">
        <v>18270.64</v>
      </c>
      <c r="AB313">
        <v>5567597</v>
      </c>
      <c r="AC313" t="b">
        <v>1</v>
      </c>
      <c r="AD313" t="b">
        <v>1</v>
      </c>
      <c r="AE313" t="b">
        <v>0</v>
      </c>
      <c r="AF313" t="b">
        <v>0</v>
      </c>
      <c r="AG313" t="s">
        <v>58</v>
      </c>
      <c r="AH313">
        <v>20</v>
      </c>
      <c r="AI313" t="s">
        <v>59</v>
      </c>
      <c r="AJ313" t="s">
        <v>71</v>
      </c>
      <c r="AL313" t="s">
        <v>72</v>
      </c>
      <c r="AM313" t="s">
        <v>62</v>
      </c>
      <c r="AN313" t="s">
        <v>63</v>
      </c>
      <c r="AO313" t="s">
        <v>1627</v>
      </c>
      <c r="AP313" t="s">
        <v>1682</v>
      </c>
    </row>
    <row r="314" spans="1:42" x14ac:dyDescent="0.45">
      <c r="A314" t="s">
        <v>1615</v>
      </c>
      <c r="B314" t="s">
        <v>1616</v>
      </c>
      <c r="C314" t="s">
        <v>1617</v>
      </c>
      <c r="D314">
        <v>2025</v>
      </c>
      <c r="E314" t="s">
        <v>45</v>
      </c>
      <c r="F314" t="s">
        <v>46</v>
      </c>
      <c r="G314">
        <v>10</v>
      </c>
      <c r="J314" t="s">
        <v>1686</v>
      </c>
      <c r="K314" t="s">
        <v>1687</v>
      </c>
      <c r="L314" t="s">
        <v>1688</v>
      </c>
      <c r="M314" t="s">
        <v>1689</v>
      </c>
      <c r="N314" t="s">
        <v>1622</v>
      </c>
      <c r="O314" t="s">
        <v>1623</v>
      </c>
      <c r="P314" t="s">
        <v>223</v>
      </c>
      <c r="Q314" t="s">
        <v>1624</v>
      </c>
      <c r="S314">
        <v>5</v>
      </c>
      <c r="T314" t="s">
        <v>1690</v>
      </c>
      <c r="U314">
        <v>10006</v>
      </c>
      <c r="V314">
        <v>8644</v>
      </c>
      <c r="W314">
        <v>1.1576</v>
      </c>
      <c r="X314" t="s">
        <v>70</v>
      </c>
      <c r="Y314" t="s">
        <v>1626</v>
      </c>
      <c r="Z314">
        <v>248.73</v>
      </c>
      <c r="AA314">
        <v>17358.02</v>
      </c>
      <c r="AB314">
        <v>4317444</v>
      </c>
      <c r="AC314" t="b">
        <v>1</v>
      </c>
      <c r="AD314" t="b">
        <v>1</v>
      </c>
      <c r="AE314" t="b">
        <v>0</v>
      </c>
      <c r="AF314" t="b">
        <v>0</v>
      </c>
      <c r="AG314" t="s">
        <v>58</v>
      </c>
      <c r="AH314">
        <v>20</v>
      </c>
      <c r="AI314" t="s">
        <v>59</v>
      </c>
      <c r="AJ314" t="s">
        <v>71</v>
      </c>
      <c r="AL314" t="s">
        <v>72</v>
      </c>
      <c r="AM314" t="s">
        <v>62</v>
      </c>
      <c r="AN314" t="s">
        <v>63</v>
      </c>
      <c r="AO314" t="s">
        <v>1627</v>
      </c>
      <c r="AP314" t="s">
        <v>1687</v>
      </c>
    </row>
    <row r="315" spans="1:42" x14ac:dyDescent="0.45">
      <c r="A315" t="s">
        <v>1615</v>
      </c>
      <c r="B315" t="s">
        <v>1616</v>
      </c>
      <c r="C315" t="s">
        <v>1617</v>
      </c>
      <c r="D315">
        <v>2025</v>
      </c>
      <c r="E315" t="s">
        <v>45</v>
      </c>
      <c r="F315" t="s">
        <v>46</v>
      </c>
      <c r="G315">
        <v>1</v>
      </c>
      <c r="J315" t="s">
        <v>1691</v>
      </c>
      <c r="K315" t="s">
        <v>1692</v>
      </c>
      <c r="L315" t="s">
        <v>1693</v>
      </c>
      <c r="M315" t="s">
        <v>1694</v>
      </c>
      <c r="N315" t="s">
        <v>1622</v>
      </c>
      <c r="O315" t="s">
        <v>1623</v>
      </c>
      <c r="P315" t="s">
        <v>223</v>
      </c>
      <c r="Q315" t="s">
        <v>1624</v>
      </c>
      <c r="S315">
        <v>14</v>
      </c>
      <c r="T315" t="s">
        <v>1695</v>
      </c>
      <c r="U315">
        <v>9336</v>
      </c>
      <c r="V315">
        <v>8644</v>
      </c>
      <c r="W315">
        <v>1.0801000000000001</v>
      </c>
      <c r="X315" t="s">
        <v>70</v>
      </c>
      <c r="Y315" t="s">
        <v>1626</v>
      </c>
      <c r="Z315">
        <v>311.73</v>
      </c>
      <c r="AA315">
        <v>22582.51</v>
      </c>
      <c r="AB315">
        <v>7039627</v>
      </c>
      <c r="AC315" t="b">
        <v>1</v>
      </c>
      <c r="AD315" t="b">
        <v>1</v>
      </c>
      <c r="AE315" t="b">
        <v>0</v>
      </c>
      <c r="AF315" t="b">
        <v>0</v>
      </c>
      <c r="AG315" t="s">
        <v>58</v>
      </c>
      <c r="AH315">
        <v>20</v>
      </c>
      <c r="AI315" t="s">
        <v>59</v>
      </c>
      <c r="AJ315" t="s">
        <v>71</v>
      </c>
      <c r="AL315" t="s">
        <v>72</v>
      </c>
      <c r="AM315" t="s">
        <v>62</v>
      </c>
      <c r="AN315" t="s">
        <v>63</v>
      </c>
      <c r="AO315" t="s">
        <v>1627</v>
      </c>
      <c r="AP315" t="s">
        <v>1692</v>
      </c>
    </row>
    <row r="316" spans="1:42" x14ac:dyDescent="0.45">
      <c r="A316" t="s">
        <v>1615</v>
      </c>
      <c r="B316" t="s">
        <v>1616</v>
      </c>
      <c r="C316" t="s">
        <v>1617</v>
      </c>
      <c r="D316">
        <v>2025</v>
      </c>
      <c r="E316" t="s">
        <v>45</v>
      </c>
      <c r="F316" t="s">
        <v>46</v>
      </c>
      <c r="G316">
        <v>4</v>
      </c>
      <c r="J316" t="s">
        <v>1696</v>
      </c>
      <c r="K316" t="s">
        <v>1697</v>
      </c>
      <c r="L316" t="s">
        <v>1698</v>
      </c>
      <c r="M316" t="s">
        <v>1699</v>
      </c>
      <c r="N316" t="s">
        <v>1622</v>
      </c>
      <c r="O316" t="s">
        <v>1623</v>
      </c>
      <c r="P316" t="s">
        <v>223</v>
      </c>
      <c r="Q316" t="s">
        <v>1624</v>
      </c>
      <c r="S316">
        <v>11</v>
      </c>
      <c r="T316" t="s">
        <v>1700</v>
      </c>
      <c r="U316">
        <v>7995</v>
      </c>
      <c r="V316">
        <v>8644</v>
      </c>
      <c r="W316">
        <v>0.92490000000000006</v>
      </c>
      <c r="X316" t="s">
        <v>70</v>
      </c>
      <c r="Y316" t="s">
        <v>1626</v>
      </c>
      <c r="Z316">
        <v>290.73</v>
      </c>
      <c r="AA316">
        <v>16616.89</v>
      </c>
      <c r="AB316">
        <v>4831015</v>
      </c>
      <c r="AC316" t="b">
        <v>1</v>
      </c>
      <c r="AD316" t="b">
        <v>1</v>
      </c>
      <c r="AE316" t="b">
        <v>0</v>
      </c>
      <c r="AF316" t="b">
        <v>0</v>
      </c>
      <c r="AG316" t="s">
        <v>58</v>
      </c>
      <c r="AH316">
        <v>20</v>
      </c>
      <c r="AI316" t="s">
        <v>59</v>
      </c>
      <c r="AJ316" t="s">
        <v>71</v>
      </c>
      <c r="AL316" t="s">
        <v>72</v>
      </c>
      <c r="AM316" t="s">
        <v>62</v>
      </c>
      <c r="AN316" t="s">
        <v>63</v>
      </c>
      <c r="AO316" t="s">
        <v>1627</v>
      </c>
      <c r="AP316" t="s">
        <v>1697</v>
      </c>
    </row>
    <row r="317" spans="1:42" x14ac:dyDescent="0.45">
      <c r="A317" t="s">
        <v>1615</v>
      </c>
      <c r="B317" t="s">
        <v>1616</v>
      </c>
      <c r="C317" t="s">
        <v>1617</v>
      </c>
      <c r="D317">
        <v>2025</v>
      </c>
      <c r="E317" t="s">
        <v>45</v>
      </c>
      <c r="F317" t="s">
        <v>46</v>
      </c>
      <c r="G317">
        <v>11</v>
      </c>
      <c r="J317" t="s">
        <v>1701</v>
      </c>
      <c r="K317" t="s">
        <v>1702</v>
      </c>
      <c r="L317" t="s">
        <v>1703</v>
      </c>
      <c r="M317" t="s">
        <v>1704</v>
      </c>
      <c r="N317" t="s">
        <v>1622</v>
      </c>
      <c r="O317" t="s">
        <v>1623</v>
      </c>
      <c r="P317" t="s">
        <v>223</v>
      </c>
      <c r="Q317" t="s">
        <v>1624</v>
      </c>
      <c r="S317">
        <v>4</v>
      </c>
      <c r="T317" t="s">
        <v>1705</v>
      </c>
      <c r="U317">
        <v>8644</v>
      </c>
      <c r="V317">
        <v>8644</v>
      </c>
      <c r="W317">
        <v>1</v>
      </c>
      <c r="X317" t="s">
        <v>70</v>
      </c>
      <c r="Y317" t="s">
        <v>1626</v>
      </c>
      <c r="Z317">
        <v>241.73</v>
      </c>
      <c r="AA317">
        <v>18111.25</v>
      </c>
      <c r="AB317">
        <v>4378018</v>
      </c>
      <c r="AC317" t="b">
        <v>1</v>
      </c>
      <c r="AD317" t="b">
        <v>1</v>
      </c>
      <c r="AE317" t="b">
        <v>0</v>
      </c>
      <c r="AF317" t="b">
        <v>0</v>
      </c>
      <c r="AG317" t="s">
        <v>58</v>
      </c>
      <c r="AH317">
        <v>20</v>
      </c>
      <c r="AI317" t="s">
        <v>59</v>
      </c>
      <c r="AJ317" t="s">
        <v>71</v>
      </c>
      <c r="AL317" t="s">
        <v>72</v>
      </c>
      <c r="AM317" t="s">
        <v>62</v>
      </c>
      <c r="AN317" t="s">
        <v>63</v>
      </c>
      <c r="AO317" t="s">
        <v>1627</v>
      </c>
      <c r="AP317" t="s">
        <v>1702</v>
      </c>
    </row>
    <row r="318" spans="1:42" x14ac:dyDescent="0.45">
      <c r="A318" t="s">
        <v>1615</v>
      </c>
      <c r="B318" t="s">
        <v>1616</v>
      </c>
      <c r="C318" t="s">
        <v>1617</v>
      </c>
      <c r="D318">
        <v>2025</v>
      </c>
      <c r="E318" t="s">
        <v>45</v>
      </c>
      <c r="F318" t="s">
        <v>46</v>
      </c>
      <c r="G318">
        <v>15</v>
      </c>
      <c r="J318" t="s">
        <v>1706</v>
      </c>
      <c r="K318" t="s">
        <v>1707</v>
      </c>
      <c r="L318" t="s">
        <v>1708</v>
      </c>
      <c r="M318" t="s">
        <v>1709</v>
      </c>
      <c r="N318" t="s">
        <v>1622</v>
      </c>
      <c r="O318" t="s">
        <v>1623</v>
      </c>
      <c r="P318" t="s">
        <v>223</v>
      </c>
      <c r="Q318" t="s">
        <v>1624</v>
      </c>
      <c r="S318">
        <v>0</v>
      </c>
      <c r="T318" t="s">
        <v>1710</v>
      </c>
      <c r="U318">
        <v>9994</v>
      </c>
      <c r="V318">
        <v>8644</v>
      </c>
      <c r="W318">
        <v>1.1561999999999999</v>
      </c>
      <c r="X318" t="s">
        <v>70</v>
      </c>
      <c r="Y318" t="s">
        <v>1626</v>
      </c>
      <c r="Z318">
        <v>206.73</v>
      </c>
      <c r="AA318">
        <v>20661.03</v>
      </c>
      <c r="AB318">
        <v>4271236</v>
      </c>
      <c r="AC318" t="b">
        <v>1</v>
      </c>
      <c r="AD318" t="b">
        <v>1</v>
      </c>
      <c r="AE318" t="b">
        <v>0</v>
      </c>
      <c r="AF318" t="b">
        <v>0</v>
      </c>
      <c r="AG318" t="s">
        <v>58</v>
      </c>
      <c r="AH318">
        <v>20</v>
      </c>
      <c r="AI318" t="s">
        <v>59</v>
      </c>
      <c r="AJ318" t="s">
        <v>71</v>
      </c>
      <c r="AL318" t="s">
        <v>72</v>
      </c>
      <c r="AM318" t="s">
        <v>62</v>
      </c>
      <c r="AN318" t="s">
        <v>63</v>
      </c>
      <c r="AO318" t="s">
        <v>1627</v>
      </c>
      <c r="AP318" t="s">
        <v>1707</v>
      </c>
    </row>
    <row r="319" spans="1:42" x14ac:dyDescent="0.45">
      <c r="A319" t="s">
        <v>1711</v>
      </c>
      <c r="B319" t="s">
        <v>1712</v>
      </c>
      <c r="C319" t="s">
        <v>1713</v>
      </c>
      <c r="D319">
        <v>2024</v>
      </c>
      <c r="E319" t="s">
        <v>45</v>
      </c>
      <c r="F319" t="s">
        <v>46</v>
      </c>
      <c r="G319">
        <v>12</v>
      </c>
      <c r="J319" t="s">
        <v>1714</v>
      </c>
      <c r="K319" t="s">
        <v>1715</v>
      </c>
      <c r="L319" t="s">
        <v>1716</v>
      </c>
      <c r="M319" t="s">
        <v>1717</v>
      </c>
      <c r="N319" t="s">
        <v>221</v>
      </c>
      <c r="O319" t="s">
        <v>222</v>
      </c>
      <c r="P319" t="s">
        <v>223</v>
      </c>
      <c r="Q319" t="s">
        <v>1718</v>
      </c>
      <c r="S319">
        <v>3</v>
      </c>
      <c r="T319" t="s">
        <v>1719</v>
      </c>
      <c r="U319">
        <v>10109</v>
      </c>
      <c r="V319">
        <v>6818</v>
      </c>
      <c r="W319">
        <v>1.4826999999999999</v>
      </c>
      <c r="X319" t="s">
        <v>70</v>
      </c>
      <c r="Y319" t="s">
        <v>1720</v>
      </c>
      <c r="Z319">
        <v>632.69000000000005</v>
      </c>
      <c r="AA319">
        <v>5359.65</v>
      </c>
      <c r="AB319">
        <v>3390986</v>
      </c>
      <c r="AC319" t="b">
        <v>1</v>
      </c>
      <c r="AD319" t="b">
        <v>1</v>
      </c>
      <c r="AE319" t="b">
        <v>0</v>
      </c>
      <c r="AF319" t="b">
        <v>0</v>
      </c>
      <c r="AG319" t="s">
        <v>58</v>
      </c>
      <c r="AH319">
        <v>20</v>
      </c>
      <c r="AI319" t="s">
        <v>59</v>
      </c>
      <c r="AJ319" t="s">
        <v>71</v>
      </c>
      <c r="AL319" t="s">
        <v>72</v>
      </c>
      <c r="AM319" t="s">
        <v>62</v>
      </c>
      <c r="AN319" t="s">
        <v>63</v>
      </c>
      <c r="AO319" t="s">
        <v>1721</v>
      </c>
      <c r="AP319" t="s">
        <v>1715</v>
      </c>
    </row>
    <row r="320" spans="1:42" x14ac:dyDescent="0.45">
      <c r="A320" t="s">
        <v>1711</v>
      </c>
      <c r="B320" t="s">
        <v>1712</v>
      </c>
      <c r="C320" t="s">
        <v>1713</v>
      </c>
      <c r="D320">
        <v>2024</v>
      </c>
      <c r="E320" t="s">
        <v>45</v>
      </c>
      <c r="F320" t="s">
        <v>46</v>
      </c>
      <c r="G320">
        <v>7</v>
      </c>
      <c r="J320" t="s">
        <v>1722</v>
      </c>
      <c r="K320" t="s">
        <v>1723</v>
      </c>
      <c r="L320" t="s">
        <v>1724</v>
      </c>
      <c r="M320" t="s">
        <v>1725</v>
      </c>
      <c r="N320" t="s">
        <v>221</v>
      </c>
      <c r="O320" t="s">
        <v>222</v>
      </c>
      <c r="P320" t="s">
        <v>223</v>
      </c>
      <c r="Q320" t="s">
        <v>1718</v>
      </c>
      <c r="S320">
        <v>8</v>
      </c>
      <c r="T320" t="s">
        <v>1726</v>
      </c>
      <c r="U320">
        <v>5680</v>
      </c>
      <c r="V320">
        <v>6818</v>
      </c>
      <c r="W320">
        <v>0.83309999999999995</v>
      </c>
      <c r="X320" t="s">
        <v>70</v>
      </c>
      <c r="Y320" t="s">
        <v>1720</v>
      </c>
      <c r="Z320">
        <v>667.69</v>
      </c>
      <c r="AA320">
        <v>4107.6899999999996</v>
      </c>
      <c r="AB320">
        <v>2742653</v>
      </c>
      <c r="AC320" t="b">
        <v>1</v>
      </c>
      <c r="AD320" t="b">
        <v>1</v>
      </c>
      <c r="AE320" t="b">
        <v>0</v>
      </c>
      <c r="AF320" t="b">
        <v>0</v>
      </c>
      <c r="AG320" t="s">
        <v>58</v>
      </c>
      <c r="AH320">
        <v>20</v>
      </c>
      <c r="AI320" t="s">
        <v>59</v>
      </c>
      <c r="AJ320" t="s">
        <v>71</v>
      </c>
      <c r="AL320" t="s">
        <v>72</v>
      </c>
      <c r="AM320" t="s">
        <v>62</v>
      </c>
      <c r="AN320" t="s">
        <v>63</v>
      </c>
      <c r="AO320" t="s">
        <v>1721</v>
      </c>
      <c r="AP320" t="s">
        <v>1723</v>
      </c>
    </row>
    <row r="321" spans="1:42" x14ac:dyDescent="0.45">
      <c r="A321" t="s">
        <v>1711</v>
      </c>
      <c r="B321" t="s">
        <v>1712</v>
      </c>
      <c r="C321" t="s">
        <v>1713</v>
      </c>
      <c r="D321">
        <v>2024</v>
      </c>
      <c r="E321" t="s">
        <v>45</v>
      </c>
      <c r="F321" t="s">
        <v>46</v>
      </c>
      <c r="G321">
        <v>11</v>
      </c>
      <c r="J321" t="s">
        <v>1727</v>
      </c>
      <c r="K321" t="s">
        <v>1728</v>
      </c>
      <c r="L321" t="s">
        <v>1729</v>
      </c>
      <c r="M321" t="s">
        <v>1730</v>
      </c>
      <c r="N321" t="s">
        <v>221</v>
      </c>
      <c r="O321" t="s">
        <v>222</v>
      </c>
      <c r="P321" t="s">
        <v>223</v>
      </c>
      <c r="Q321" t="s">
        <v>1718</v>
      </c>
      <c r="S321">
        <v>4</v>
      </c>
      <c r="T321" t="s">
        <v>1731</v>
      </c>
      <c r="U321">
        <v>10315</v>
      </c>
      <c r="V321">
        <v>6818</v>
      </c>
      <c r="W321">
        <v>1.5128999999999999</v>
      </c>
      <c r="X321" t="s">
        <v>70</v>
      </c>
      <c r="Y321" t="s">
        <v>1720</v>
      </c>
      <c r="Z321">
        <v>639.69000000000005</v>
      </c>
      <c r="AA321">
        <v>4712.88</v>
      </c>
      <c r="AB321">
        <v>3014772</v>
      </c>
      <c r="AC321" t="b">
        <v>1</v>
      </c>
      <c r="AD321" t="b">
        <v>1</v>
      </c>
      <c r="AE321" t="b">
        <v>0</v>
      </c>
      <c r="AF321" t="b">
        <v>0</v>
      </c>
      <c r="AG321" t="s">
        <v>58</v>
      </c>
      <c r="AH321">
        <v>20</v>
      </c>
      <c r="AI321" t="s">
        <v>59</v>
      </c>
      <c r="AJ321" t="s">
        <v>71</v>
      </c>
      <c r="AL321" t="s">
        <v>72</v>
      </c>
      <c r="AM321" t="s">
        <v>62</v>
      </c>
      <c r="AN321" t="s">
        <v>63</v>
      </c>
      <c r="AO321" t="s">
        <v>1721</v>
      </c>
      <c r="AP321" t="s">
        <v>1728</v>
      </c>
    </row>
    <row r="322" spans="1:42" x14ac:dyDescent="0.45">
      <c r="A322" t="s">
        <v>1711</v>
      </c>
      <c r="B322" t="s">
        <v>1712</v>
      </c>
      <c r="C322" t="s">
        <v>1713</v>
      </c>
      <c r="D322">
        <v>2024</v>
      </c>
      <c r="E322" t="s">
        <v>45</v>
      </c>
      <c r="F322" t="s">
        <v>46</v>
      </c>
      <c r="G322">
        <v>14</v>
      </c>
      <c r="J322" t="s">
        <v>1732</v>
      </c>
      <c r="K322" t="s">
        <v>1733</v>
      </c>
      <c r="L322" t="s">
        <v>1734</v>
      </c>
      <c r="M322" t="s">
        <v>1735</v>
      </c>
      <c r="N322" t="s">
        <v>221</v>
      </c>
      <c r="O322" t="s">
        <v>222</v>
      </c>
      <c r="P322" t="s">
        <v>223</v>
      </c>
      <c r="Q322" t="s">
        <v>1718</v>
      </c>
      <c r="S322">
        <v>0</v>
      </c>
      <c r="T322" t="s">
        <v>1736</v>
      </c>
      <c r="U322">
        <v>9773</v>
      </c>
      <c r="V322">
        <v>6818</v>
      </c>
      <c r="W322">
        <v>1.4334</v>
      </c>
      <c r="X322" t="s">
        <v>70</v>
      </c>
      <c r="Y322" t="s">
        <v>1720</v>
      </c>
      <c r="Z322">
        <v>618.70000000000005</v>
      </c>
      <c r="AA322">
        <v>5538.7</v>
      </c>
      <c r="AB322">
        <v>3426786</v>
      </c>
      <c r="AC322" t="b">
        <v>1</v>
      </c>
      <c r="AD322" t="b">
        <v>1</v>
      </c>
      <c r="AE322" t="b">
        <v>0</v>
      </c>
      <c r="AF322" t="b">
        <v>0</v>
      </c>
      <c r="AG322" t="s">
        <v>58</v>
      </c>
      <c r="AH322">
        <v>20</v>
      </c>
      <c r="AI322" t="s">
        <v>59</v>
      </c>
      <c r="AJ322" t="s">
        <v>71</v>
      </c>
      <c r="AL322" t="s">
        <v>72</v>
      </c>
      <c r="AM322" t="s">
        <v>62</v>
      </c>
      <c r="AN322" t="s">
        <v>63</v>
      </c>
      <c r="AO322" t="s">
        <v>1721</v>
      </c>
      <c r="AP322" t="s">
        <v>1733</v>
      </c>
    </row>
    <row r="323" spans="1:42" x14ac:dyDescent="0.45">
      <c r="A323" t="s">
        <v>1711</v>
      </c>
      <c r="B323" t="s">
        <v>1712</v>
      </c>
      <c r="C323" t="s">
        <v>1713</v>
      </c>
      <c r="D323">
        <v>2024</v>
      </c>
      <c r="E323" t="s">
        <v>45</v>
      </c>
      <c r="F323" t="s">
        <v>46</v>
      </c>
      <c r="G323">
        <v>3</v>
      </c>
      <c r="J323" t="s">
        <v>217</v>
      </c>
      <c r="K323" t="s">
        <v>1737</v>
      </c>
      <c r="L323" t="s">
        <v>219</v>
      </c>
      <c r="M323" t="s">
        <v>220</v>
      </c>
      <c r="N323" t="s">
        <v>221</v>
      </c>
      <c r="O323" t="s">
        <v>222</v>
      </c>
      <c r="P323" t="s">
        <v>223</v>
      </c>
      <c r="Q323" t="s">
        <v>1718</v>
      </c>
      <c r="S323">
        <v>1</v>
      </c>
      <c r="T323" t="s">
        <v>224</v>
      </c>
      <c r="U323">
        <v>6389</v>
      </c>
      <c r="V323">
        <v>6818</v>
      </c>
      <c r="W323">
        <v>0.93710000000000004</v>
      </c>
      <c r="X323" t="s">
        <v>70</v>
      </c>
      <c r="Y323" t="s">
        <v>1720</v>
      </c>
      <c r="Z323">
        <v>51.75</v>
      </c>
      <c r="AA323">
        <v>45970.14</v>
      </c>
      <c r="AB323">
        <v>2378970</v>
      </c>
      <c r="AC323" t="b">
        <v>0</v>
      </c>
      <c r="AD323" t="b">
        <v>0</v>
      </c>
      <c r="AE323" t="b">
        <v>0</v>
      </c>
      <c r="AF323" t="b">
        <v>0</v>
      </c>
      <c r="AG323" t="s">
        <v>58</v>
      </c>
      <c r="AH323">
        <v>16</v>
      </c>
      <c r="AI323" t="s">
        <v>59</v>
      </c>
      <c r="AJ323" t="s">
        <v>60</v>
      </c>
      <c r="AL323" t="s">
        <v>225</v>
      </c>
      <c r="AM323" t="s">
        <v>62</v>
      </c>
      <c r="AN323" t="s">
        <v>63</v>
      </c>
      <c r="AO323" t="s">
        <v>1721</v>
      </c>
      <c r="AP323" t="s">
        <v>1737</v>
      </c>
    </row>
    <row r="324" spans="1:42" x14ac:dyDescent="0.45">
      <c r="A324" t="s">
        <v>1711</v>
      </c>
      <c r="B324" t="s">
        <v>1712</v>
      </c>
      <c r="C324" t="s">
        <v>1713</v>
      </c>
      <c r="D324">
        <v>2024</v>
      </c>
      <c r="E324" t="s">
        <v>45</v>
      </c>
      <c r="F324" t="s">
        <v>46</v>
      </c>
      <c r="G324">
        <v>13</v>
      </c>
      <c r="J324" t="s">
        <v>1738</v>
      </c>
      <c r="K324" t="s">
        <v>1739</v>
      </c>
      <c r="L324" t="s">
        <v>1740</v>
      </c>
      <c r="M324" t="s">
        <v>1741</v>
      </c>
      <c r="N324" t="s">
        <v>221</v>
      </c>
      <c r="O324" t="s">
        <v>222</v>
      </c>
      <c r="P324" t="s">
        <v>223</v>
      </c>
      <c r="Q324" t="s">
        <v>1718</v>
      </c>
      <c r="S324">
        <v>2</v>
      </c>
      <c r="T324" t="s">
        <v>1742</v>
      </c>
      <c r="U324">
        <v>7348</v>
      </c>
      <c r="V324">
        <v>6818</v>
      </c>
      <c r="W324">
        <v>1.0777000000000001</v>
      </c>
      <c r="X324" t="s">
        <v>70</v>
      </c>
      <c r="Y324" t="s">
        <v>1720</v>
      </c>
      <c r="Z324">
        <v>625.69000000000005</v>
      </c>
      <c r="AA324">
        <v>5738.88</v>
      </c>
      <c r="AB324">
        <v>3590745</v>
      </c>
      <c r="AC324" t="b">
        <v>1</v>
      </c>
      <c r="AD324" t="b">
        <v>1</v>
      </c>
      <c r="AE324" t="b">
        <v>0</v>
      </c>
      <c r="AF324" t="b">
        <v>0</v>
      </c>
      <c r="AG324" t="s">
        <v>58</v>
      </c>
      <c r="AH324">
        <v>20</v>
      </c>
      <c r="AI324" t="s">
        <v>59</v>
      </c>
      <c r="AJ324" t="s">
        <v>71</v>
      </c>
      <c r="AL324" t="s">
        <v>72</v>
      </c>
      <c r="AM324" t="s">
        <v>62</v>
      </c>
      <c r="AN324" t="s">
        <v>63</v>
      </c>
      <c r="AO324" t="s">
        <v>1721</v>
      </c>
      <c r="AP324" t="s">
        <v>1739</v>
      </c>
    </row>
    <row r="325" spans="1:42" x14ac:dyDescent="0.45">
      <c r="A325" t="s">
        <v>1711</v>
      </c>
      <c r="B325" t="s">
        <v>1712</v>
      </c>
      <c r="C325" t="s">
        <v>1713</v>
      </c>
      <c r="D325">
        <v>2024</v>
      </c>
      <c r="E325" t="s">
        <v>45</v>
      </c>
      <c r="F325" t="s">
        <v>46</v>
      </c>
      <c r="G325">
        <v>4</v>
      </c>
      <c r="J325" t="s">
        <v>1743</v>
      </c>
      <c r="K325" t="s">
        <v>1744</v>
      </c>
      <c r="L325" t="s">
        <v>1745</v>
      </c>
      <c r="M325" t="s">
        <v>1746</v>
      </c>
      <c r="N325" t="s">
        <v>221</v>
      </c>
      <c r="O325" t="s">
        <v>222</v>
      </c>
      <c r="P325" t="s">
        <v>223</v>
      </c>
      <c r="Q325" t="s">
        <v>1718</v>
      </c>
      <c r="S325">
        <v>11</v>
      </c>
      <c r="T325" t="s">
        <v>1747</v>
      </c>
      <c r="U325">
        <v>5624</v>
      </c>
      <c r="V325">
        <v>6818</v>
      </c>
      <c r="W325">
        <v>0.82489999999999997</v>
      </c>
      <c r="X325" t="s">
        <v>70</v>
      </c>
      <c r="Y325" t="s">
        <v>1720</v>
      </c>
      <c r="Z325">
        <v>688.69</v>
      </c>
      <c r="AA325">
        <v>4570.05</v>
      </c>
      <c r="AB325">
        <v>3147341</v>
      </c>
      <c r="AC325" t="b">
        <v>1</v>
      </c>
      <c r="AD325" t="b">
        <v>1</v>
      </c>
      <c r="AE325" t="b">
        <v>0</v>
      </c>
      <c r="AF325" t="b">
        <v>0</v>
      </c>
      <c r="AG325" t="s">
        <v>58</v>
      </c>
      <c r="AH325">
        <v>20</v>
      </c>
      <c r="AI325" t="s">
        <v>59</v>
      </c>
      <c r="AJ325" t="s">
        <v>71</v>
      </c>
      <c r="AL325" t="s">
        <v>72</v>
      </c>
      <c r="AM325" t="s">
        <v>62</v>
      </c>
      <c r="AN325" t="s">
        <v>63</v>
      </c>
      <c r="AO325" t="s">
        <v>1721</v>
      </c>
      <c r="AP325" t="s">
        <v>1744</v>
      </c>
    </row>
    <row r="326" spans="1:42" x14ac:dyDescent="0.45">
      <c r="A326" t="s">
        <v>1711</v>
      </c>
      <c r="B326" t="s">
        <v>1712</v>
      </c>
      <c r="C326" t="s">
        <v>1713</v>
      </c>
      <c r="D326">
        <v>2024</v>
      </c>
      <c r="E326" t="s">
        <v>45</v>
      </c>
      <c r="F326" t="s">
        <v>46</v>
      </c>
      <c r="G326">
        <v>6</v>
      </c>
      <c r="J326" t="s">
        <v>1748</v>
      </c>
      <c r="K326" t="s">
        <v>1749</v>
      </c>
      <c r="L326" t="s">
        <v>1750</v>
      </c>
      <c r="M326" t="s">
        <v>1751</v>
      </c>
      <c r="N326" t="s">
        <v>221</v>
      </c>
      <c r="O326" t="s">
        <v>222</v>
      </c>
      <c r="P326" t="s">
        <v>223</v>
      </c>
      <c r="Q326" t="s">
        <v>1718</v>
      </c>
      <c r="S326">
        <v>9</v>
      </c>
      <c r="T326" t="s">
        <v>1752</v>
      </c>
      <c r="U326">
        <v>5803</v>
      </c>
      <c r="V326">
        <v>6818</v>
      </c>
      <c r="W326">
        <v>0.85109999999999997</v>
      </c>
      <c r="X326" t="s">
        <v>70</v>
      </c>
      <c r="Y326" t="s">
        <v>1720</v>
      </c>
      <c r="Z326">
        <v>674.69</v>
      </c>
      <c r="AA326">
        <v>4211.5600000000004</v>
      </c>
      <c r="AB326">
        <v>2841491</v>
      </c>
      <c r="AC326" t="b">
        <v>1</v>
      </c>
      <c r="AD326" t="b">
        <v>1</v>
      </c>
      <c r="AE326" t="b">
        <v>0</v>
      </c>
      <c r="AF326" t="b">
        <v>0</v>
      </c>
      <c r="AG326" t="s">
        <v>58</v>
      </c>
      <c r="AH326">
        <v>20</v>
      </c>
      <c r="AI326" t="s">
        <v>59</v>
      </c>
      <c r="AJ326" t="s">
        <v>71</v>
      </c>
      <c r="AL326" t="s">
        <v>72</v>
      </c>
      <c r="AM326" t="s">
        <v>62</v>
      </c>
      <c r="AN326" t="s">
        <v>63</v>
      </c>
      <c r="AO326" t="s">
        <v>1721</v>
      </c>
      <c r="AP326" t="s">
        <v>1749</v>
      </c>
    </row>
    <row r="327" spans="1:42" x14ac:dyDescent="0.45">
      <c r="A327" t="s">
        <v>1711</v>
      </c>
      <c r="B327" t="s">
        <v>1712</v>
      </c>
      <c r="C327" t="s">
        <v>1713</v>
      </c>
      <c r="D327">
        <v>2024</v>
      </c>
      <c r="E327" t="s">
        <v>45</v>
      </c>
      <c r="F327" t="s">
        <v>46</v>
      </c>
      <c r="G327">
        <v>5</v>
      </c>
      <c r="J327" t="s">
        <v>1753</v>
      </c>
      <c r="K327" t="s">
        <v>1754</v>
      </c>
      <c r="L327" t="s">
        <v>1755</v>
      </c>
      <c r="M327" t="s">
        <v>1756</v>
      </c>
      <c r="N327" t="s">
        <v>221</v>
      </c>
      <c r="O327" t="s">
        <v>222</v>
      </c>
      <c r="P327" t="s">
        <v>223</v>
      </c>
      <c r="Q327" t="s">
        <v>1718</v>
      </c>
      <c r="S327">
        <v>10</v>
      </c>
      <c r="T327" t="s">
        <v>1757</v>
      </c>
      <c r="U327">
        <v>5972</v>
      </c>
      <c r="V327">
        <v>6818</v>
      </c>
      <c r="W327">
        <v>0.87590000000000001</v>
      </c>
      <c r="X327" t="s">
        <v>70</v>
      </c>
      <c r="Y327" t="s">
        <v>1720</v>
      </c>
      <c r="Z327">
        <v>681.69</v>
      </c>
      <c r="AA327">
        <v>4072.64</v>
      </c>
      <c r="AB327">
        <v>2776270</v>
      </c>
      <c r="AC327" t="b">
        <v>1</v>
      </c>
      <c r="AD327" t="b">
        <v>1</v>
      </c>
      <c r="AE327" t="b">
        <v>0</v>
      </c>
      <c r="AF327" t="b">
        <v>0</v>
      </c>
      <c r="AG327" t="s">
        <v>58</v>
      </c>
      <c r="AH327">
        <v>20</v>
      </c>
      <c r="AI327" t="s">
        <v>59</v>
      </c>
      <c r="AJ327" t="s">
        <v>71</v>
      </c>
      <c r="AL327" t="s">
        <v>72</v>
      </c>
      <c r="AM327" t="s">
        <v>62</v>
      </c>
      <c r="AN327" t="s">
        <v>63</v>
      </c>
      <c r="AO327" t="s">
        <v>1721</v>
      </c>
      <c r="AP327" t="s">
        <v>1754</v>
      </c>
    </row>
    <row r="328" spans="1:42" x14ac:dyDescent="0.45">
      <c r="A328" t="s">
        <v>1711</v>
      </c>
      <c r="B328" t="s">
        <v>1712</v>
      </c>
      <c r="C328" t="s">
        <v>1713</v>
      </c>
      <c r="D328">
        <v>2024</v>
      </c>
      <c r="E328" t="s">
        <v>45</v>
      </c>
      <c r="F328" t="s">
        <v>46</v>
      </c>
      <c r="G328">
        <v>1</v>
      </c>
      <c r="J328" t="s">
        <v>1758</v>
      </c>
      <c r="K328" t="s">
        <v>1759</v>
      </c>
      <c r="L328" t="s">
        <v>1760</v>
      </c>
      <c r="M328" t="s">
        <v>1761</v>
      </c>
      <c r="N328" t="s">
        <v>221</v>
      </c>
      <c r="O328" t="s">
        <v>222</v>
      </c>
      <c r="P328" t="s">
        <v>223</v>
      </c>
      <c r="Q328" t="s">
        <v>1718</v>
      </c>
      <c r="S328">
        <v>14</v>
      </c>
      <c r="T328" t="s">
        <v>1762</v>
      </c>
      <c r="U328">
        <v>10336</v>
      </c>
      <c r="V328">
        <v>6818</v>
      </c>
      <c r="W328">
        <v>1.516</v>
      </c>
      <c r="X328" t="s">
        <v>70</v>
      </c>
      <c r="Y328" t="s">
        <v>1720</v>
      </c>
      <c r="Z328">
        <v>716.69</v>
      </c>
      <c r="AA328">
        <v>4965.8500000000004</v>
      </c>
      <c r="AB328">
        <v>3558962</v>
      </c>
      <c r="AC328" t="b">
        <v>1</v>
      </c>
      <c r="AD328" t="b">
        <v>1</v>
      </c>
      <c r="AE328" t="b">
        <v>0</v>
      </c>
      <c r="AF328" t="b">
        <v>0</v>
      </c>
      <c r="AG328" t="s">
        <v>58</v>
      </c>
      <c r="AH328">
        <v>20</v>
      </c>
      <c r="AI328" t="s">
        <v>59</v>
      </c>
      <c r="AJ328" t="s">
        <v>71</v>
      </c>
      <c r="AL328" t="s">
        <v>72</v>
      </c>
      <c r="AM328" t="s">
        <v>62</v>
      </c>
      <c r="AN328" t="s">
        <v>63</v>
      </c>
      <c r="AO328" t="s">
        <v>1721</v>
      </c>
      <c r="AP328" t="s">
        <v>1759</v>
      </c>
    </row>
    <row r="329" spans="1:42" x14ac:dyDescent="0.45">
      <c r="A329" t="s">
        <v>1711</v>
      </c>
      <c r="B329" t="s">
        <v>1712</v>
      </c>
      <c r="C329" t="s">
        <v>1713</v>
      </c>
      <c r="D329">
        <v>2024</v>
      </c>
      <c r="E329" t="s">
        <v>45</v>
      </c>
      <c r="F329" t="s">
        <v>46</v>
      </c>
      <c r="G329">
        <v>8</v>
      </c>
      <c r="J329" t="s">
        <v>1763</v>
      </c>
      <c r="K329" t="s">
        <v>1764</v>
      </c>
      <c r="L329" t="s">
        <v>1765</v>
      </c>
      <c r="M329" t="s">
        <v>1766</v>
      </c>
      <c r="N329" t="s">
        <v>221</v>
      </c>
      <c r="O329" t="s">
        <v>222</v>
      </c>
      <c r="P329" t="s">
        <v>223</v>
      </c>
      <c r="Q329" t="s">
        <v>1718</v>
      </c>
      <c r="S329">
        <v>7</v>
      </c>
      <c r="T329" t="s">
        <v>1767</v>
      </c>
      <c r="U329">
        <v>5596</v>
      </c>
      <c r="V329">
        <v>6818</v>
      </c>
      <c r="W329">
        <v>0.82079999999999997</v>
      </c>
      <c r="X329" t="s">
        <v>70</v>
      </c>
      <c r="Y329" t="s">
        <v>1720</v>
      </c>
      <c r="Z329">
        <v>660.69</v>
      </c>
      <c r="AA329">
        <v>4106.6899999999996</v>
      </c>
      <c r="AB329">
        <v>2713241</v>
      </c>
      <c r="AC329" t="b">
        <v>1</v>
      </c>
      <c r="AD329" t="b">
        <v>1</v>
      </c>
      <c r="AE329" t="b">
        <v>0</v>
      </c>
      <c r="AF329" t="b">
        <v>0</v>
      </c>
      <c r="AG329" t="s">
        <v>58</v>
      </c>
      <c r="AH329">
        <v>20</v>
      </c>
      <c r="AI329" t="s">
        <v>59</v>
      </c>
      <c r="AJ329" t="s">
        <v>71</v>
      </c>
      <c r="AL329" t="s">
        <v>72</v>
      </c>
      <c r="AM329" t="s">
        <v>62</v>
      </c>
      <c r="AN329" t="s">
        <v>63</v>
      </c>
      <c r="AO329" t="s">
        <v>1721</v>
      </c>
      <c r="AP329" t="s">
        <v>1764</v>
      </c>
    </row>
    <row r="330" spans="1:42" x14ac:dyDescent="0.45">
      <c r="A330" t="s">
        <v>1711</v>
      </c>
      <c r="B330" t="s">
        <v>1712</v>
      </c>
      <c r="C330" t="s">
        <v>1713</v>
      </c>
      <c r="D330">
        <v>2024</v>
      </c>
      <c r="E330" t="s">
        <v>45</v>
      </c>
      <c r="F330" t="s">
        <v>46</v>
      </c>
      <c r="G330">
        <v>10</v>
      </c>
      <c r="J330" t="s">
        <v>1768</v>
      </c>
      <c r="K330" t="s">
        <v>1769</v>
      </c>
      <c r="L330" t="s">
        <v>1770</v>
      </c>
      <c r="M330" t="s">
        <v>1771</v>
      </c>
      <c r="N330" t="s">
        <v>221</v>
      </c>
      <c r="O330" t="s">
        <v>222</v>
      </c>
      <c r="P330" t="s">
        <v>223</v>
      </c>
      <c r="Q330" t="s">
        <v>1718</v>
      </c>
      <c r="S330">
        <v>5</v>
      </c>
      <c r="T330" t="s">
        <v>1772</v>
      </c>
      <c r="U330">
        <v>7651</v>
      </c>
      <c r="V330">
        <v>6818</v>
      </c>
      <c r="W330">
        <v>1.1222000000000001</v>
      </c>
      <c r="X330" t="s">
        <v>70</v>
      </c>
      <c r="Y330" t="s">
        <v>1720</v>
      </c>
      <c r="Z330">
        <v>646.69000000000005</v>
      </c>
      <c r="AA330">
        <v>4121.49</v>
      </c>
      <c r="AB330">
        <v>2665318</v>
      </c>
      <c r="AC330" t="b">
        <v>1</v>
      </c>
      <c r="AD330" t="b">
        <v>1</v>
      </c>
      <c r="AE330" t="b">
        <v>0</v>
      </c>
      <c r="AF330" t="b">
        <v>0</v>
      </c>
      <c r="AG330" t="s">
        <v>58</v>
      </c>
      <c r="AH330">
        <v>20</v>
      </c>
      <c r="AI330" t="s">
        <v>59</v>
      </c>
      <c r="AJ330" t="s">
        <v>71</v>
      </c>
      <c r="AL330" t="s">
        <v>72</v>
      </c>
      <c r="AM330" t="s">
        <v>62</v>
      </c>
      <c r="AN330" t="s">
        <v>63</v>
      </c>
      <c r="AO330" t="s">
        <v>1721</v>
      </c>
      <c r="AP330" t="s">
        <v>1769</v>
      </c>
    </row>
    <row r="331" spans="1:42" x14ac:dyDescent="0.45">
      <c r="A331" t="s">
        <v>1711</v>
      </c>
      <c r="B331" t="s">
        <v>1712</v>
      </c>
      <c r="C331" t="s">
        <v>1713</v>
      </c>
      <c r="D331">
        <v>2024</v>
      </c>
      <c r="E331" t="s">
        <v>45</v>
      </c>
      <c r="F331" t="s">
        <v>46</v>
      </c>
      <c r="G331">
        <v>3</v>
      </c>
      <c r="J331" t="s">
        <v>1773</v>
      </c>
      <c r="K331" t="s">
        <v>1774</v>
      </c>
      <c r="L331" t="s">
        <v>1775</v>
      </c>
      <c r="M331" t="s">
        <v>1776</v>
      </c>
      <c r="N331" t="s">
        <v>221</v>
      </c>
      <c r="O331" t="s">
        <v>222</v>
      </c>
      <c r="P331" t="s">
        <v>223</v>
      </c>
      <c r="Q331" t="s">
        <v>1718</v>
      </c>
      <c r="S331">
        <v>12</v>
      </c>
      <c r="T331" t="s">
        <v>1777</v>
      </c>
      <c r="U331">
        <v>6701</v>
      </c>
      <c r="V331">
        <v>6818</v>
      </c>
      <c r="W331">
        <v>0.98280000000000001</v>
      </c>
      <c r="X331" t="s">
        <v>70</v>
      </c>
      <c r="Y331" t="s">
        <v>1720</v>
      </c>
      <c r="Z331">
        <v>702.69</v>
      </c>
      <c r="AA331">
        <v>3524.56</v>
      </c>
      <c r="AB331">
        <v>2476664</v>
      </c>
      <c r="AC331" t="b">
        <v>1</v>
      </c>
      <c r="AD331" t="b">
        <v>1</v>
      </c>
      <c r="AE331" t="b">
        <v>0</v>
      </c>
      <c r="AF331" t="b">
        <v>0</v>
      </c>
      <c r="AG331" t="s">
        <v>58</v>
      </c>
      <c r="AH331">
        <v>20</v>
      </c>
      <c r="AI331" t="s">
        <v>59</v>
      </c>
      <c r="AJ331" t="s">
        <v>71</v>
      </c>
      <c r="AL331" t="s">
        <v>72</v>
      </c>
      <c r="AM331" t="s">
        <v>62</v>
      </c>
      <c r="AN331" t="s">
        <v>63</v>
      </c>
      <c r="AO331" t="s">
        <v>1721</v>
      </c>
      <c r="AP331" t="s">
        <v>1774</v>
      </c>
    </row>
    <row r="332" spans="1:42" x14ac:dyDescent="0.45">
      <c r="A332" t="s">
        <v>1711</v>
      </c>
      <c r="B332" t="s">
        <v>1712</v>
      </c>
      <c r="C332" t="s">
        <v>1713</v>
      </c>
      <c r="D332">
        <v>2024</v>
      </c>
      <c r="E332" t="s">
        <v>45</v>
      </c>
      <c r="F332" t="s">
        <v>46</v>
      </c>
      <c r="G332">
        <v>2</v>
      </c>
      <c r="J332" t="s">
        <v>1778</v>
      </c>
      <c r="K332" t="s">
        <v>1779</v>
      </c>
      <c r="L332" t="s">
        <v>1780</v>
      </c>
      <c r="M332" t="s">
        <v>1781</v>
      </c>
      <c r="N332" t="s">
        <v>221</v>
      </c>
      <c r="O332" t="s">
        <v>222</v>
      </c>
      <c r="P332" t="s">
        <v>223</v>
      </c>
      <c r="Q332" t="s">
        <v>1718</v>
      </c>
      <c r="S332">
        <v>13</v>
      </c>
      <c r="T332" t="s">
        <v>1782</v>
      </c>
      <c r="U332">
        <v>6774</v>
      </c>
      <c r="V332">
        <v>6818</v>
      </c>
      <c r="W332">
        <v>0.99350000000000005</v>
      </c>
      <c r="X332" t="s">
        <v>70</v>
      </c>
      <c r="Y332" t="s">
        <v>1720</v>
      </c>
      <c r="Z332">
        <v>709.69</v>
      </c>
      <c r="AA332">
        <v>3807.47</v>
      </c>
      <c r="AB332">
        <v>2702116</v>
      </c>
      <c r="AC332" t="b">
        <v>1</v>
      </c>
      <c r="AD332" t="b">
        <v>1</v>
      </c>
      <c r="AE332" t="b">
        <v>0</v>
      </c>
      <c r="AF332" t="b">
        <v>0</v>
      </c>
      <c r="AG332" t="s">
        <v>58</v>
      </c>
      <c r="AH332">
        <v>20</v>
      </c>
      <c r="AI332" t="s">
        <v>59</v>
      </c>
      <c r="AJ332" t="s">
        <v>71</v>
      </c>
      <c r="AL332" t="s">
        <v>72</v>
      </c>
      <c r="AM332" t="s">
        <v>62</v>
      </c>
      <c r="AN332" t="s">
        <v>63</v>
      </c>
      <c r="AO332" t="s">
        <v>1721</v>
      </c>
      <c r="AP332" t="s">
        <v>1779</v>
      </c>
    </row>
    <row r="333" spans="1:42" x14ac:dyDescent="0.45">
      <c r="A333" t="s">
        <v>1711</v>
      </c>
      <c r="B333" t="s">
        <v>1712</v>
      </c>
      <c r="C333" t="s">
        <v>1713</v>
      </c>
      <c r="D333">
        <v>2024</v>
      </c>
      <c r="E333" t="s">
        <v>45</v>
      </c>
      <c r="F333" t="s">
        <v>46</v>
      </c>
      <c r="G333">
        <v>9</v>
      </c>
      <c r="J333" t="s">
        <v>1783</v>
      </c>
      <c r="K333" t="s">
        <v>1784</v>
      </c>
      <c r="L333" t="s">
        <v>1785</v>
      </c>
      <c r="M333" t="s">
        <v>1786</v>
      </c>
      <c r="N333" t="s">
        <v>221</v>
      </c>
      <c r="O333" t="s">
        <v>222</v>
      </c>
      <c r="P333" t="s">
        <v>223</v>
      </c>
      <c r="Q333" t="s">
        <v>1718</v>
      </c>
      <c r="S333">
        <v>6</v>
      </c>
      <c r="T333" t="s">
        <v>1787</v>
      </c>
      <c r="U333">
        <v>6862</v>
      </c>
      <c r="V333">
        <v>6818</v>
      </c>
      <c r="W333">
        <v>1.0065</v>
      </c>
      <c r="X333" t="s">
        <v>70</v>
      </c>
      <c r="Y333" t="s">
        <v>1720</v>
      </c>
      <c r="Z333">
        <v>653.69000000000005</v>
      </c>
      <c r="AA333">
        <v>3958.61</v>
      </c>
      <c r="AB333">
        <v>2587696</v>
      </c>
      <c r="AC333" t="b">
        <v>1</v>
      </c>
      <c r="AD333" t="b">
        <v>1</v>
      </c>
      <c r="AE333" t="b">
        <v>0</v>
      </c>
      <c r="AF333" t="b">
        <v>0</v>
      </c>
      <c r="AG333" t="s">
        <v>58</v>
      </c>
      <c r="AH333">
        <v>20</v>
      </c>
      <c r="AI333" t="s">
        <v>59</v>
      </c>
      <c r="AJ333" t="s">
        <v>71</v>
      </c>
      <c r="AL333" t="s">
        <v>72</v>
      </c>
      <c r="AM333" t="s">
        <v>62</v>
      </c>
      <c r="AN333" t="s">
        <v>63</v>
      </c>
      <c r="AO333" t="s">
        <v>1721</v>
      </c>
      <c r="AP333" t="s">
        <v>1784</v>
      </c>
    </row>
    <row r="334" spans="1:42" x14ac:dyDescent="0.45">
      <c r="A334" t="s">
        <v>1788</v>
      </c>
      <c r="B334" t="s">
        <v>1789</v>
      </c>
      <c r="C334" t="s">
        <v>1790</v>
      </c>
      <c r="D334">
        <v>2024</v>
      </c>
      <c r="E334" t="s">
        <v>45</v>
      </c>
      <c r="F334" t="s">
        <v>46</v>
      </c>
      <c r="G334">
        <v>15</v>
      </c>
      <c r="J334" t="s">
        <v>1791</v>
      </c>
      <c r="K334" t="s">
        <v>1792</v>
      </c>
      <c r="L334" t="s">
        <v>1793</v>
      </c>
      <c r="M334" t="s">
        <v>1794</v>
      </c>
      <c r="N334" t="s">
        <v>1795</v>
      </c>
      <c r="O334" t="s">
        <v>1796</v>
      </c>
      <c r="P334" t="s">
        <v>53</v>
      </c>
      <c r="Q334" t="s">
        <v>1797</v>
      </c>
      <c r="S334">
        <v>0</v>
      </c>
      <c r="T334" t="s">
        <v>1798</v>
      </c>
      <c r="U334">
        <v>260</v>
      </c>
      <c r="V334">
        <v>3174</v>
      </c>
      <c r="W334">
        <v>8.1900000000000001E-2</v>
      </c>
      <c r="X334" t="s">
        <v>56</v>
      </c>
      <c r="Y334" t="s">
        <v>1799</v>
      </c>
      <c r="Z334">
        <v>637.97</v>
      </c>
      <c r="AA334">
        <v>3.69</v>
      </c>
      <c r="AB334">
        <v>2351</v>
      </c>
      <c r="AC334" t="b">
        <v>1</v>
      </c>
      <c r="AD334" t="b">
        <v>0</v>
      </c>
      <c r="AE334" t="b">
        <v>0</v>
      </c>
      <c r="AF334" t="b">
        <v>0</v>
      </c>
      <c r="AG334" t="s">
        <v>58</v>
      </c>
      <c r="AH334">
        <v>12</v>
      </c>
      <c r="AI334" t="s">
        <v>59</v>
      </c>
      <c r="AJ334" t="s">
        <v>60</v>
      </c>
      <c r="AK334" t="s">
        <v>252</v>
      </c>
      <c r="AL334" t="s">
        <v>415</v>
      </c>
      <c r="AM334" t="s">
        <v>245</v>
      </c>
      <c r="AN334" t="s">
        <v>63</v>
      </c>
      <c r="AO334" t="s">
        <v>1800</v>
      </c>
      <c r="AP334" t="s">
        <v>1792</v>
      </c>
    </row>
    <row r="335" spans="1:42" x14ac:dyDescent="0.45">
      <c r="A335" t="s">
        <v>1788</v>
      </c>
      <c r="B335" t="s">
        <v>1789</v>
      </c>
      <c r="C335" t="s">
        <v>1790</v>
      </c>
      <c r="D335">
        <v>2024</v>
      </c>
      <c r="E335" t="s">
        <v>45</v>
      </c>
      <c r="F335" t="s">
        <v>46</v>
      </c>
      <c r="G335">
        <v>11</v>
      </c>
      <c r="J335" t="s">
        <v>1801</v>
      </c>
      <c r="K335" t="s">
        <v>1802</v>
      </c>
      <c r="L335" t="s">
        <v>1803</v>
      </c>
      <c r="M335" t="s">
        <v>1804</v>
      </c>
      <c r="N335" t="s">
        <v>1795</v>
      </c>
      <c r="O335" t="s">
        <v>1796</v>
      </c>
      <c r="P335" t="s">
        <v>53</v>
      </c>
      <c r="Q335" t="s">
        <v>1797</v>
      </c>
      <c r="S335">
        <v>9</v>
      </c>
      <c r="T335" t="s">
        <v>1805</v>
      </c>
      <c r="U335">
        <v>279</v>
      </c>
      <c r="V335">
        <v>3174</v>
      </c>
      <c r="W335">
        <v>8.7900000000000006E-2</v>
      </c>
      <c r="X335" t="s">
        <v>56</v>
      </c>
      <c r="Y335" t="s">
        <v>1799</v>
      </c>
      <c r="Z335">
        <v>667.04</v>
      </c>
      <c r="AA335">
        <v>1.1499999999999999</v>
      </c>
      <c r="AB335">
        <v>765</v>
      </c>
      <c r="AC335" t="b">
        <v>1</v>
      </c>
      <c r="AD335" t="b">
        <v>0</v>
      </c>
      <c r="AE335" t="b">
        <v>0</v>
      </c>
      <c r="AF335" t="b">
        <v>0</v>
      </c>
      <c r="AG335" t="s">
        <v>58</v>
      </c>
      <c r="AH335">
        <v>12</v>
      </c>
      <c r="AI335" t="s">
        <v>59</v>
      </c>
      <c r="AJ335" t="s">
        <v>60</v>
      </c>
      <c r="AK335" t="s">
        <v>252</v>
      </c>
      <c r="AL335" t="s">
        <v>415</v>
      </c>
      <c r="AM335" t="s">
        <v>245</v>
      </c>
      <c r="AN335" t="s">
        <v>63</v>
      </c>
      <c r="AO335" t="s">
        <v>1800</v>
      </c>
      <c r="AP335" t="s">
        <v>1802</v>
      </c>
    </row>
    <row r="336" spans="1:42" x14ac:dyDescent="0.45">
      <c r="A336" t="s">
        <v>1788</v>
      </c>
      <c r="B336" t="s">
        <v>1789</v>
      </c>
      <c r="C336" t="s">
        <v>1790</v>
      </c>
      <c r="D336">
        <v>2024</v>
      </c>
      <c r="E336" t="s">
        <v>45</v>
      </c>
      <c r="F336" t="s">
        <v>46</v>
      </c>
      <c r="G336">
        <v>12</v>
      </c>
      <c r="J336" t="s">
        <v>1806</v>
      </c>
      <c r="K336" t="s">
        <v>1807</v>
      </c>
      <c r="L336" t="s">
        <v>1808</v>
      </c>
      <c r="M336" t="s">
        <v>1809</v>
      </c>
      <c r="N336" t="s">
        <v>1795</v>
      </c>
      <c r="O336" t="s">
        <v>1796</v>
      </c>
      <c r="P336" t="s">
        <v>53</v>
      </c>
      <c r="Q336" t="s">
        <v>1797</v>
      </c>
      <c r="S336">
        <v>6</v>
      </c>
      <c r="T336" t="s">
        <v>1810</v>
      </c>
      <c r="U336">
        <v>285</v>
      </c>
      <c r="V336">
        <v>3174</v>
      </c>
      <c r="W336">
        <v>8.9800000000000005E-2</v>
      </c>
      <c r="X336" t="s">
        <v>56</v>
      </c>
      <c r="Y336" t="s">
        <v>1799</v>
      </c>
      <c r="Z336">
        <v>663.13</v>
      </c>
      <c r="AA336">
        <v>5.77</v>
      </c>
      <c r="AB336">
        <v>3823</v>
      </c>
      <c r="AC336" t="b">
        <v>1</v>
      </c>
      <c r="AD336" t="b">
        <v>0</v>
      </c>
      <c r="AE336" t="b">
        <v>0</v>
      </c>
      <c r="AF336" t="b">
        <v>0</v>
      </c>
      <c r="AG336" t="s">
        <v>58</v>
      </c>
      <c r="AH336">
        <v>12</v>
      </c>
      <c r="AI336" t="s">
        <v>59</v>
      </c>
      <c r="AJ336" t="s">
        <v>60</v>
      </c>
      <c r="AK336" t="s">
        <v>252</v>
      </c>
      <c r="AL336" t="s">
        <v>415</v>
      </c>
      <c r="AM336" t="s">
        <v>245</v>
      </c>
      <c r="AN336" t="s">
        <v>63</v>
      </c>
      <c r="AO336" t="s">
        <v>1800</v>
      </c>
      <c r="AP336" t="s">
        <v>1807</v>
      </c>
    </row>
    <row r="337" spans="1:42" x14ac:dyDescent="0.45">
      <c r="A337" t="s">
        <v>1788</v>
      </c>
      <c r="B337" t="s">
        <v>1789</v>
      </c>
      <c r="C337" t="s">
        <v>1790</v>
      </c>
      <c r="D337">
        <v>2024</v>
      </c>
      <c r="E337" t="s">
        <v>45</v>
      </c>
      <c r="F337" t="s">
        <v>46</v>
      </c>
      <c r="G337">
        <v>10</v>
      </c>
      <c r="J337" t="s">
        <v>1811</v>
      </c>
      <c r="K337" t="s">
        <v>1812</v>
      </c>
      <c r="L337" t="s">
        <v>1813</v>
      </c>
      <c r="M337" t="s">
        <v>1814</v>
      </c>
      <c r="N337" t="s">
        <v>1795</v>
      </c>
      <c r="O337" t="s">
        <v>1796</v>
      </c>
      <c r="P337" t="s">
        <v>53</v>
      </c>
      <c r="Q337" t="s">
        <v>1797</v>
      </c>
      <c r="S337">
        <v>16</v>
      </c>
      <c r="T337" t="s">
        <v>1815</v>
      </c>
      <c r="U337">
        <v>205</v>
      </c>
      <c r="V337">
        <v>3174</v>
      </c>
      <c r="W337">
        <v>6.4600000000000005E-2</v>
      </c>
      <c r="X337" t="s">
        <v>56</v>
      </c>
      <c r="Y337" t="s">
        <v>1799</v>
      </c>
      <c r="Z337">
        <v>678.02</v>
      </c>
      <c r="AA337">
        <v>1.49</v>
      </c>
      <c r="AB337">
        <v>1007</v>
      </c>
      <c r="AC337" t="b">
        <v>1</v>
      </c>
      <c r="AD337" t="b">
        <v>0</v>
      </c>
      <c r="AE337" t="b">
        <v>0</v>
      </c>
      <c r="AF337" t="b">
        <v>0</v>
      </c>
      <c r="AG337" t="s">
        <v>58</v>
      </c>
      <c r="AH337">
        <v>12</v>
      </c>
      <c r="AI337" t="s">
        <v>59</v>
      </c>
      <c r="AJ337" t="s">
        <v>60</v>
      </c>
      <c r="AK337" t="s">
        <v>252</v>
      </c>
      <c r="AL337" t="s">
        <v>415</v>
      </c>
      <c r="AM337" t="s">
        <v>245</v>
      </c>
      <c r="AN337" t="s">
        <v>63</v>
      </c>
      <c r="AO337" t="s">
        <v>1800</v>
      </c>
      <c r="AP337" t="s">
        <v>1812</v>
      </c>
    </row>
    <row r="338" spans="1:42" x14ac:dyDescent="0.45">
      <c r="A338" t="s">
        <v>1788</v>
      </c>
      <c r="B338" t="s">
        <v>1789</v>
      </c>
      <c r="C338" t="s">
        <v>1790</v>
      </c>
      <c r="D338">
        <v>2024</v>
      </c>
      <c r="E338" t="s">
        <v>45</v>
      </c>
      <c r="F338" t="s">
        <v>46</v>
      </c>
      <c r="G338">
        <v>10</v>
      </c>
      <c r="J338" t="s">
        <v>1816</v>
      </c>
      <c r="K338" t="s">
        <v>1817</v>
      </c>
      <c r="L338" t="s">
        <v>1818</v>
      </c>
      <c r="M338" t="s">
        <v>1819</v>
      </c>
      <c r="N338" t="s">
        <v>1795</v>
      </c>
      <c r="O338" t="s">
        <v>1796</v>
      </c>
      <c r="P338" t="s">
        <v>53</v>
      </c>
      <c r="Q338" t="s">
        <v>1797</v>
      </c>
      <c r="S338">
        <v>18</v>
      </c>
      <c r="T338" t="s">
        <v>1820</v>
      </c>
      <c r="U338">
        <v>3186</v>
      </c>
      <c r="V338">
        <v>3174</v>
      </c>
      <c r="W338">
        <v>1.0038</v>
      </c>
      <c r="X338" t="s">
        <v>70</v>
      </c>
      <c r="Y338" t="s">
        <v>1799</v>
      </c>
      <c r="Z338">
        <v>682.71</v>
      </c>
      <c r="AA338">
        <v>51.8</v>
      </c>
      <c r="AB338">
        <v>35362</v>
      </c>
      <c r="AC338" t="b">
        <v>1</v>
      </c>
      <c r="AD338" t="b">
        <v>1</v>
      </c>
      <c r="AE338" t="b">
        <v>0</v>
      </c>
      <c r="AF338" t="b">
        <v>0</v>
      </c>
      <c r="AG338" t="s">
        <v>58</v>
      </c>
      <c r="AH338">
        <v>14</v>
      </c>
      <c r="AI338" t="s">
        <v>59</v>
      </c>
      <c r="AJ338" t="s">
        <v>71</v>
      </c>
      <c r="AL338" t="s">
        <v>244</v>
      </c>
      <c r="AM338" t="s">
        <v>245</v>
      </c>
      <c r="AN338" t="s">
        <v>63</v>
      </c>
      <c r="AO338" t="s">
        <v>1800</v>
      </c>
      <c r="AP338" t="s">
        <v>1817</v>
      </c>
    </row>
    <row r="339" spans="1:42" x14ac:dyDescent="0.45">
      <c r="A339" t="s">
        <v>1788</v>
      </c>
      <c r="B339" t="s">
        <v>1789</v>
      </c>
      <c r="C339" t="s">
        <v>1790</v>
      </c>
      <c r="D339">
        <v>2024</v>
      </c>
      <c r="E339" t="s">
        <v>45</v>
      </c>
      <c r="F339" t="s">
        <v>46</v>
      </c>
      <c r="G339">
        <v>12</v>
      </c>
      <c r="J339" t="s">
        <v>1821</v>
      </c>
      <c r="K339" t="s">
        <v>1822</v>
      </c>
      <c r="L339" t="s">
        <v>1823</v>
      </c>
      <c r="M339" t="s">
        <v>1824</v>
      </c>
      <c r="N339" t="s">
        <v>1795</v>
      </c>
      <c r="O339" t="s">
        <v>1796</v>
      </c>
      <c r="P339" t="s">
        <v>53</v>
      </c>
      <c r="Q339" t="s">
        <v>1797</v>
      </c>
      <c r="S339">
        <v>7</v>
      </c>
      <c r="T339" t="s">
        <v>1825</v>
      </c>
      <c r="U339">
        <v>261</v>
      </c>
      <c r="V339">
        <v>3174</v>
      </c>
      <c r="W339">
        <v>8.2199999999999995E-2</v>
      </c>
      <c r="X339" t="s">
        <v>56</v>
      </c>
      <c r="Y339" t="s">
        <v>1799</v>
      </c>
      <c r="Z339">
        <v>665.9</v>
      </c>
      <c r="AA339">
        <v>4.4000000000000004</v>
      </c>
      <c r="AB339">
        <v>2931</v>
      </c>
      <c r="AC339" t="b">
        <v>1</v>
      </c>
      <c r="AD339" t="b">
        <v>0</v>
      </c>
      <c r="AE339" t="b">
        <v>0</v>
      </c>
      <c r="AF339" t="b">
        <v>0</v>
      </c>
      <c r="AG339" t="s">
        <v>58</v>
      </c>
      <c r="AH339">
        <v>12</v>
      </c>
      <c r="AI339" t="s">
        <v>59</v>
      </c>
      <c r="AJ339" t="s">
        <v>60</v>
      </c>
      <c r="AK339" t="s">
        <v>252</v>
      </c>
      <c r="AL339" t="s">
        <v>415</v>
      </c>
      <c r="AM339" t="s">
        <v>245</v>
      </c>
      <c r="AN339" t="s">
        <v>63</v>
      </c>
      <c r="AO339" t="s">
        <v>1800</v>
      </c>
      <c r="AP339" t="s">
        <v>1822</v>
      </c>
    </row>
    <row r="340" spans="1:42" x14ac:dyDescent="0.45">
      <c r="A340" t="s">
        <v>1788</v>
      </c>
      <c r="B340" t="s">
        <v>1789</v>
      </c>
      <c r="C340" t="s">
        <v>1790</v>
      </c>
      <c r="D340">
        <v>2024</v>
      </c>
      <c r="E340" t="s">
        <v>45</v>
      </c>
      <c r="F340" t="s">
        <v>46</v>
      </c>
      <c r="G340">
        <v>11</v>
      </c>
      <c r="J340" t="s">
        <v>1826</v>
      </c>
      <c r="K340" t="s">
        <v>1827</v>
      </c>
      <c r="L340" t="s">
        <v>1828</v>
      </c>
      <c r="M340" t="s">
        <v>1829</v>
      </c>
      <c r="N340" t="s">
        <v>1795</v>
      </c>
      <c r="O340" t="s">
        <v>1796</v>
      </c>
      <c r="P340" t="s">
        <v>53</v>
      </c>
      <c r="Q340" t="s">
        <v>1797</v>
      </c>
      <c r="S340">
        <v>13</v>
      </c>
      <c r="T340" t="s">
        <v>1830</v>
      </c>
      <c r="U340">
        <v>263</v>
      </c>
      <c r="V340">
        <v>3174</v>
      </c>
      <c r="W340">
        <v>8.2900000000000001E-2</v>
      </c>
      <c r="X340" t="s">
        <v>56</v>
      </c>
      <c r="Y340" t="s">
        <v>1799</v>
      </c>
      <c r="Z340">
        <v>672.02</v>
      </c>
      <c r="AA340">
        <v>2.29</v>
      </c>
      <c r="AB340">
        <v>1539</v>
      </c>
      <c r="AC340" t="b">
        <v>1</v>
      </c>
      <c r="AD340" t="b">
        <v>0</v>
      </c>
      <c r="AE340" t="b">
        <v>0</v>
      </c>
      <c r="AF340" t="b">
        <v>0</v>
      </c>
      <c r="AG340" t="s">
        <v>58</v>
      </c>
      <c r="AH340">
        <v>12</v>
      </c>
      <c r="AI340" t="s">
        <v>59</v>
      </c>
      <c r="AJ340" t="s">
        <v>60</v>
      </c>
      <c r="AK340" t="s">
        <v>252</v>
      </c>
      <c r="AL340" t="s">
        <v>415</v>
      </c>
      <c r="AM340" t="s">
        <v>245</v>
      </c>
      <c r="AN340" t="s">
        <v>63</v>
      </c>
      <c r="AO340" t="s">
        <v>1800</v>
      </c>
      <c r="AP340" t="s">
        <v>1827</v>
      </c>
    </row>
    <row r="341" spans="1:42" x14ac:dyDescent="0.45">
      <c r="A341" t="s">
        <v>1788</v>
      </c>
      <c r="B341" t="s">
        <v>1789</v>
      </c>
      <c r="C341" t="s">
        <v>1790</v>
      </c>
      <c r="D341">
        <v>2024</v>
      </c>
      <c r="E341" t="s">
        <v>45</v>
      </c>
      <c r="F341" t="s">
        <v>46</v>
      </c>
      <c r="G341">
        <v>15</v>
      </c>
      <c r="J341" t="s">
        <v>1831</v>
      </c>
      <c r="K341" t="s">
        <v>1832</v>
      </c>
      <c r="L341" t="s">
        <v>1833</v>
      </c>
      <c r="M341" t="s">
        <v>1834</v>
      </c>
      <c r="N341" t="s">
        <v>1795</v>
      </c>
      <c r="O341" t="s">
        <v>1796</v>
      </c>
      <c r="P341" t="s">
        <v>53</v>
      </c>
      <c r="Q341" t="s">
        <v>1797</v>
      </c>
      <c r="S341">
        <v>1</v>
      </c>
      <c r="T341" t="s">
        <v>1835</v>
      </c>
      <c r="U341">
        <v>162</v>
      </c>
      <c r="V341">
        <v>3174</v>
      </c>
      <c r="W341">
        <v>5.0999999999999997E-2</v>
      </c>
      <c r="X341" t="s">
        <v>56</v>
      </c>
      <c r="Y341" t="s">
        <v>1799</v>
      </c>
      <c r="Z341">
        <v>644.79</v>
      </c>
      <c r="AA341">
        <v>2.31</v>
      </c>
      <c r="AB341">
        <v>1491</v>
      </c>
      <c r="AC341" t="b">
        <v>1</v>
      </c>
      <c r="AD341" t="b">
        <v>0</v>
      </c>
      <c r="AE341" t="b">
        <v>0</v>
      </c>
      <c r="AF341" t="b">
        <v>0</v>
      </c>
      <c r="AG341" t="s">
        <v>58</v>
      </c>
      <c r="AH341">
        <v>12</v>
      </c>
      <c r="AI341" t="s">
        <v>59</v>
      </c>
      <c r="AJ341" t="s">
        <v>60</v>
      </c>
      <c r="AK341" t="s">
        <v>252</v>
      </c>
      <c r="AL341" t="s">
        <v>415</v>
      </c>
      <c r="AM341" t="s">
        <v>245</v>
      </c>
      <c r="AN341" t="s">
        <v>63</v>
      </c>
      <c r="AO341" t="s">
        <v>1800</v>
      </c>
      <c r="AP341" t="s">
        <v>1832</v>
      </c>
    </row>
    <row r="342" spans="1:42" x14ac:dyDescent="0.45">
      <c r="A342" t="s">
        <v>1788</v>
      </c>
      <c r="B342" t="s">
        <v>1789</v>
      </c>
      <c r="C342" t="s">
        <v>1790</v>
      </c>
      <c r="D342">
        <v>2024</v>
      </c>
      <c r="E342" t="s">
        <v>45</v>
      </c>
      <c r="F342" t="s">
        <v>46</v>
      </c>
      <c r="G342">
        <v>11</v>
      </c>
      <c r="J342" t="s">
        <v>1836</v>
      </c>
      <c r="K342" t="s">
        <v>1837</v>
      </c>
      <c r="L342" t="s">
        <v>1838</v>
      </c>
      <c r="M342" t="s">
        <v>1839</v>
      </c>
      <c r="N342" t="s">
        <v>1795</v>
      </c>
      <c r="O342" t="s">
        <v>1796</v>
      </c>
      <c r="P342" t="s">
        <v>53</v>
      </c>
      <c r="Q342" t="s">
        <v>1797</v>
      </c>
      <c r="S342">
        <v>11</v>
      </c>
      <c r="T342" t="s">
        <v>1840</v>
      </c>
      <c r="U342">
        <v>265</v>
      </c>
      <c r="V342">
        <v>3174</v>
      </c>
      <c r="W342">
        <v>8.3500000000000005E-2</v>
      </c>
      <c r="X342" t="s">
        <v>56</v>
      </c>
      <c r="Y342" t="s">
        <v>1799</v>
      </c>
      <c r="Z342">
        <v>671</v>
      </c>
      <c r="AA342">
        <v>30</v>
      </c>
      <c r="AB342">
        <v>20127</v>
      </c>
      <c r="AC342" t="b">
        <v>1</v>
      </c>
      <c r="AD342" t="b">
        <v>0</v>
      </c>
      <c r="AE342" t="b">
        <v>0</v>
      </c>
      <c r="AF342" t="b">
        <v>0</v>
      </c>
      <c r="AG342" t="s">
        <v>58</v>
      </c>
      <c r="AH342">
        <v>12</v>
      </c>
      <c r="AI342" t="s">
        <v>59</v>
      </c>
      <c r="AJ342" t="s">
        <v>60</v>
      </c>
      <c r="AK342" t="s">
        <v>252</v>
      </c>
      <c r="AL342" t="s">
        <v>415</v>
      </c>
      <c r="AM342" t="s">
        <v>245</v>
      </c>
      <c r="AN342" t="s">
        <v>63</v>
      </c>
      <c r="AO342" t="s">
        <v>1800</v>
      </c>
      <c r="AP342" t="s">
        <v>1837</v>
      </c>
    </row>
    <row r="343" spans="1:42" x14ac:dyDescent="0.45">
      <c r="A343" t="s">
        <v>1788</v>
      </c>
      <c r="B343" t="s">
        <v>1789</v>
      </c>
      <c r="C343" t="s">
        <v>1790</v>
      </c>
      <c r="D343">
        <v>2024</v>
      </c>
      <c r="E343" t="s">
        <v>45</v>
      </c>
      <c r="F343" t="s">
        <v>46</v>
      </c>
      <c r="G343">
        <v>14</v>
      </c>
      <c r="J343" t="s">
        <v>1841</v>
      </c>
      <c r="K343" t="s">
        <v>1842</v>
      </c>
      <c r="L343" t="s">
        <v>1843</v>
      </c>
      <c r="M343" t="s">
        <v>1844</v>
      </c>
      <c r="N343" t="s">
        <v>1795</v>
      </c>
      <c r="O343" t="s">
        <v>1796</v>
      </c>
      <c r="P343" t="s">
        <v>53</v>
      </c>
      <c r="Q343" t="s">
        <v>1797</v>
      </c>
      <c r="S343">
        <v>3</v>
      </c>
      <c r="T343" t="s">
        <v>1845</v>
      </c>
      <c r="U343">
        <v>3087</v>
      </c>
      <c r="V343">
        <v>3174</v>
      </c>
      <c r="W343">
        <v>0.97260000000000002</v>
      </c>
      <c r="X343" t="s">
        <v>70</v>
      </c>
      <c r="Y343" t="s">
        <v>1799</v>
      </c>
      <c r="Z343">
        <v>654.71</v>
      </c>
      <c r="AA343">
        <v>35.369999999999997</v>
      </c>
      <c r="AB343">
        <v>23158</v>
      </c>
      <c r="AC343" t="b">
        <v>1</v>
      </c>
      <c r="AD343" t="b">
        <v>1</v>
      </c>
      <c r="AE343" t="b">
        <v>0</v>
      </c>
      <c r="AF343" t="b">
        <v>0</v>
      </c>
      <c r="AG343" t="s">
        <v>58</v>
      </c>
      <c r="AH343">
        <v>14</v>
      </c>
      <c r="AI343" t="s">
        <v>59</v>
      </c>
      <c r="AJ343" t="s">
        <v>71</v>
      </c>
      <c r="AL343" t="s">
        <v>244</v>
      </c>
      <c r="AM343" t="s">
        <v>245</v>
      </c>
      <c r="AN343" t="s">
        <v>63</v>
      </c>
      <c r="AO343" t="s">
        <v>1800</v>
      </c>
      <c r="AP343" t="s">
        <v>1842</v>
      </c>
    </row>
    <row r="344" spans="1:42" x14ac:dyDescent="0.45">
      <c r="A344" t="s">
        <v>1788</v>
      </c>
      <c r="B344" t="s">
        <v>1789</v>
      </c>
      <c r="C344" t="s">
        <v>1790</v>
      </c>
      <c r="D344">
        <v>2024</v>
      </c>
      <c r="E344" t="s">
        <v>45</v>
      </c>
      <c r="F344" t="s">
        <v>46</v>
      </c>
      <c r="J344" t="s">
        <v>1846</v>
      </c>
      <c r="K344" t="s">
        <v>1847</v>
      </c>
      <c r="L344" t="s">
        <v>1848</v>
      </c>
      <c r="M344" t="s">
        <v>1849</v>
      </c>
      <c r="N344" t="s">
        <v>1795</v>
      </c>
      <c r="O344" t="s">
        <v>1796</v>
      </c>
      <c r="P344" t="s">
        <v>53</v>
      </c>
      <c r="Q344" t="s">
        <v>1797</v>
      </c>
      <c r="S344">
        <v>5</v>
      </c>
      <c r="T344" t="s">
        <v>1850</v>
      </c>
      <c r="U344">
        <v>55</v>
      </c>
      <c r="V344">
        <v>3174</v>
      </c>
      <c r="W344">
        <v>1.7299999999999999E-2</v>
      </c>
      <c r="X344" t="s">
        <v>56</v>
      </c>
      <c r="Y344" t="s">
        <v>1799</v>
      </c>
      <c r="Z344">
        <v>663.06</v>
      </c>
      <c r="AA344">
        <v>4.57</v>
      </c>
      <c r="AB344">
        <v>3029</v>
      </c>
      <c r="AC344" t="b">
        <v>0</v>
      </c>
      <c r="AD344" t="b">
        <v>0</v>
      </c>
      <c r="AE344" t="b">
        <v>0</v>
      </c>
      <c r="AF344" t="b">
        <v>0</v>
      </c>
      <c r="AG344" t="s">
        <v>58</v>
      </c>
      <c r="AH344">
        <v>4</v>
      </c>
      <c r="AI344" t="s">
        <v>59</v>
      </c>
      <c r="AJ344" t="s">
        <v>60</v>
      </c>
      <c r="AL344" t="s">
        <v>476</v>
      </c>
      <c r="AM344" t="s">
        <v>245</v>
      </c>
      <c r="AN344" t="s">
        <v>63</v>
      </c>
      <c r="AO344" t="s">
        <v>1800</v>
      </c>
      <c r="AP344" t="s">
        <v>1847</v>
      </c>
    </row>
    <row r="345" spans="1:42" x14ac:dyDescent="0.45">
      <c r="A345" t="s">
        <v>1788</v>
      </c>
      <c r="B345" t="s">
        <v>1789</v>
      </c>
      <c r="C345" t="s">
        <v>1790</v>
      </c>
      <c r="D345">
        <v>2024</v>
      </c>
      <c r="E345" t="s">
        <v>45</v>
      </c>
      <c r="F345" t="s">
        <v>46</v>
      </c>
      <c r="G345">
        <v>12</v>
      </c>
      <c r="J345" t="s">
        <v>1851</v>
      </c>
      <c r="K345" t="s">
        <v>1852</v>
      </c>
      <c r="L345" t="s">
        <v>1853</v>
      </c>
      <c r="M345" t="s">
        <v>1854</v>
      </c>
      <c r="N345" t="s">
        <v>1795</v>
      </c>
      <c r="O345" t="s">
        <v>1796</v>
      </c>
      <c r="P345" t="s">
        <v>53</v>
      </c>
      <c r="Q345" t="s">
        <v>1797</v>
      </c>
      <c r="S345">
        <v>8</v>
      </c>
      <c r="T345" t="s">
        <v>1855</v>
      </c>
      <c r="U345">
        <v>51</v>
      </c>
      <c r="V345">
        <v>3174</v>
      </c>
      <c r="W345">
        <v>1.61E-2</v>
      </c>
      <c r="X345" t="s">
        <v>56</v>
      </c>
      <c r="Y345" t="s">
        <v>1799</v>
      </c>
      <c r="Z345">
        <v>665.95</v>
      </c>
      <c r="AA345">
        <v>4.24</v>
      </c>
      <c r="AB345">
        <v>2822</v>
      </c>
      <c r="AC345" t="b">
        <v>1</v>
      </c>
      <c r="AD345" t="b">
        <v>0</v>
      </c>
      <c r="AE345" t="b">
        <v>0</v>
      </c>
      <c r="AF345" t="b">
        <v>0</v>
      </c>
      <c r="AG345" t="s">
        <v>58</v>
      </c>
      <c r="AH345">
        <v>12</v>
      </c>
      <c r="AI345" t="s">
        <v>59</v>
      </c>
      <c r="AJ345" t="s">
        <v>60</v>
      </c>
      <c r="AK345" t="s">
        <v>252</v>
      </c>
      <c r="AL345" t="s">
        <v>415</v>
      </c>
      <c r="AM345" t="s">
        <v>245</v>
      </c>
      <c r="AN345" t="s">
        <v>63</v>
      </c>
      <c r="AO345" t="s">
        <v>1800</v>
      </c>
      <c r="AP345" t="s">
        <v>1852</v>
      </c>
    </row>
    <row r="346" spans="1:42" x14ac:dyDescent="0.45">
      <c r="A346" t="s">
        <v>1788</v>
      </c>
      <c r="B346" t="s">
        <v>1789</v>
      </c>
      <c r="C346" t="s">
        <v>1790</v>
      </c>
      <c r="D346">
        <v>2024</v>
      </c>
      <c r="E346" t="s">
        <v>45</v>
      </c>
      <c r="F346" t="s">
        <v>46</v>
      </c>
      <c r="G346">
        <v>8</v>
      </c>
      <c r="J346" t="e">
        <v>#NAME?</v>
      </c>
      <c r="K346" t="s">
        <v>1856</v>
      </c>
      <c r="L346" t="s">
        <v>1857</v>
      </c>
      <c r="M346" t="s">
        <v>1858</v>
      </c>
      <c r="N346" t="s">
        <v>1795</v>
      </c>
      <c r="O346" t="s">
        <v>1796</v>
      </c>
      <c r="P346" t="s">
        <v>53</v>
      </c>
      <c r="Q346" t="s">
        <v>1797</v>
      </c>
      <c r="S346">
        <v>22</v>
      </c>
      <c r="T346" t="s">
        <v>1859</v>
      </c>
      <c r="U346">
        <v>213</v>
      </c>
      <c r="V346">
        <v>3174</v>
      </c>
      <c r="W346">
        <v>6.7100000000000007E-2</v>
      </c>
      <c r="X346" t="s">
        <v>56</v>
      </c>
      <c r="Y346" t="s">
        <v>1799</v>
      </c>
      <c r="Z346">
        <v>691.98</v>
      </c>
      <c r="AA346">
        <v>1.33</v>
      </c>
      <c r="AB346">
        <v>922</v>
      </c>
      <c r="AC346" t="b">
        <v>1</v>
      </c>
      <c r="AD346" t="b">
        <v>0</v>
      </c>
      <c r="AE346" t="b">
        <v>0</v>
      </c>
      <c r="AF346" t="b">
        <v>0</v>
      </c>
      <c r="AG346" t="s">
        <v>58</v>
      </c>
      <c r="AH346">
        <v>12</v>
      </c>
      <c r="AI346" t="s">
        <v>59</v>
      </c>
      <c r="AJ346" t="s">
        <v>60</v>
      </c>
      <c r="AK346" t="s">
        <v>252</v>
      </c>
      <c r="AL346" t="s">
        <v>415</v>
      </c>
      <c r="AM346" t="s">
        <v>245</v>
      </c>
      <c r="AN346" t="s">
        <v>63</v>
      </c>
      <c r="AO346" t="s">
        <v>1800</v>
      </c>
      <c r="AP346" t="s">
        <v>1856</v>
      </c>
    </row>
    <row r="347" spans="1:42" x14ac:dyDescent="0.45">
      <c r="A347" t="s">
        <v>1788</v>
      </c>
      <c r="B347" t="s">
        <v>1789</v>
      </c>
      <c r="C347" t="s">
        <v>1790</v>
      </c>
      <c r="D347">
        <v>2024</v>
      </c>
      <c r="E347" t="s">
        <v>45</v>
      </c>
      <c r="F347" t="s">
        <v>46</v>
      </c>
      <c r="G347">
        <v>8</v>
      </c>
      <c r="J347" t="s">
        <v>1860</v>
      </c>
      <c r="K347" t="s">
        <v>1861</v>
      </c>
      <c r="L347" t="s">
        <v>1857</v>
      </c>
      <c r="M347" t="s">
        <v>1858</v>
      </c>
      <c r="N347" t="s">
        <v>1795</v>
      </c>
      <c r="O347" t="s">
        <v>1796</v>
      </c>
      <c r="P347" t="s">
        <v>53</v>
      </c>
      <c r="Q347" t="s">
        <v>1797</v>
      </c>
      <c r="S347">
        <v>21</v>
      </c>
      <c r="T347" t="s">
        <v>1862</v>
      </c>
      <c r="U347">
        <v>59</v>
      </c>
      <c r="V347">
        <v>3174</v>
      </c>
      <c r="W347">
        <v>1.8599999999999998E-2</v>
      </c>
      <c r="X347" t="s">
        <v>56</v>
      </c>
      <c r="Y347" t="s">
        <v>1799</v>
      </c>
      <c r="Z347">
        <v>691.96</v>
      </c>
      <c r="AA347">
        <v>4.3099999999999996</v>
      </c>
      <c r="AB347">
        <v>2983</v>
      </c>
      <c r="AC347" t="b">
        <v>1</v>
      </c>
      <c r="AD347" t="b">
        <v>0</v>
      </c>
      <c r="AE347" t="b">
        <v>0</v>
      </c>
      <c r="AF347" t="b">
        <v>0</v>
      </c>
      <c r="AG347" t="s">
        <v>58</v>
      </c>
      <c r="AH347">
        <v>12</v>
      </c>
      <c r="AI347" t="s">
        <v>59</v>
      </c>
      <c r="AJ347" t="s">
        <v>60</v>
      </c>
      <c r="AK347" t="s">
        <v>252</v>
      </c>
      <c r="AL347" t="s">
        <v>415</v>
      </c>
      <c r="AM347" t="s">
        <v>245</v>
      </c>
      <c r="AN347" t="s">
        <v>63</v>
      </c>
      <c r="AO347" t="s">
        <v>1800</v>
      </c>
      <c r="AP347" t="s">
        <v>1861</v>
      </c>
    </row>
    <row r="348" spans="1:42" x14ac:dyDescent="0.45">
      <c r="A348" t="s">
        <v>1788</v>
      </c>
      <c r="B348" t="s">
        <v>1789</v>
      </c>
      <c r="C348" t="s">
        <v>1790</v>
      </c>
      <c r="D348">
        <v>2024</v>
      </c>
      <c r="E348" t="s">
        <v>45</v>
      </c>
      <c r="F348" t="s">
        <v>46</v>
      </c>
      <c r="J348" t="s">
        <v>1863</v>
      </c>
      <c r="K348" t="s">
        <v>1864</v>
      </c>
      <c r="L348" t="s">
        <v>1865</v>
      </c>
      <c r="M348" t="s">
        <v>1866</v>
      </c>
      <c r="N348" t="s">
        <v>1795</v>
      </c>
      <c r="O348" t="s">
        <v>1796</v>
      </c>
      <c r="P348" t="s">
        <v>53</v>
      </c>
      <c r="Q348" t="s">
        <v>1797</v>
      </c>
      <c r="S348">
        <v>15</v>
      </c>
      <c r="T348" t="s">
        <v>1867</v>
      </c>
      <c r="U348">
        <v>53</v>
      </c>
      <c r="V348">
        <v>3174</v>
      </c>
      <c r="W348">
        <v>1.67E-2</v>
      </c>
      <c r="X348" t="s">
        <v>56</v>
      </c>
      <c r="Y348" t="s">
        <v>1799</v>
      </c>
      <c r="Z348">
        <v>678</v>
      </c>
      <c r="AA348">
        <v>2.72</v>
      </c>
      <c r="AB348">
        <v>1843</v>
      </c>
      <c r="AC348" t="b">
        <v>0</v>
      </c>
      <c r="AD348" t="b">
        <v>0</v>
      </c>
      <c r="AE348" t="b">
        <v>0</v>
      </c>
      <c r="AF348" t="b">
        <v>0</v>
      </c>
      <c r="AG348" t="s">
        <v>58</v>
      </c>
      <c r="AH348">
        <v>4</v>
      </c>
      <c r="AI348" t="s">
        <v>59</v>
      </c>
      <c r="AJ348" t="s">
        <v>60</v>
      </c>
      <c r="AL348" t="s">
        <v>476</v>
      </c>
      <c r="AM348" t="s">
        <v>245</v>
      </c>
      <c r="AN348" t="s">
        <v>63</v>
      </c>
      <c r="AO348" t="s">
        <v>1800</v>
      </c>
      <c r="AP348" t="s">
        <v>1864</v>
      </c>
    </row>
    <row r="349" spans="1:42" x14ac:dyDescent="0.45">
      <c r="A349" t="s">
        <v>1788</v>
      </c>
      <c r="B349" t="s">
        <v>1789</v>
      </c>
      <c r="C349" t="s">
        <v>1790</v>
      </c>
      <c r="D349">
        <v>2024</v>
      </c>
      <c r="E349" t="s">
        <v>45</v>
      </c>
      <c r="F349" t="s">
        <v>46</v>
      </c>
      <c r="G349">
        <v>15</v>
      </c>
      <c r="J349" t="s">
        <v>1868</v>
      </c>
      <c r="K349" t="s">
        <v>1869</v>
      </c>
      <c r="L349" t="s">
        <v>1870</v>
      </c>
      <c r="M349" t="s">
        <v>1871</v>
      </c>
      <c r="N349" t="s">
        <v>1795</v>
      </c>
      <c r="O349" t="s">
        <v>1796</v>
      </c>
      <c r="P349" t="s">
        <v>53</v>
      </c>
      <c r="Q349" t="s">
        <v>1797</v>
      </c>
      <c r="S349">
        <v>2</v>
      </c>
      <c r="T349" t="s">
        <v>1872</v>
      </c>
      <c r="U349">
        <v>3456</v>
      </c>
      <c r="V349">
        <v>3174</v>
      </c>
      <c r="W349">
        <v>1.0888</v>
      </c>
      <c r="X349" t="s">
        <v>70</v>
      </c>
      <c r="Y349" t="s">
        <v>1799</v>
      </c>
      <c r="Z349">
        <v>647.71</v>
      </c>
      <c r="AA349">
        <v>28.45</v>
      </c>
      <c r="AB349">
        <v>18429</v>
      </c>
      <c r="AC349" t="b">
        <v>1</v>
      </c>
      <c r="AD349" t="b">
        <v>1</v>
      </c>
      <c r="AE349" t="b">
        <v>0</v>
      </c>
      <c r="AF349" t="b">
        <v>0</v>
      </c>
      <c r="AG349" t="s">
        <v>58</v>
      </c>
      <c r="AH349">
        <v>14</v>
      </c>
      <c r="AI349" t="s">
        <v>59</v>
      </c>
      <c r="AJ349" t="s">
        <v>71</v>
      </c>
      <c r="AL349" t="s">
        <v>244</v>
      </c>
      <c r="AM349" t="s">
        <v>245</v>
      </c>
      <c r="AN349" t="s">
        <v>63</v>
      </c>
      <c r="AO349" t="s">
        <v>1800</v>
      </c>
      <c r="AP349" t="s">
        <v>1869</v>
      </c>
    </row>
    <row r="350" spans="1:42" x14ac:dyDescent="0.45">
      <c r="A350" t="s">
        <v>1788</v>
      </c>
      <c r="B350" t="s">
        <v>1789</v>
      </c>
      <c r="C350" t="s">
        <v>1790</v>
      </c>
      <c r="D350">
        <v>2024</v>
      </c>
      <c r="E350" t="s">
        <v>45</v>
      </c>
      <c r="F350" t="s">
        <v>46</v>
      </c>
      <c r="G350">
        <v>10</v>
      </c>
      <c r="J350" t="s">
        <v>1873</v>
      </c>
      <c r="K350" t="s">
        <v>1874</v>
      </c>
      <c r="L350" t="s">
        <v>1875</v>
      </c>
      <c r="M350" t="s">
        <v>1876</v>
      </c>
      <c r="N350" t="s">
        <v>1795</v>
      </c>
      <c r="O350" t="s">
        <v>1796</v>
      </c>
      <c r="P350" t="s">
        <v>53</v>
      </c>
      <c r="Q350" t="s">
        <v>1797</v>
      </c>
      <c r="S350">
        <v>17</v>
      </c>
      <c r="T350" t="s">
        <v>1877</v>
      </c>
      <c r="U350">
        <v>267</v>
      </c>
      <c r="V350">
        <v>3174</v>
      </c>
      <c r="W350">
        <v>8.4099999999999994E-2</v>
      </c>
      <c r="X350" t="s">
        <v>56</v>
      </c>
      <c r="Y350" t="s">
        <v>1799</v>
      </c>
      <c r="Z350">
        <v>678.05</v>
      </c>
      <c r="AA350">
        <v>2.13</v>
      </c>
      <c r="AB350">
        <v>1447</v>
      </c>
      <c r="AC350" t="b">
        <v>1</v>
      </c>
      <c r="AD350" t="b">
        <v>0</v>
      </c>
      <c r="AE350" t="b">
        <v>0</v>
      </c>
      <c r="AF350" t="b">
        <v>0</v>
      </c>
      <c r="AG350" t="s">
        <v>58</v>
      </c>
      <c r="AH350">
        <v>12</v>
      </c>
      <c r="AI350" t="s">
        <v>59</v>
      </c>
      <c r="AJ350" t="s">
        <v>60</v>
      </c>
      <c r="AK350" t="s">
        <v>252</v>
      </c>
      <c r="AL350" t="s">
        <v>415</v>
      </c>
      <c r="AM350" t="s">
        <v>245</v>
      </c>
      <c r="AN350" t="s">
        <v>63</v>
      </c>
      <c r="AO350" t="s">
        <v>1800</v>
      </c>
      <c r="AP350" t="s">
        <v>1874</v>
      </c>
    </row>
    <row r="351" spans="1:42" x14ac:dyDescent="0.45">
      <c r="A351" t="s">
        <v>1788</v>
      </c>
      <c r="B351" t="s">
        <v>1789</v>
      </c>
      <c r="C351" t="s">
        <v>1790</v>
      </c>
      <c r="D351">
        <v>2024</v>
      </c>
      <c r="E351" t="s">
        <v>45</v>
      </c>
      <c r="F351" t="s">
        <v>46</v>
      </c>
      <c r="G351">
        <v>9</v>
      </c>
      <c r="J351" t="s">
        <v>1878</v>
      </c>
      <c r="K351" t="s">
        <v>1879</v>
      </c>
      <c r="L351" t="s">
        <v>1880</v>
      </c>
      <c r="M351" t="s">
        <v>1881</v>
      </c>
      <c r="N351" t="s">
        <v>1795</v>
      </c>
      <c r="O351" t="s">
        <v>1796</v>
      </c>
      <c r="P351" t="s">
        <v>53</v>
      </c>
      <c r="Q351" t="s">
        <v>1797</v>
      </c>
      <c r="S351">
        <v>20</v>
      </c>
      <c r="T351" t="s">
        <v>1882</v>
      </c>
      <c r="U351">
        <v>3070</v>
      </c>
      <c r="V351">
        <v>3174</v>
      </c>
      <c r="W351">
        <v>0.96719999999999995</v>
      </c>
      <c r="X351" t="s">
        <v>70</v>
      </c>
      <c r="Y351" t="s">
        <v>1799</v>
      </c>
      <c r="Z351">
        <v>689.71</v>
      </c>
      <c r="AA351">
        <v>83.46</v>
      </c>
      <c r="AB351">
        <v>57564</v>
      </c>
      <c r="AC351" t="b">
        <v>1</v>
      </c>
      <c r="AD351" t="b">
        <v>1</v>
      </c>
      <c r="AE351" t="b">
        <v>0</v>
      </c>
      <c r="AF351" t="b">
        <v>0</v>
      </c>
      <c r="AG351" t="s">
        <v>58</v>
      </c>
      <c r="AH351">
        <v>14</v>
      </c>
      <c r="AI351" t="s">
        <v>59</v>
      </c>
      <c r="AJ351" t="s">
        <v>71</v>
      </c>
      <c r="AL351" t="s">
        <v>244</v>
      </c>
      <c r="AM351" t="s">
        <v>245</v>
      </c>
      <c r="AN351" t="s">
        <v>63</v>
      </c>
      <c r="AO351" t="s">
        <v>1800</v>
      </c>
      <c r="AP351" t="s">
        <v>1879</v>
      </c>
    </row>
    <row r="352" spans="1:42" x14ac:dyDescent="0.45">
      <c r="A352" t="s">
        <v>1788</v>
      </c>
      <c r="B352" t="s">
        <v>1789</v>
      </c>
      <c r="C352" t="s">
        <v>1790</v>
      </c>
      <c r="D352">
        <v>2024</v>
      </c>
      <c r="E352" t="s">
        <v>45</v>
      </c>
      <c r="F352" t="s">
        <v>46</v>
      </c>
      <c r="G352">
        <v>8</v>
      </c>
      <c r="J352" t="s">
        <v>1883</v>
      </c>
      <c r="K352" t="s">
        <v>1884</v>
      </c>
      <c r="L352" t="s">
        <v>1885</v>
      </c>
      <c r="M352" t="s">
        <v>1886</v>
      </c>
      <c r="N352" t="s">
        <v>1795</v>
      </c>
      <c r="O352" t="s">
        <v>1796</v>
      </c>
      <c r="P352" t="s">
        <v>53</v>
      </c>
      <c r="Q352" t="s">
        <v>1797</v>
      </c>
      <c r="S352">
        <v>23</v>
      </c>
      <c r="T352" t="s">
        <v>1887</v>
      </c>
      <c r="U352">
        <v>3167</v>
      </c>
      <c r="V352">
        <v>3174</v>
      </c>
      <c r="W352">
        <v>0.99780000000000002</v>
      </c>
      <c r="X352" t="s">
        <v>70</v>
      </c>
      <c r="Y352" t="s">
        <v>1799</v>
      </c>
      <c r="Z352">
        <v>696.71</v>
      </c>
      <c r="AA352">
        <v>116.64</v>
      </c>
      <c r="AB352">
        <v>81261</v>
      </c>
      <c r="AC352" t="b">
        <v>1</v>
      </c>
      <c r="AD352" t="b">
        <v>1</v>
      </c>
      <c r="AE352" t="b">
        <v>0</v>
      </c>
      <c r="AF352" t="b">
        <v>0</v>
      </c>
      <c r="AG352" t="s">
        <v>58</v>
      </c>
      <c r="AH352">
        <v>14</v>
      </c>
      <c r="AI352" t="s">
        <v>59</v>
      </c>
      <c r="AJ352" t="s">
        <v>71</v>
      </c>
      <c r="AL352" t="s">
        <v>244</v>
      </c>
      <c r="AM352" t="s">
        <v>245</v>
      </c>
      <c r="AN352" t="s">
        <v>63</v>
      </c>
      <c r="AO352" t="s">
        <v>1800</v>
      </c>
      <c r="AP352" t="s">
        <v>1884</v>
      </c>
    </row>
    <row r="353" spans="1:42" x14ac:dyDescent="0.45">
      <c r="A353" t="s">
        <v>1788</v>
      </c>
      <c r="B353" t="s">
        <v>1789</v>
      </c>
      <c r="C353" t="s">
        <v>1790</v>
      </c>
      <c r="D353">
        <v>2024</v>
      </c>
      <c r="E353" t="s">
        <v>45</v>
      </c>
      <c r="F353" t="s">
        <v>46</v>
      </c>
      <c r="G353">
        <v>8</v>
      </c>
      <c r="J353" t="s">
        <v>1888</v>
      </c>
      <c r="K353" t="s">
        <v>1889</v>
      </c>
      <c r="L353" t="s">
        <v>1890</v>
      </c>
      <c r="M353" t="s">
        <v>1891</v>
      </c>
      <c r="N353" t="s">
        <v>1795</v>
      </c>
      <c r="O353" t="s">
        <v>1796</v>
      </c>
      <c r="P353" t="s">
        <v>53</v>
      </c>
      <c r="Q353" t="s">
        <v>1797</v>
      </c>
      <c r="S353">
        <v>19</v>
      </c>
      <c r="T353" t="s">
        <v>1892</v>
      </c>
      <c r="U353">
        <v>200</v>
      </c>
      <c r="V353">
        <v>3174</v>
      </c>
      <c r="W353">
        <v>6.3E-2</v>
      </c>
      <c r="X353" t="s">
        <v>56</v>
      </c>
      <c r="Y353" t="s">
        <v>1799</v>
      </c>
      <c r="Z353">
        <v>687</v>
      </c>
      <c r="AA353">
        <v>2.8</v>
      </c>
      <c r="AB353">
        <v>1922</v>
      </c>
      <c r="AC353" t="b">
        <v>1</v>
      </c>
      <c r="AD353" t="b">
        <v>0</v>
      </c>
      <c r="AE353" t="b">
        <v>0</v>
      </c>
      <c r="AF353" t="b">
        <v>0</v>
      </c>
      <c r="AG353" t="s">
        <v>58</v>
      </c>
      <c r="AH353">
        <v>12</v>
      </c>
      <c r="AI353" t="s">
        <v>59</v>
      </c>
      <c r="AJ353" t="s">
        <v>60</v>
      </c>
      <c r="AK353" t="s">
        <v>252</v>
      </c>
      <c r="AL353" t="s">
        <v>415</v>
      </c>
      <c r="AM353" t="s">
        <v>245</v>
      </c>
      <c r="AN353" t="s">
        <v>63</v>
      </c>
      <c r="AO353" t="s">
        <v>1800</v>
      </c>
      <c r="AP353" t="s">
        <v>1889</v>
      </c>
    </row>
    <row r="354" spans="1:42" x14ac:dyDescent="0.45">
      <c r="A354" t="s">
        <v>1788</v>
      </c>
      <c r="B354" t="s">
        <v>1789</v>
      </c>
      <c r="C354" t="s">
        <v>1790</v>
      </c>
      <c r="D354">
        <v>2024</v>
      </c>
      <c r="E354" t="s">
        <v>45</v>
      </c>
      <c r="F354" t="s">
        <v>46</v>
      </c>
      <c r="G354">
        <v>7</v>
      </c>
      <c r="J354" t="s">
        <v>1893</v>
      </c>
      <c r="K354" t="s">
        <v>1894</v>
      </c>
      <c r="L354" t="s">
        <v>1895</v>
      </c>
      <c r="M354" t="s">
        <v>1896</v>
      </c>
      <c r="N354" t="s">
        <v>1795</v>
      </c>
      <c r="O354" t="s">
        <v>1796</v>
      </c>
      <c r="P354" t="s">
        <v>53</v>
      </c>
      <c r="Q354" t="s">
        <v>1797</v>
      </c>
      <c r="S354">
        <v>24</v>
      </c>
      <c r="T354" t="s">
        <v>1897</v>
      </c>
      <c r="U354">
        <v>3174</v>
      </c>
      <c r="V354">
        <v>3174</v>
      </c>
      <c r="W354">
        <v>1</v>
      </c>
      <c r="X354" t="s">
        <v>70</v>
      </c>
      <c r="Y354" t="s">
        <v>1799</v>
      </c>
      <c r="Z354">
        <v>703.71</v>
      </c>
      <c r="AA354">
        <v>106</v>
      </c>
      <c r="AB354">
        <v>74595</v>
      </c>
      <c r="AC354" t="b">
        <v>1</v>
      </c>
      <c r="AD354" t="b">
        <v>1</v>
      </c>
      <c r="AE354" t="b">
        <v>0</v>
      </c>
      <c r="AF354" t="b">
        <v>0</v>
      </c>
      <c r="AG354" t="s">
        <v>58</v>
      </c>
      <c r="AH354">
        <v>14</v>
      </c>
      <c r="AI354" t="s">
        <v>59</v>
      </c>
      <c r="AJ354" t="s">
        <v>71</v>
      </c>
      <c r="AL354" t="s">
        <v>244</v>
      </c>
      <c r="AM354" t="s">
        <v>245</v>
      </c>
      <c r="AN354" t="s">
        <v>63</v>
      </c>
      <c r="AO354" t="s">
        <v>1800</v>
      </c>
      <c r="AP354" t="s">
        <v>1894</v>
      </c>
    </row>
    <row r="355" spans="1:42" x14ac:dyDescent="0.45">
      <c r="A355" t="s">
        <v>1788</v>
      </c>
      <c r="B355" t="s">
        <v>1789</v>
      </c>
      <c r="C355" t="s">
        <v>1790</v>
      </c>
      <c r="D355">
        <v>2024</v>
      </c>
      <c r="E355" t="s">
        <v>45</v>
      </c>
      <c r="F355" t="s">
        <v>46</v>
      </c>
      <c r="G355">
        <v>5</v>
      </c>
      <c r="J355" t="s">
        <v>1898</v>
      </c>
      <c r="K355" t="s">
        <v>1899</v>
      </c>
      <c r="L355" t="s">
        <v>1900</v>
      </c>
      <c r="M355" t="s">
        <v>1901</v>
      </c>
      <c r="N355" t="s">
        <v>1795</v>
      </c>
      <c r="O355" t="s">
        <v>1796</v>
      </c>
      <c r="P355" t="s">
        <v>53</v>
      </c>
      <c r="Q355" t="s">
        <v>1797</v>
      </c>
      <c r="S355">
        <v>27</v>
      </c>
      <c r="T355" t="s">
        <v>1902</v>
      </c>
      <c r="U355">
        <v>3303</v>
      </c>
      <c r="V355">
        <v>3174</v>
      </c>
      <c r="W355">
        <v>1.0406</v>
      </c>
      <c r="X355" t="s">
        <v>70</v>
      </c>
      <c r="Y355" t="s">
        <v>1799</v>
      </c>
      <c r="Z355">
        <v>717.71</v>
      </c>
      <c r="AA355">
        <v>138.31</v>
      </c>
      <c r="AB355">
        <v>99267</v>
      </c>
      <c r="AC355" t="b">
        <v>1</v>
      </c>
      <c r="AD355" t="b">
        <v>1</v>
      </c>
      <c r="AE355" t="b">
        <v>0</v>
      </c>
      <c r="AF355" t="b">
        <v>0</v>
      </c>
      <c r="AG355" t="s">
        <v>58</v>
      </c>
      <c r="AH355">
        <v>14</v>
      </c>
      <c r="AI355" t="s">
        <v>59</v>
      </c>
      <c r="AJ355" t="s">
        <v>71</v>
      </c>
      <c r="AL355" t="s">
        <v>244</v>
      </c>
      <c r="AM355" t="s">
        <v>245</v>
      </c>
      <c r="AN355" t="s">
        <v>63</v>
      </c>
      <c r="AO355" t="s">
        <v>1800</v>
      </c>
      <c r="AP355" t="s">
        <v>1899</v>
      </c>
    </row>
    <row r="356" spans="1:42" x14ac:dyDescent="0.45">
      <c r="A356" t="s">
        <v>1788</v>
      </c>
      <c r="B356" t="s">
        <v>1789</v>
      </c>
      <c r="C356" t="s">
        <v>1790</v>
      </c>
      <c r="D356">
        <v>2024</v>
      </c>
      <c r="E356" t="s">
        <v>45</v>
      </c>
      <c r="F356" t="s">
        <v>46</v>
      </c>
      <c r="G356">
        <v>6</v>
      </c>
      <c r="J356" t="s">
        <v>1903</v>
      </c>
      <c r="K356" t="s">
        <v>1904</v>
      </c>
      <c r="L356" t="s">
        <v>1905</v>
      </c>
      <c r="M356" t="s">
        <v>1906</v>
      </c>
      <c r="N356" t="s">
        <v>1795</v>
      </c>
      <c r="O356" t="s">
        <v>1796</v>
      </c>
      <c r="P356" t="s">
        <v>53</v>
      </c>
      <c r="Q356" t="s">
        <v>1797</v>
      </c>
      <c r="S356">
        <v>25</v>
      </c>
      <c r="T356" t="s">
        <v>1907</v>
      </c>
      <c r="U356">
        <v>2655</v>
      </c>
      <c r="V356">
        <v>3174</v>
      </c>
      <c r="W356">
        <v>0.83650000000000002</v>
      </c>
      <c r="X356" t="s">
        <v>70</v>
      </c>
      <c r="Y356" t="s">
        <v>1799</v>
      </c>
      <c r="Z356">
        <v>710.71</v>
      </c>
      <c r="AA356">
        <v>134.13</v>
      </c>
      <c r="AB356">
        <v>95327</v>
      </c>
      <c r="AC356" t="b">
        <v>1</v>
      </c>
      <c r="AD356" t="b">
        <v>1</v>
      </c>
      <c r="AE356" t="b">
        <v>0</v>
      </c>
      <c r="AF356" t="b">
        <v>0</v>
      </c>
      <c r="AG356" t="s">
        <v>58</v>
      </c>
      <c r="AH356">
        <v>14</v>
      </c>
      <c r="AI356" t="s">
        <v>59</v>
      </c>
      <c r="AJ356" t="s">
        <v>71</v>
      </c>
      <c r="AL356" t="s">
        <v>244</v>
      </c>
      <c r="AM356" t="s">
        <v>245</v>
      </c>
      <c r="AN356" t="s">
        <v>63</v>
      </c>
      <c r="AO356" t="s">
        <v>1800</v>
      </c>
      <c r="AP356" t="s">
        <v>1904</v>
      </c>
    </row>
    <row r="357" spans="1:42" x14ac:dyDescent="0.45">
      <c r="A357" t="s">
        <v>1788</v>
      </c>
      <c r="B357" t="s">
        <v>1789</v>
      </c>
      <c r="C357" t="s">
        <v>1790</v>
      </c>
      <c r="D357">
        <v>2024</v>
      </c>
      <c r="E357" t="s">
        <v>45</v>
      </c>
      <c r="F357" t="s">
        <v>46</v>
      </c>
      <c r="G357">
        <v>3</v>
      </c>
      <c r="J357" t="s">
        <v>1908</v>
      </c>
      <c r="K357" t="s">
        <v>1909</v>
      </c>
      <c r="L357" t="s">
        <v>1910</v>
      </c>
      <c r="M357" t="s">
        <v>1911</v>
      </c>
      <c r="N357" t="s">
        <v>1795</v>
      </c>
      <c r="O357" t="s">
        <v>1796</v>
      </c>
      <c r="P357" t="s">
        <v>53</v>
      </c>
      <c r="Q357" t="s">
        <v>1797</v>
      </c>
      <c r="S357">
        <v>33</v>
      </c>
      <c r="T357" t="s">
        <v>1912</v>
      </c>
      <c r="U357">
        <v>47</v>
      </c>
      <c r="V357">
        <v>3174</v>
      </c>
      <c r="W357">
        <v>1.4800000000000001E-2</v>
      </c>
      <c r="X357" t="s">
        <v>56</v>
      </c>
      <c r="Y357" t="s">
        <v>1799</v>
      </c>
      <c r="Z357">
        <v>729.71</v>
      </c>
      <c r="AA357">
        <v>70.010000000000005</v>
      </c>
      <c r="AB357">
        <v>51085</v>
      </c>
      <c r="AC357" t="b">
        <v>1</v>
      </c>
      <c r="AD357" t="b">
        <v>0</v>
      </c>
      <c r="AE357" t="b">
        <v>0</v>
      </c>
      <c r="AF357" t="b">
        <v>0</v>
      </c>
      <c r="AG357" t="s">
        <v>58</v>
      </c>
      <c r="AH357">
        <v>12</v>
      </c>
      <c r="AI357" t="s">
        <v>59</v>
      </c>
      <c r="AJ357" t="s">
        <v>60</v>
      </c>
      <c r="AK357" t="s">
        <v>252</v>
      </c>
      <c r="AL357" t="s">
        <v>415</v>
      </c>
      <c r="AM357" t="s">
        <v>245</v>
      </c>
      <c r="AN357" t="s">
        <v>63</v>
      </c>
      <c r="AO357" t="s">
        <v>1800</v>
      </c>
      <c r="AP357" t="s">
        <v>1909</v>
      </c>
    </row>
    <row r="358" spans="1:42" x14ac:dyDescent="0.45">
      <c r="A358" t="s">
        <v>1788</v>
      </c>
      <c r="B358" t="s">
        <v>1789</v>
      </c>
      <c r="C358" t="s">
        <v>1790</v>
      </c>
      <c r="D358">
        <v>2024</v>
      </c>
      <c r="E358" t="s">
        <v>45</v>
      </c>
      <c r="F358" t="s">
        <v>46</v>
      </c>
      <c r="G358">
        <v>13</v>
      </c>
      <c r="J358" t="s">
        <v>1913</v>
      </c>
      <c r="K358" t="s">
        <v>1914</v>
      </c>
      <c r="L358" t="s">
        <v>1915</v>
      </c>
      <c r="M358" t="s">
        <v>1916</v>
      </c>
      <c r="N358" t="s">
        <v>1795</v>
      </c>
      <c r="O358" t="s">
        <v>1796</v>
      </c>
      <c r="P358" t="s">
        <v>53</v>
      </c>
      <c r="Q358" t="s">
        <v>1797</v>
      </c>
      <c r="S358">
        <v>4</v>
      </c>
      <c r="T358" t="s">
        <v>1917</v>
      </c>
      <c r="U358">
        <v>3177</v>
      </c>
      <c r="V358">
        <v>3174</v>
      </c>
      <c r="W358">
        <v>1.0008999999999999</v>
      </c>
      <c r="X358" t="s">
        <v>70</v>
      </c>
      <c r="Y358" t="s">
        <v>1799</v>
      </c>
      <c r="Z358">
        <v>661.09</v>
      </c>
      <c r="AA358">
        <v>36.22</v>
      </c>
      <c r="AB358">
        <v>23944</v>
      </c>
      <c r="AC358" t="b">
        <v>1</v>
      </c>
      <c r="AD358" t="b">
        <v>1</v>
      </c>
      <c r="AE358" t="b">
        <v>0</v>
      </c>
      <c r="AF358" t="b">
        <v>0</v>
      </c>
      <c r="AG358" t="s">
        <v>58</v>
      </c>
      <c r="AH358">
        <v>14</v>
      </c>
      <c r="AI358" t="s">
        <v>59</v>
      </c>
      <c r="AJ358" t="s">
        <v>71</v>
      </c>
      <c r="AL358" t="s">
        <v>244</v>
      </c>
      <c r="AM358" t="s">
        <v>245</v>
      </c>
      <c r="AN358" t="s">
        <v>63</v>
      </c>
      <c r="AO358" t="s">
        <v>1800</v>
      </c>
      <c r="AP358" t="s">
        <v>1914</v>
      </c>
    </row>
    <row r="359" spans="1:42" x14ac:dyDescent="0.45">
      <c r="A359" t="s">
        <v>1788</v>
      </c>
      <c r="B359" t="s">
        <v>1789</v>
      </c>
      <c r="C359" t="s">
        <v>1790</v>
      </c>
      <c r="D359">
        <v>2024</v>
      </c>
      <c r="E359" t="s">
        <v>45</v>
      </c>
      <c r="F359" t="s">
        <v>46</v>
      </c>
      <c r="G359">
        <v>2</v>
      </c>
      <c r="J359" t="s">
        <v>1918</v>
      </c>
      <c r="K359" t="s">
        <v>1919</v>
      </c>
      <c r="L359" t="s">
        <v>1920</v>
      </c>
      <c r="M359" t="s">
        <v>1921</v>
      </c>
      <c r="N359" t="s">
        <v>1795</v>
      </c>
      <c r="O359" t="s">
        <v>1796</v>
      </c>
      <c r="P359" t="s">
        <v>53</v>
      </c>
      <c r="Q359" t="s">
        <v>1797</v>
      </c>
      <c r="S359">
        <v>38</v>
      </c>
      <c r="T359" t="s">
        <v>1922</v>
      </c>
      <c r="U359">
        <v>365</v>
      </c>
      <c r="V359">
        <v>3174</v>
      </c>
      <c r="W359">
        <v>0.115</v>
      </c>
      <c r="X359" t="s">
        <v>56</v>
      </c>
      <c r="Y359" t="s">
        <v>1799</v>
      </c>
      <c r="Z359">
        <v>732.74</v>
      </c>
      <c r="AA359">
        <v>50.71</v>
      </c>
      <c r="AB359">
        <v>37154</v>
      </c>
      <c r="AC359" t="b">
        <v>1</v>
      </c>
      <c r="AD359" t="b">
        <v>0</v>
      </c>
      <c r="AE359" t="b">
        <v>0</v>
      </c>
      <c r="AF359" t="b">
        <v>0</v>
      </c>
      <c r="AG359" t="s">
        <v>58</v>
      </c>
      <c r="AH359">
        <v>12</v>
      </c>
      <c r="AI359" t="s">
        <v>59</v>
      </c>
      <c r="AJ359" t="s">
        <v>60</v>
      </c>
      <c r="AK359" t="s">
        <v>252</v>
      </c>
      <c r="AL359" t="s">
        <v>415</v>
      </c>
      <c r="AM359" t="s">
        <v>245</v>
      </c>
      <c r="AN359" t="s">
        <v>63</v>
      </c>
      <c r="AO359" t="s">
        <v>1800</v>
      </c>
      <c r="AP359" t="s">
        <v>1919</v>
      </c>
    </row>
    <row r="360" spans="1:42" x14ac:dyDescent="0.45">
      <c r="A360" t="s">
        <v>1788</v>
      </c>
      <c r="B360" t="s">
        <v>1789</v>
      </c>
      <c r="C360" t="s">
        <v>1790</v>
      </c>
      <c r="D360">
        <v>2024</v>
      </c>
      <c r="E360" t="s">
        <v>45</v>
      </c>
      <c r="F360" t="s">
        <v>46</v>
      </c>
      <c r="J360" t="s">
        <v>1923</v>
      </c>
      <c r="K360" t="s">
        <v>1924</v>
      </c>
      <c r="L360" t="s">
        <v>1925</v>
      </c>
      <c r="M360" t="s">
        <v>1926</v>
      </c>
      <c r="N360" t="s">
        <v>1795</v>
      </c>
      <c r="O360" t="s">
        <v>1796</v>
      </c>
      <c r="P360" t="s">
        <v>53</v>
      </c>
      <c r="Q360" t="s">
        <v>1797</v>
      </c>
      <c r="S360">
        <v>28</v>
      </c>
      <c r="T360" t="s">
        <v>1927</v>
      </c>
      <c r="U360">
        <v>55</v>
      </c>
      <c r="V360">
        <v>3174</v>
      </c>
      <c r="W360">
        <v>1.7299999999999999E-2</v>
      </c>
      <c r="X360" t="s">
        <v>56</v>
      </c>
      <c r="Y360" t="s">
        <v>1799</v>
      </c>
      <c r="Z360">
        <v>721.21</v>
      </c>
      <c r="AA360">
        <v>10.68</v>
      </c>
      <c r="AB360">
        <v>7699</v>
      </c>
      <c r="AC360" t="b">
        <v>0</v>
      </c>
      <c r="AD360" t="b">
        <v>0</v>
      </c>
      <c r="AE360" t="b">
        <v>0</v>
      </c>
      <c r="AF360" t="b">
        <v>0</v>
      </c>
      <c r="AG360" t="s">
        <v>58</v>
      </c>
      <c r="AH360">
        <v>4</v>
      </c>
      <c r="AI360" t="s">
        <v>59</v>
      </c>
      <c r="AJ360" t="s">
        <v>60</v>
      </c>
      <c r="AL360" t="s">
        <v>476</v>
      </c>
      <c r="AM360" t="s">
        <v>245</v>
      </c>
      <c r="AN360" t="s">
        <v>63</v>
      </c>
      <c r="AO360" t="s">
        <v>1800</v>
      </c>
      <c r="AP360" t="s">
        <v>1924</v>
      </c>
    </row>
    <row r="361" spans="1:42" x14ac:dyDescent="0.45">
      <c r="A361" t="s">
        <v>1788</v>
      </c>
      <c r="B361" t="s">
        <v>1789</v>
      </c>
      <c r="C361" t="s">
        <v>1790</v>
      </c>
      <c r="D361">
        <v>2024</v>
      </c>
      <c r="E361" t="s">
        <v>45</v>
      </c>
      <c r="F361" t="s">
        <v>46</v>
      </c>
      <c r="G361">
        <v>2</v>
      </c>
      <c r="J361" t="s">
        <v>1928</v>
      </c>
      <c r="K361" t="s">
        <v>1929</v>
      </c>
      <c r="L361" t="s">
        <v>1930</v>
      </c>
      <c r="M361" t="s">
        <v>1931</v>
      </c>
      <c r="N361" t="s">
        <v>1795</v>
      </c>
      <c r="O361" t="s">
        <v>1796</v>
      </c>
      <c r="P361" t="s">
        <v>53</v>
      </c>
      <c r="Q361" t="s">
        <v>1797</v>
      </c>
      <c r="S361">
        <v>41</v>
      </c>
      <c r="T361" t="s">
        <v>1932</v>
      </c>
      <c r="U361">
        <v>448</v>
      </c>
      <c r="V361">
        <v>3174</v>
      </c>
      <c r="W361">
        <v>0.1411</v>
      </c>
      <c r="X361" t="s">
        <v>56</v>
      </c>
      <c r="Y361" t="s">
        <v>1799</v>
      </c>
      <c r="Z361">
        <v>732.94</v>
      </c>
      <c r="AA361">
        <v>6.1</v>
      </c>
      <c r="AB361">
        <v>4472</v>
      </c>
      <c r="AC361" t="b">
        <v>1</v>
      </c>
      <c r="AD361" t="b">
        <v>0</v>
      </c>
      <c r="AE361" t="b">
        <v>0</v>
      </c>
      <c r="AF361" t="b">
        <v>0</v>
      </c>
      <c r="AG361" t="s">
        <v>58</v>
      </c>
      <c r="AH361">
        <v>12</v>
      </c>
      <c r="AI361" t="s">
        <v>59</v>
      </c>
      <c r="AJ361" t="s">
        <v>60</v>
      </c>
      <c r="AK361" t="s">
        <v>252</v>
      </c>
      <c r="AL361" t="s">
        <v>415</v>
      </c>
      <c r="AM361" t="s">
        <v>245</v>
      </c>
      <c r="AN361" t="s">
        <v>63</v>
      </c>
      <c r="AO361" t="s">
        <v>1800</v>
      </c>
      <c r="AP361" t="s">
        <v>1929</v>
      </c>
    </row>
    <row r="362" spans="1:42" x14ac:dyDescent="0.45">
      <c r="A362" t="s">
        <v>1788</v>
      </c>
      <c r="B362" t="s">
        <v>1789</v>
      </c>
      <c r="C362" t="s">
        <v>1790</v>
      </c>
      <c r="D362">
        <v>2024</v>
      </c>
      <c r="E362" t="s">
        <v>45</v>
      </c>
      <c r="F362" t="s">
        <v>46</v>
      </c>
      <c r="G362">
        <v>2</v>
      </c>
      <c r="J362" t="s">
        <v>1933</v>
      </c>
      <c r="K362" t="s">
        <v>1934</v>
      </c>
      <c r="L362" t="s">
        <v>1935</v>
      </c>
      <c r="M362" t="s">
        <v>1936</v>
      </c>
      <c r="N362" t="s">
        <v>1795</v>
      </c>
      <c r="O362" t="s">
        <v>1796</v>
      </c>
      <c r="P362" t="s">
        <v>53</v>
      </c>
      <c r="Q362" t="s">
        <v>1797</v>
      </c>
      <c r="S362">
        <v>40</v>
      </c>
      <c r="T362" t="s">
        <v>1937</v>
      </c>
      <c r="U362">
        <v>245</v>
      </c>
      <c r="V362">
        <v>3174</v>
      </c>
      <c r="W362">
        <v>7.7200000000000005E-2</v>
      </c>
      <c r="X362" t="s">
        <v>56</v>
      </c>
      <c r="Y362" t="s">
        <v>1799</v>
      </c>
      <c r="Z362">
        <v>732.9</v>
      </c>
      <c r="AA362">
        <v>26.09</v>
      </c>
      <c r="AB362">
        <v>19120</v>
      </c>
      <c r="AC362" t="b">
        <v>1</v>
      </c>
      <c r="AD362" t="b">
        <v>0</v>
      </c>
      <c r="AE362" t="b">
        <v>0</v>
      </c>
      <c r="AF362" t="b">
        <v>0</v>
      </c>
      <c r="AG362" t="s">
        <v>58</v>
      </c>
      <c r="AH362">
        <v>12</v>
      </c>
      <c r="AI362" t="s">
        <v>59</v>
      </c>
      <c r="AJ362" t="s">
        <v>60</v>
      </c>
      <c r="AK362" t="s">
        <v>252</v>
      </c>
      <c r="AL362" t="s">
        <v>415</v>
      </c>
      <c r="AM362" t="s">
        <v>245</v>
      </c>
      <c r="AN362" t="s">
        <v>63</v>
      </c>
      <c r="AO362" t="s">
        <v>1800</v>
      </c>
      <c r="AP362" t="s">
        <v>1934</v>
      </c>
    </row>
    <row r="363" spans="1:42" x14ac:dyDescent="0.45">
      <c r="A363" t="s">
        <v>1788</v>
      </c>
      <c r="B363" t="s">
        <v>1789</v>
      </c>
      <c r="C363" t="s">
        <v>1790</v>
      </c>
      <c r="D363">
        <v>2024</v>
      </c>
      <c r="E363" t="s">
        <v>45</v>
      </c>
      <c r="F363" t="s">
        <v>46</v>
      </c>
      <c r="J363" t="s">
        <v>1938</v>
      </c>
      <c r="K363" t="s">
        <v>1939</v>
      </c>
      <c r="L363" t="s">
        <v>1940</v>
      </c>
      <c r="M363" t="s">
        <v>1941</v>
      </c>
      <c r="N363" t="s">
        <v>1795</v>
      </c>
      <c r="O363" t="s">
        <v>1796</v>
      </c>
      <c r="P363" t="s">
        <v>53</v>
      </c>
      <c r="Q363" t="s">
        <v>1797</v>
      </c>
      <c r="S363">
        <v>39</v>
      </c>
      <c r="T363" t="s">
        <v>1942</v>
      </c>
      <c r="U363">
        <v>59</v>
      </c>
      <c r="V363">
        <v>3174</v>
      </c>
      <c r="W363">
        <v>1.8599999999999998E-2</v>
      </c>
      <c r="X363" t="s">
        <v>56</v>
      </c>
      <c r="Y363" t="s">
        <v>1799</v>
      </c>
      <c r="Z363">
        <v>732.78</v>
      </c>
      <c r="AA363">
        <v>3.12</v>
      </c>
      <c r="AB363">
        <v>2283</v>
      </c>
      <c r="AC363" t="b">
        <v>0</v>
      </c>
      <c r="AD363" t="b">
        <v>0</v>
      </c>
      <c r="AE363" t="b">
        <v>0</v>
      </c>
      <c r="AF363" t="b">
        <v>0</v>
      </c>
      <c r="AG363" t="s">
        <v>58</v>
      </c>
      <c r="AH363">
        <v>4</v>
      </c>
      <c r="AI363" t="s">
        <v>59</v>
      </c>
      <c r="AJ363" t="s">
        <v>60</v>
      </c>
      <c r="AL363" t="s">
        <v>476</v>
      </c>
      <c r="AM363" t="s">
        <v>245</v>
      </c>
      <c r="AN363" t="s">
        <v>63</v>
      </c>
      <c r="AO363" t="s">
        <v>1800</v>
      </c>
      <c r="AP363" t="s">
        <v>1939</v>
      </c>
    </row>
    <row r="364" spans="1:42" x14ac:dyDescent="0.45">
      <c r="A364" t="s">
        <v>1788</v>
      </c>
      <c r="B364" t="s">
        <v>1789</v>
      </c>
      <c r="C364" t="s">
        <v>1790</v>
      </c>
      <c r="D364">
        <v>2024</v>
      </c>
      <c r="E364" t="s">
        <v>45</v>
      </c>
      <c r="F364" t="s">
        <v>46</v>
      </c>
      <c r="J364" t="s">
        <v>1943</v>
      </c>
      <c r="K364" t="s">
        <v>1944</v>
      </c>
      <c r="L364" t="s">
        <v>1945</v>
      </c>
      <c r="M364" t="s">
        <v>1946</v>
      </c>
      <c r="N364" t="s">
        <v>1795</v>
      </c>
      <c r="O364" t="s">
        <v>1796</v>
      </c>
      <c r="P364" t="s">
        <v>53</v>
      </c>
      <c r="Q364" t="s">
        <v>1797</v>
      </c>
      <c r="S364">
        <v>30</v>
      </c>
      <c r="T364" t="s">
        <v>1947</v>
      </c>
      <c r="U364">
        <v>59</v>
      </c>
      <c r="V364">
        <v>3174</v>
      </c>
      <c r="W364">
        <v>1.8599999999999998E-2</v>
      </c>
      <c r="X364" t="s">
        <v>56</v>
      </c>
      <c r="Y364" t="s">
        <v>1799</v>
      </c>
      <c r="Z364">
        <v>722.71</v>
      </c>
      <c r="AA364">
        <v>3.43</v>
      </c>
      <c r="AB364">
        <v>2477</v>
      </c>
      <c r="AC364" t="b">
        <v>0</v>
      </c>
      <c r="AD364" t="b">
        <v>0</v>
      </c>
      <c r="AE364" t="b">
        <v>0</v>
      </c>
      <c r="AF364" t="b">
        <v>0</v>
      </c>
      <c r="AG364" t="s">
        <v>58</v>
      </c>
      <c r="AH364">
        <v>4</v>
      </c>
      <c r="AI364" t="s">
        <v>59</v>
      </c>
      <c r="AJ364" t="s">
        <v>60</v>
      </c>
      <c r="AL364" t="s">
        <v>476</v>
      </c>
      <c r="AM364" t="s">
        <v>245</v>
      </c>
      <c r="AN364" t="s">
        <v>63</v>
      </c>
      <c r="AO364" t="s">
        <v>1800</v>
      </c>
      <c r="AP364" t="s">
        <v>1944</v>
      </c>
    </row>
    <row r="365" spans="1:42" x14ac:dyDescent="0.45">
      <c r="A365" t="s">
        <v>1788</v>
      </c>
      <c r="B365" t="s">
        <v>1789</v>
      </c>
      <c r="C365" t="s">
        <v>1790</v>
      </c>
      <c r="D365">
        <v>2024</v>
      </c>
      <c r="E365" t="s">
        <v>45</v>
      </c>
      <c r="F365" t="s">
        <v>46</v>
      </c>
      <c r="G365">
        <v>3</v>
      </c>
      <c r="J365" t="s">
        <v>1948</v>
      </c>
      <c r="K365" t="s">
        <v>1949</v>
      </c>
      <c r="L365" t="s">
        <v>1950</v>
      </c>
      <c r="M365" t="s">
        <v>1951</v>
      </c>
      <c r="N365" t="s">
        <v>1795</v>
      </c>
      <c r="O365" t="s">
        <v>1796</v>
      </c>
      <c r="P365" t="s">
        <v>53</v>
      </c>
      <c r="Q365" t="s">
        <v>1797</v>
      </c>
      <c r="S365">
        <v>36</v>
      </c>
      <c r="T365" t="s">
        <v>1952</v>
      </c>
      <c r="U365">
        <v>595</v>
      </c>
      <c r="V365">
        <v>3174</v>
      </c>
      <c r="W365">
        <v>0.1875</v>
      </c>
      <c r="X365" t="s">
        <v>56</v>
      </c>
      <c r="Y365" t="s">
        <v>1799</v>
      </c>
      <c r="Z365">
        <v>729.84</v>
      </c>
      <c r="AA365">
        <v>25.14</v>
      </c>
      <c r="AB365">
        <v>18349</v>
      </c>
      <c r="AC365" t="b">
        <v>1</v>
      </c>
      <c r="AD365" t="b">
        <v>0</v>
      </c>
      <c r="AE365" t="b">
        <v>0</v>
      </c>
      <c r="AF365" t="b">
        <v>0</v>
      </c>
      <c r="AG365" t="s">
        <v>58</v>
      </c>
      <c r="AH365">
        <v>12</v>
      </c>
      <c r="AI365" t="s">
        <v>59</v>
      </c>
      <c r="AJ365" t="s">
        <v>60</v>
      </c>
      <c r="AK365" t="s">
        <v>252</v>
      </c>
      <c r="AL365" t="s">
        <v>415</v>
      </c>
      <c r="AM365" t="s">
        <v>245</v>
      </c>
      <c r="AN365" t="s">
        <v>63</v>
      </c>
      <c r="AO365" t="s">
        <v>1800</v>
      </c>
      <c r="AP365" t="s">
        <v>1949</v>
      </c>
    </row>
    <row r="366" spans="1:42" x14ac:dyDescent="0.45">
      <c r="A366" t="s">
        <v>1788</v>
      </c>
      <c r="B366" t="s">
        <v>1789</v>
      </c>
      <c r="C366" t="s">
        <v>1790</v>
      </c>
      <c r="D366">
        <v>2024</v>
      </c>
      <c r="E366" t="s">
        <v>45</v>
      </c>
      <c r="F366" t="s">
        <v>46</v>
      </c>
      <c r="G366">
        <v>2</v>
      </c>
      <c r="J366" t="s">
        <v>1953</v>
      </c>
      <c r="K366" t="s">
        <v>1954</v>
      </c>
      <c r="L366" t="s">
        <v>1955</v>
      </c>
      <c r="M366" t="s">
        <v>1956</v>
      </c>
      <c r="N366" t="s">
        <v>1795</v>
      </c>
      <c r="O366" t="s">
        <v>1796</v>
      </c>
      <c r="P366" t="s">
        <v>53</v>
      </c>
      <c r="Q366" t="s">
        <v>1797</v>
      </c>
      <c r="S366">
        <v>42</v>
      </c>
      <c r="T366" t="s">
        <v>1957</v>
      </c>
      <c r="U366">
        <v>3406</v>
      </c>
      <c r="V366">
        <v>3174</v>
      </c>
      <c r="W366">
        <v>1.0730999999999999</v>
      </c>
      <c r="X366" t="s">
        <v>70</v>
      </c>
      <c r="Y366" t="s">
        <v>1799</v>
      </c>
      <c r="Z366">
        <v>738.71</v>
      </c>
      <c r="AA366">
        <v>125.21</v>
      </c>
      <c r="AB366">
        <v>92496</v>
      </c>
      <c r="AC366" t="b">
        <v>1</v>
      </c>
      <c r="AD366" t="b">
        <v>1</v>
      </c>
      <c r="AE366" t="b">
        <v>0</v>
      </c>
      <c r="AF366" t="b">
        <v>0</v>
      </c>
      <c r="AG366" t="s">
        <v>58</v>
      </c>
      <c r="AH366">
        <v>14</v>
      </c>
      <c r="AI366" t="s">
        <v>59</v>
      </c>
      <c r="AJ366" t="s">
        <v>71</v>
      </c>
      <c r="AL366" t="s">
        <v>244</v>
      </c>
      <c r="AM366" t="s">
        <v>245</v>
      </c>
      <c r="AN366" t="s">
        <v>63</v>
      </c>
      <c r="AO366" t="s">
        <v>1800</v>
      </c>
      <c r="AP366" t="s">
        <v>1954</v>
      </c>
    </row>
    <row r="367" spans="1:42" x14ac:dyDescent="0.45">
      <c r="A367" t="s">
        <v>1788</v>
      </c>
      <c r="B367" t="s">
        <v>1789</v>
      </c>
      <c r="C367" t="s">
        <v>1790</v>
      </c>
      <c r="D367">
        <v>2024</v>
      </c>
      <c r="E367" t="s">
        <v>45</v>
      </c>
      <c r="F367" t="s">
        <v>46</v>
      </c>
      <c r="G367">
        <v>5</v>
      </c>
      <c r="J367" t="s">
        <v>1958</v>
      </c>
      <c r="K367" t="s">
        <v>1959</v>
      </c>
      <c r="L367" t="s">
        <v>1960</v>
      </c>
      <c r="M367" t="s">
        <v>1961</v>
      </c>
      <c r="N367" t="s">
        <v>1795</v>
      </c>
      <c r="O367" t="s">
        <v>1796</v>
      </c>
      <c r="P367" t="s">
        <v>53</v>
      </c>
      <c r="Q367" t="s">
        <v>1797</v>
      </c>
      <c r="S367">
        <v>26</v>
      </c>
      <c r="T367" t="s">
        <v>1962</v>
      </c>
      <c r="U367">
        <v>378</v>
      </c>
      <c r="V367">
        <v>3174</v>
      </c>
      <c r="W367">
        <v>0.1191</v>
      </c>
      <c r="X367" t="s">
        <v>56</v>
      </c>
      <c r="Y367" t="s">
        <v>1799</v>
      </c>
      <c r="Z367">
        <v>712.9</v>
      </c>
      <c r="AA367">
        <v>20.52</v>
      </c>
      <c r="AB367">
        <v>14627</v>
      </c>
      <c r="AC367" t="b">
        <v>1</v>
      </c>
      <c r="AD367" t="b">
        <v>0</v>
      </c>
      <c r="AE367" t="b">
        <v>0</v>
      </c>
      <c r="AF367" t="b">
        <v>0</v>
      </c>
      <c r="AG367" t="s">
        <v>58</v>
      </c>
      <c r="AH367">
        <v>12</v>
      </c>
      <c r="AI367" t="s">
        <v>59</v>
      </c>
      <c r="AJ367" t="s">
        <v>60</v>
      </c>
      <c r="AK367" t="s">
        <v>252</v>
      </c>
      <c r="AL367" t="s">
        <v>415</v>
      </c>
      <c r="AM367" t="s">
        <v>245</v>
      </c>
      <c r="AN367" t="s">
        <v>63</v>
      </c>
      <c r="AO367" t="s">
        <v>1800</v>
      </c>
      <c r="AP367" t="s">
        <v>1959</v>
      </c>
    </row>
    <row r="368" spans="1:42" x14ac:dyDescent="0.45">
      <c r="A368" t="s">
        <v>1788</v>
      </c>
      <c r="B368" t="s">
        <v>1789</v>
      </c>
      <c r="C368" t="s">
        <v>1790</v>
      </c>
      <c r="D368">
        <v>2024</v>
      </c>
      <c r="E368" t="s">
        <v>45</v>
      </c>
      <c r="F368" t="s">
        <v>46</v>
      </c>
      <c r="J368" t="s">
        <v>1963</v>
      </c>
      <c r="K368" t="s">
        <v>1964</v>
      </c>
      <c r="L368" t="s">
        <v>1965</v>
      </c>
      <c r="M368" t="s">
        <v>1966</v>
      </c>
      <c r="N368" t="s">
        <v>1795</v>
      </c>
      <c r="O368" t="s">
        <v>1796</v>
      </c>
      <c r="P368" t="s">
        <v>53</v>
      </c>
      <c r="Q368" t="s">
        <v>1797</v>
      </c>
      <c r="S368">
        <v>12</v>
      </c>
      <c r="T368" t="s">
        <v>1967</v>
      </c>
      <c r="U368">
        <v>58</v>
      </c>
      <c r="V368">
        <v>3174</v>
      </c>
      <c r="W368">
        <v>1.83E-2</v>
      </c>
      <c r="X368" t="s">
        <v>56</v>
      </c>
      <c r="Y368" t="s">
        <v>1799</v>
      </c>
      <c r="Z368">
        <v>671.99</v>
      </c>
      <c r="AA368">
        <v>1.81</v>
      </c>
      <c r="AB368">
        <v>1214</v>
      </c>
      <c r="AC368" t="b">
        <v>0</v>
      </c>
      <c r="AD368" t="b">
        <v>0</v>
      </c>
      <c r="AE368" t="b">
        <v>0</v>
      </c>
      <c r="AF368" t="b">
        <v>0</v>
      </c>
      <c r="AG368" t="s">
        <v>58</v>
      </c>
      <c r="AH368">
        <v>4</v>
      </c>
      <c r="AI368" t="s">
        <v>59</v>
      </c>
      <c r="AJ368" t="s">
        <v>60</v>
      </c>
      <c r="AL368" t="s">
        <v>476</v>
      </c>
      <c r="AM368" t="s">
        <v>245</v>
      </c>
      <c r="AN368" t="s">
        <v>63</v>
      </c>
      <c r="AO368" t="s">
        <v>1800</v>
      </c>
      <c r="AP368" t="s">
        <v>1964</v>
      </c>
    </row>
    <row r="369" spans="1:42" x14ac:dyDescent="0.45">
      <c r="A369" t="s">
        <v>1788</v>
      </c>
      <c r="B369" t="s">
        <v>1789</v>
      </c>
      <c r="C369" t="s">
        <v>1790</v>
      </c>
      <c r="D369">
        <v>2024</v>
      </c>
      <c r="E369" t="s">
        <v>45</v>
      </c>
      <c r="F369" t="s">
        <v>46</v>
      </c>
      <c r="G369">
        <v>12</v>
      </c>
      <c r="J369" t="s">
        <v>1968</v>
      </c>
      <c r="K369" t="s">
        <v>1969</v>
      </c>
      <c r="L369" t="s">
        <v>1970</v>
      </c>
      <c r="M369" t="s">
        <v>1971</v>
      </c>
      <c r="N369" t="s">
        <v>1795</v>
      </c>
      <c r="O369" t="s">
        <v>1796</v>
      </c>
      <c r="P369" t="s">
        <v>53</v>
      </c>
      <c r="Q369" t="s">
        <v>1797</v>
      </c>
      <c r="S369">
        <v>10</v>
      </c>
      <c r="T369" t="s">
        <v>1972</v>
      </c>
      <c r="U369">
        <v>3171</v>
      </c>
      <c r="V369">
        <v>3174</v>
      </c>
      <c r="W369">
        <v>0.99909999999999999</v>
      </c>
      <c r="X369" t="s">
        <v>70</v>
      </c>
      <c r="Y369" t="s">
        <v>1799</v>
      </c>
      <c r="Z369">
        <v>668.71</v>
      </c>
      <c r="AA369">
        <v>54.5</v>
      </c>
      <c r="AB369">
        <v>36442</v>
      </c>
      <c r="AC369" t="b">
        <v>1</v>
      </c>
      <c r="AD369" t="b">
        <v>1</v>
      </c>
      <c r="AE369" t="b">
        <v>0</v>
      </c>
      <c r="AF369" t="b">
        <v>0</v>
      </c>
      <c r="AG369" t="s">
        <v>58</v>
      </c>
      <c r="AH369">
        <v>14</v>
      </c>
      <c r="AI369" t="s">
        <v>59</v>
      </c>
      <c r="AJ369" t="s">
        <v>71</v>
      </c>
      <c r="AL369" t="s">
        <v>244</v>
      </c>
      <c r="AM369" t="s">
        <v>245</v>
      </c>
      <c r="AN369" t="s">
        <v>63</v>
      </c>
      <c r="AO369" t="s">
        <v>1800</v>
      </c>
      <c r="AP369" t="s">
        <v>1969</v>
      </c>
    </row>
    <row r="370" spans="1:42" x14ac:dyDescent="0.45">
      <c r="A370" t="s">
        <v>1788</v>
      </c>
      <c r="B370" t="s">
        <v>1789</v>
      </c>
      <c r="C370" t="s">
        <v>1790</v>
      </c>
      <c r="D370">
        <v>2024</v>
      </c>
      <c r="E370" t="s">
        <v>45</v>
      </c>
      <c r="F370" t="s">
        <v>46</v>
      </c>
      <c r="G370">
        <v>4</v>
      </c>
      <c r="J370" t="s">
        <v>1973</v>
      </c>
      <c r="K370" t="s">
        <v>1974</v>
      </c>
      <c r="L370" t="s">
        <v>1975</v>
      </c>
      <c r="M370" t="s">
        <v>1976</v>
      </c>
      <c r="N370" t="s">
        <v>1795</v>
      </c>
      <c r="O370" t="s">
        <v>1796</v>
      </c>
      <c r="P370" t="s">
        <v>53</v>
      </c>
      <c r="Q370" t="s">
        <v>1797</v>
      </c>
      <c r="S370">
        <v>31</v>
      </c>
      <c r="T370" t="s">
        <v>1977</v>
      </c>
      <c r="U370">
        <v>396</v>
      </c>
      <c r="V370">
        <v>3174</v>
      </c>
      <c r="W370">
        <v>0.12479999999999999</v>
      </c>
      <c r="X370" t="s">
        <v>56</v>
      </c>
      <c r="Y370" t="s">
        <v>1799</v>
      </c>
      <c r="Z370">
        <v>722.94</v>
      </c>
      <c r="AA370">
        <v>42.69</v>
      </c>
      <c r="AB370">
        <v>30864</v>
      </c>
      <c r="AC370" t="b">
        <v>1</v>
      </c>
      <c r="AD370" t="b">
        <v>0</v>
      </c>
      <c r="AE370" t="b">
        <v>0</v>
      </c>
      <c r="AF370" t="b">
        <v>0</v>
      </c>
      <c r="AG370" t="s">
        <v>58</v>
      </c>
      <c r="AH370">
        <v>12</v>
      </c>
      <c r="AI370" t="s">
        <v>59</v>
      </c>
      <c r="AJ370" t="s">
        <v>60</v>
      </c>
      <c r="AK370" t="s">
        <v>252</v>
      </c>
      <c r="AL370" t="s">
        <v>415</v>
      </c>
      <c r="AM370" t="s">
        <v>245</v>
      </c>
      <c r="AN370" t="s">
        <v>63</v>
      </c>
      <c r="AO370" t="s">
        <v>1800</v>
      </c>
      <c r="AP370" t="s">
        <v>1974</v>
      </c>
    </row>
    <row r="371" spans="1:42" x14ac:dyDescent="0.45">
      <c r="A371" t="s">
        <v>1788</v>
      </c>
      <c r="B371" t="s">
        <v>1789</v>
      </c>
      <c r="C371" t="s">
        <v>1790</v>
      </c>
      <c r="D371">
        <v>2024</v>
      </c>
      <c r="E371" t="s">
        <v>45</v>
      </c>
      <c r="F371" t="s">
        <v>46</v>
      </c>
      <c r="G371">
        <v>11</v>
      </c>
      <c r="J371" t="s">
        <v>1978</v>
      </c>
      <c r="K371" t="s">
        <v>1979</v>
      </c>
      <c r="L371" t="s">
        <v>1980</v>
      </c>
      <c r="M371" t="s">
        <v>1981</v>
      </c>
      <c r="N371" t="s">
        <v>1795</v>
      </c>
      <c r="O371" t="s">
        <v>1796</v>
      </c>
      <c r="P371" t="s">
        <v>53</v>
      </c>
      <c r="Q371" t="s">
        <v>1797</v>
      </c>
      <c r="S371">
        <v>14</v>
      </c>
      <c r="T371" t="s">
        <v>1982</v>
      </c>
      <c r="U371">
        <v>3137</v>
      </c>
      <c r="V371">
        <v>3174</v>
      </c>
      <c r="W371">
        <v>0.98829999999999996</v>
      </c>
      <c r="X371" t="s">
        <v>70</v>
      </c>
      <c r="Y371" t="s">
        <v>1799</v>
      </c>
      <c r="Z371">
        <v>675.71</v>
      </c>
      <c r="AA371">
        <v>45.84</v>
      </c>
      <c r="AB371">
        <v>30975</v>
      </c>
      <c r="AC371" t="b">
        <v>1</v>
      </c>
      <c r="AD371" t="b">
        <v>1</v>
      </c>
      <c r="AE371" t="b">
        <v>0</v>
      </c>
      <c r="AF371" t="b">
        <v>0</v>
      </c>
      <c r="AG371" t="s">
        <v>58</v>
      </c>
      <c r="AH371">
        <v>14</v>
      </c>
      <c r="AI371" t="s">
        <v>59</v>
      </c>
      <c r="AJ371" t="s">
        <v>71</v>
      </c>
      <c r="AL371" t="s">
        <v>244</v>
      </c>
      <c r="AM371" t="s">
        <v>245</v>
      </c>
      <c r="AN371" t="s">
        <v>63</v>
      </c>
      <c r="AO371" t="s">
        <v>1800</v>
      </c>
      <c r="AP371" t="s">
        <v>1979</v>
      </c>
    </row>
    <row r="372" spans="1:42" x14ac:dyDescent="0.45">
      <c r="A372" t="s">
        <v>1788</v>
      </c>
      <c r="B372" t="s">
        <v>1789</v>
      </c>
      <c r="C372" t="s">
        <v>1790</v>
      </c>
      <c r="D372">
        <v>2024</v>
      </c>
      <c r="E372" t="s">
        <v>45</v>
      </c>
      <c r="F372" t="s">
        <v>46</v>
      </c>
      <c r="G372">
        <v>4</v>
      </c>
      <c r="J372" t="s">
        <v>1983</v>
      </c>
      <c r="K372" t="s">
        <v>1984</v>
      </c>
      <c r="L372" t="s">
        <v>1985</v>
      </c>
      <c r="M372" t="s">
        <v>1986</v>
      </c>
      <c r="N372" t="s">
        <v>1795</v>
      </c>
      <c r="O372" t="s">
        <v>1796</v>
      </c>
      <c r="P372" t="s">
        <v>53</v>
      </c>
      <c r="Q372" t="s">
        <v>1797</v>
      </c>
      <c r="S372">
        <v>29</v>
      </c>
      <c r="T372" t="s">
        <v>1987</v>
      </c>
      <c r="U372">
        <v>345</v>
      </c>
      <c r="V372">
        <v>3174</v>
      </c>
      <c r="W372">
        <v>0.1087</v>
      </c>
      <c r="X372" t="s">
        <v>56</v>
      </c>
      <c r="Y372" t="s">
        <v>1799</v>
      </c>
      <c r="Z372">
        <v>721.76</v>
      </c>
      <c r="AA372">
        <v>170.18</v>
      </c>
      <c r="AB372">
        <v>122833</v>
      </c>
      <c r="AC372" t="b">
        <v>1</v>
      </c>
      <c r="AD372" t="b">
        <v>1</v>
      </c>
      <c r="AE372" t="b">
        <v>0</v>
      </c>
      <c r="AF372" t="b">
        <v>0</v>
      </c>
      <c r="AG372" t="s">
        <v>58</v>
      </c>
      <c r="AH372">
        <v>12</v>
      </c>
      <c r="AI372" t="s">
        <v>59</v>
      </c>
      <c r="AJ372" t="s">
        <v>71</v>
      </c>
      <c r="AL372" t="s">
        <v>1988</v>
      </c>
      <c r="AM372" t="s">
        <v>245</v>
      </c>
      <c r="AN372" t="s">
        <v>63</v>
      </c>
      <c r="AO372" t="s">
        <v>1800</v>
      </c>
      <c r="AP372" t="s">
        <v>1984</v>
      </c>
    </row>
    <row r="373" spans="1:42" x14ac:dyDescent="0.45">
      <c r="A373" t="s">
        <v>1788</v>
      </c>
      <c r="B373" t="s">
        <v>1789</v>
      </c>
      <c r="C373" t="s">
        <v>1790</v>
      </c>
      <c r="D373">
        <v>2024</v>
      </c>
      <c r="E373" t="s">
        <v>45</v>
      </c>
      <c r="F373" t="s">
        <v>46</v>
      </c>
      <c r="G373">
        <v>3</v>
      </c>
      <c r="J373" t="s">
        <v>1989</v>
      </c>
      <c r="K373" t="s">
        <v>1990</v>
      </c>
      <c r="L373" t="s">
        <v>1991</v>
      </c>
      <c r="M373" t="s">
        <v>1992</v>
      </c>
      <c r="N373" t="s">
        <v>1795</v>
      </c>
      <c r="O373" t="s">
        <v>1796</v>
      </c>
      <c r="P373" t="s">
        <v>53</v>
      </c>
      <c r="Q373" t="s">
        <v>1797</v>
      </c>
      <c r="S373">
        <v>37</v>
      </c>
      <c r="T373" t="s">
        <v>1993</v>
      </c>
      <c r="U373">
        <v>3215</v>
      </c>
      <c r="V373">
        <v>3174</v>
      </c>
      <c r="W373">
        <v>1.0128999999999999</v>
      </c>
      <c r="X373" t="s">
        <v>70</v>
      </c>
      <c r="Y373" t="s">
        <v>1799</v>
      </c>
      <c r="Z373">
        <v>731.71</v>
      </c>
      <c r="AA373">
        <v>111.51</v>
      </c>
      <c r="AB373">
        <v>81591</v>
      </c>
      <c r="AC373" t="b">
        <v>1</v>
      </c>
      <c r="AD373" t="b">
        <v>1</v>
      </c>
      <c r="AE373" t="b">
        <v>0</v>
      </c>
      <c r="AF373" t="b">
        <v>0</v>
      </c>
      <c r="AG373" t="s">
        <v>58</v>
      </c>
      <c r="AH373">
        <v>14</v>
      </c>
      <c r="AI373" t="s">
        <v>59</v>
      </c>
      <c r="AJ373" t="s">
        <v>71</v>
      </c>
      <c r="AL373" t="s">
        <v>244</v>
      </c>
      <c r="AM373" t="s">
        <v>245</v>
      </c>
      <c r="AN373" t="s">
        <v>63</v>
      </c>
      <c r="AO373" t="s">
        <v>1800</v>
      </c>
      <c r="AP373" t="s">
        <v>1990</v>
      </c>
    </row>
    <row r="374" spans="1:42" x14ac:dyDescent="0.45">
      <c r="A374" t="s">
        <v>1788</v>
      </c>
      <c r="B374" t="s">
        <v>1789</v>
      </c>
      <c r="C374" t="s">
        <v>1790</v>
      </c>
      <c r="D374">
        <v>2024</v>
      </c>
      <c r="E374" t="s">
        <v>45</v>
      </c>
      <c r="F374" t="s">
        <v>46</v>
      </c>
      <c r="G374">
        <v>4</v>
      </c>
      <c r="J374" t="s">
        <v>1994</v>
      </c>
      <c r="K374" t="s">
        <v>1995</v>
      </c>
      <c r="L374" t="s">
        <v>1996</v>
      </c>
      <c r="M374" t="s">
        <v>1997</v>
      </c>
      <c r="N374" t="s">
        <v>1795</v>
      </c>
      <c r="O374" t="s">
        <v>1796</v>
      </c>
      <c r="P374" t="s">
        <v>53</v>
      </c>
      <c r="Q374" t="s">
        <v>1797</v>
      </c>
      <c r="S374">
        <v>32</v>
      </c>
      <c r="T374" t="s">
        <v>1998</v>
      </c>
      <c r="U374">
        <v>3137</v>
      </c>
      <c r="V374">
        <v>3174</v>
      </c>
      <c r="W374">
        <v>0.98829999999999996</v>
      </c>
      <c r="X374" t="s">
        <v>70</v>
      </c>
      <c r="Y374" t="s">
        <v>1799</v>
      </c>
      <c r="Z374">
        <v>724.71</v>
      </c>
      <c r="AA374">
        <v>135.63999999999999</v>
      </c>
      <c r="AB374">
        <v>98303</v>
      </c>
      <c r="AC374" t="b">
        <v>1</v>
      </c>
      <c r="AD374" t="b">
        <v>0</v>
      </c>
      <c r="AE374" t="b">
        <v>0</v>
      </c>
      <c r="AF374" t="b">
        <v>0</v>
      </c>
      <c r="AG374" t="s">
        <v>58</v>
      </c>
      <c r="AH374">
        <v>14</v>
      </c>
      <c r="AI374" t="s">
        <v>59</v>
      </c>
      <c r="AJ374" t="s">
        <v>60</v>
      </c>
      <c r="AK374" t="s">
        <v>252</v>
      </c>
      <c r="AL374" t="s">
        <v>253</v>
      </c>
      <c r="AM374" t="s">
        <v>245</v>
      </c>
      <c r="AN374" t="s">
        <v>63</v>
      </c>
      <c r="AO374" t="s">
        <v>1800</v>
      </c>
      <c r="AP374" t="s">
        <v>1995</v>
      </c>
    </row>
    <row r="375" spans="1:42" x14ac:dyDescent="0.45">
      <c r="A375" t="s">
        <v>1788</v>
      </c>
      <c r="B375" t="s">
        <v>1789</v>
      </c>
      <c r="C375" t="s">
        <v>1790</v>
      </c>
      <c r="D375">
        <v>2024</v>
      </c>
      <c r="E375" t="s">
        <v>45</v>
      </c>
      <c r="F375" t="s">
        <v>46</v>
      </c>
      <c r="G375">
        <v>2</v>
      </c>
      <c r="J375" t="s">
        <v>1999</v>
      </c>
      <c r="K375" t="s">
        <v>2000</v>
      </c>
      <c r="L375" t="s">
        <v>2001</v>
      </c>
      <c r="M375" t="s">
        <v>2002</v>
      </c>
      <c r="N375" t="s">
        <v>1795</v>
      </c>
      <c r="O375" t="s">
        <v>1796</v>
      </c>
      <c r="P375" t="s">
        <v>53</v>
      </c>
      <c r="Q375" t="s">
        <v>1797</v>
      </c>
      <c r="S375">
        <v>35</v>
      </c>
      <c r="T375" t="s">
        <v>2003</v>
      </c>
      <c r="U375">
        <v>323</v>
      </c>
      <c r="V375">
        <v>3174</v>
      </c>
      <c r="W375">
        <v>0.1018</v>
      </c>
      <c r="X375" t="s">
        <v>56</v>
      </c>
      <c r="Y375" t="s">
        <v>1799</v>
      </c>
      <c r="Z375">
        <v>729.79</v>
      </c>
      <c r="AA375">
        <v>34.79</v>
      </c>
      <c r="AB375">
        <v>25389</v>
      </c>
      <c r="AC375" t="b">
        <v>1</v>
      </c>
      <c r="AD375" t="b">
        <v>0</v>
      </c>
      <c r="AE375" t="b">
        <v>0</v>
      </c>
      <c r="AF375" t="b">
        <v>0</v>
      </c>
      <c r="AG375" t="s">
        <v>58</v>
      </c>
      <c r="AH375">
        <v>12</v>
      </c>
      <c r="AI375" t="s">
        <v>59</v>
      </c>
      <c r="AJ375" t="s">
        <v>60</v>
      </c>
      <c r="AK375" t="s">
        <v>252</v>
      </c>
      <c r="AL375" t="s">
        <v>415</v>
      </c>
      <c r="AM375" t="s">
        <v>245</v>
      </c>
      <c r="AN375" t="s">
        <v>63</v>
      </c>
      <c r="AO375" t="s">
        <v>1800</v>
      </c>
      <c r="AP375" t="s">
        <v>2000</v>
      </c>
    </row>
    <row r="376" spans="1:42" x14ac:dyDescent="0.45">
      <c r="A376" t="s">
        <v>1788</v>
      </c>
      <c r="B376" t="s">
        <v>1789</v>
      </c>
      <c r="C376" t="s">
        <v>1790</v>
      </c>
      <c r="D376">
        <v>2024</v>
      </c>
      <c r="E376" t="s">
        <v>45</v>
      </c>
      <c r="F376" t="s">
        <v>46</v>
      </c>
      <c r="G376">
        <v>8</v>
      </c>
      <c r="J376" t="s">
        <v>2004</v>
      </c>
      <c r="K376" t="s">
        <v>2005</v>
      </c>
      <c r="L376" t="s">
        <v>2006</v>
      </c>
      <c r="M376" t="s">
        <v>2007</v>
      </c>
      <c r="N376" t="s">
        <v>1795</v>
      </c>
      <c r="O376" t="s">
        <v>1796</v>
      </c>
      <c r="P376" t="s">
        <v>53</v>
      </c>
      <c r="Q376" t="s">
        <v>1797</v>
      </c>
      <c r="S376">
        <v>34</v>
      </c>
      <c r="T376" t="s">
        <v>2008</v>
      </c>
      <c r="U376">
        <v>191</v>
      </c>
      <c r="V376">
        <v>3174</v>
      </c>
      <c r="W376">
        <v>6.0199999999999997E-2</v>
      </c>
      <c r="X376" t="s">
        <v>56</v>
      </c>
      <c r="Y376" t="s">
        <v>1799</v>
      </c>
      <c r="Z376">
        <v>729.75</v>
      </c>
      <c r="AA376">
        <v>12.93</v>
      </c>
      <c r="AB376">
        <v>9439</v>
      </c>
      <c r="AC376" t="b">
        <v>0</v>
      </c>
      <c r="AD376" t="b">
        <v>0</v>
      </c>
      <c r="AE376" t="b">
        <v>0</v>
      </c>
      <c r="AF376" t="b">
        <v>0</v>
      </c>
      <c r="AG376" t="s">
        <v>58</v>
      </c>
      <c r="AH376">
        <v>8</v>
      </c>
      <c r="AI376" t="s">
        <v>59</v>
      </c>
      <c r="AJ376" t="s">
        <v>60</v>
      </c>
      <c r="AL376" t="s">
        <v>2009</v>
      </c>
      <c r="AM376" t="s">
        <v>245</v>
      </c>
      <c r="AN376" t="s">
        <v>63</v>
      </c>
      <c r="AO376" t="s">
        <v>1800</v>
      </c>
      <c r="AP376" t="s">
        <v>2005</v>
      </c>
    </row>
    <row r="377" spans="1:42" x14ac:dyDescent="0.45">
      <c r="A377" t="s">
        <v>1788</v>
      </c>
      <c r="B377" t="s">
        <v>1789</v>
      </c>
      <c r="C377" t="s">
        <v>1790</v>
      </c>
      <c r="D377">
        <v>2024</v>
      </c>
      <c r="E377" t="s">
        <v>45</v>
      </c>
      <c r="F377" t="s">
        <v>46</v>
      </c>
      <c r="G377">
        <v>1</v>
      </c>
      <c r="J377" t="s">
        <v>2010</v>
      </c>
      <c r="K377" t="s">
        <v>2011</v>
      </c>
      <c r="L377" t="s">
        <v>2012</v>
      </c>
      <c r="M377" t="s">
        <v>2013</v>
      </c>
      <c r="N377" t="s">
        <v>2014</v>
      </c>
      <c r="O377" t="s">
        <v>2015</v>
      </c>
      <c r="P377" t="s">
        <v>223</v>
      </c>
      <c r="T377" t="s">
        <v>2016</v>
      </c>
      <c r="U377">
        <v>4230</v>
      </c>
      <c r="V377">
        <v>3174</v>
      </c>
      <c r="W377">
        <v>1.3327</v>
      </c>
      <c r="X377" t="s">
        <v>70</v>
      </c>
      <c r="Y377" t="s">
        <v>1799</v>
      </c>
      <c r="Z377">
        <v>745.71</v>
      </c>
      <c r="AA377">
        <v>2497.94</v>
      </c>
      <c r="AB377">
        <v>1862743</v>
      </c>
      <c r="AC377" t="b">
        <v>1</v>
      </c>
      <c r="AD377" t="b">
        <v>1</v>
      </c>
      <c r="AE377" t="b">
        <v>0</v>
      </c>
      <c r="AF377" t="b">
        <v>0</v>
      </c>
      <c r="AG377" t="s">
        <v>58</v>
      </c>
      <c r="AH377">
        <v>14</v>
      </c>
      <c r="AI377" t="s">
        <v>59</v>
      </c>
      <c r="AJ377" t="s">
        <v>71</v>
      </c>
      <c r="AL377" t="s">
        <v>244</v>
      </c>
      <c r="AM377" t="s">
        <v>245</v>
      </c>
      <c r="AN377" t="s">
        <v>63</v>
      </c>
      <c r="AO377" t="s">
        <v>1800</v>
      </c>
      <c r="AP377" t="s">
        <v>2011</v>
      </c>
    </row>
    <row r="378" spans="1:42" x14ac:dyDescent="0.45">
      <c r="A378" t="s">
        <v>2017</v>
      </c>
      <c r="B378" t="s">
        <v>2018</v>
      </c>
      <c r="C378" t="s">
        <v>2019</v>
      </c>
      <c r="D378">
        <v>2022</v>
      </c>
      <c r="E378" t="s">
        <v>45</v>
      </c>
      <c r="F378" t="s">
        <v>2020</v>
      </c>
      <c r="G378">
        <v>14</v>
      </c>
      <c r="J378" t="s">
        <v>2021</v>
      </c>
      <c r="K378" t="s">
        <v>2022</v>
      </c>
      <c r="L378" t="s">
        <v>2023</v>
      </c>
      <c r="M378" t="s">
        <v>2024</v>
      </c>
      <c r="N378" t="s">
        <v>2025</v>
      </c>
      <c r="O378" t="s">
        <v>2026</v>
      </c>
      <c r="P378" t="s">
        <v>2027</v>
      </c>
      <c r="Q378" t="s">
        <v>2028</v>
      </c>
      <c r="S378">
        <v>17</v>
      </c>
      <c r="T378" t="s">
        <v>2029</v>
      </c>
      <c r="U378">
        <v>5259</v>
      </c>
      <c r="V378">
        <v>5483</v>
      </c>
      <c r="W378">
        <v>0.95909999999999995</v>
      </c>
      <c r="X378" t="s">
        <v>70</v>
      </c>
      <c r="Y378" t="s">
        <v>2030</v>
      </c>
      <c r="Z378">
        <v>1419.75</v>
      </c>
      <c r="AA378">
        <v>2921.95</v>
      </c>
      <c r="AB378">
        <v>4148451</v>
      </c>
      <c r="AC378" t="b">
        <v>1</v>
      </c>
      <c r="AD378" t="b">
        <v>1</v>
      </c>
      <c r="AE378" t="b">
        <v>0</v>
      </c>
      <c r="AF378" t="b">
        <v>0</v>
      </c>
      <c r="AG378" t="s">
        <v>58</v>
      </c>
      <c r="AH378">
        <v>20</v>
      </c>
      <c r="AI378" t="s">
        <v>59</v>
      </c>
      <c r="AJ378" t="s">
        <v>71</v>
      </c>
      <c r="AL378" t="s">
        <v>72</v>
      </c>
      <c r="AM378" t="s">
        <v>62</v>
      </c>
      <c r="AN378" t="s">
        <v>63</v>
      </c>
      <c r="AO378" t="s">
        <v>2031</v>
      </c>
      <c r="AP378" t="s">
        <v>2022</v>
      </c>
    </row>
    <row r="379" spans="1:42" x14ac:dyDescent="0.45">
      <c r="A379" t="s">
        <v>2017</v>
      </c>
      <c r="B379" t="s">
        <v>2018</v>
      </c>
      <c r="C379" t="s">
        <v>2019</v>
      </c>
      <c r="D379">
        <v>2022</v>
      </c>
      <c r="E379" t="s">
        <v>45</v>
      </c>
      <c r="F379" t="s">
        <v>2020</v>
      </c>
      <c r="G379">
        <v>7</v>
      </c>
      <c r="J379" t="s">
        <v>2032</v>
      </c>
      <c r="K379" t="s">
        <v>2033</v>
      </c>
      <c r="L379" t="s">
        <v>2034</v>
      </c>
      <c r="M379" t="s">
        <v>2035</v>
      </c>
      <c r="N379" t="s">
        <v>2025</v>
      </c>
      <c r="O379" t="s">
        <v>2026</v>
      </c>
      <c r="P379" t="s">
        <v>2027</v>
      </c>
      <c r="Q379" t="s">
        <v>2028</v>
      </c>
      <c r="S379">
        <v>24</v>
      </c>
      <c r="T379" t="s">
        <v>2036</v>
      </c>
      <c r="U379">
        <v>4670</v>
      </c>
      <c r="V379">
        <v>5483</v>
      </c>
      <c r="W379">
        <v>0.85170000000000001</v>
      </c>
      <c r="X379" t="s">
        <v>70</v>
      </c>
      <c r="Y379" t="s">
        <v>2030</v>
      </c>
      <c r="Z379">
        <v>1433.8</v>
      </c>
      <c r="AA379">
        <v>1893.33</v>
      </c>
      <c r="AB379">
        <v>2714643</v>
      </c>
      <c r="AC379" t="b">
        <v>1</v>
      </c>
      <c r="AD379" t="b">
        <v>1</v>
      </c>
      <c r="AE379" t="b">
        <v>0</v>
      </c>
      <c r="AF379" t="b">
        <v>0</v>
      </c>
      <c r="AG379" t="s">
        <v>58</v>
      </c>
      <c r="AH379">
        <v>20</v>
      </c>
      <c r="AI379" t="s">
        <v>59</v>
      </c>
      <c r="AJ379" t="s">
        <v>71</v>
      </c>
      <c r="AL379" t="s">
        <v>72</v>
      </c>
      <c r="AM379" t="s">
        <v>62</v>
      </c>
      <c r="AN379" t="s">
        <v>63</v>
      </c>
      <c r="AO379" t="s">
        <v>2031</v>
      </c>
      <c r="AP379" t="s">
        <v>2033</v>
      </c>
    </row>
    <row r="380" spans="1:42" x14ac:dyDescent="0.45">
      <c r="A380" t="s">
        <v>2017</v>
      </c>
      <c r="B380" t="s">
        <v>2018</v>
      </c>
      <c r="C380" t="s">
        <v>2019</v>
      </c>
      <c r="D380">
        <v>2022</v>
      </c>
      <c r="E380" t="s">
        <v>45</v>
      </c>
      <c r="F380" t="s">
        <v>2020</v>
      </c>
      <c r="G380">
        <v>22</v>
      </c>
      <c r="J380" t="s">
        <v>2037</v>
      </c>
      <c r="K380" t="s">
        <v>2038</v>
      </c>
      <c r="L380" t="s">
        <v>2039</v>
      </c>
      <c r="M380" t="s">
        <v>2040</v>
      </c>
      <c r="N380" t="s">
        <v>2025</v>
      </c>
      <c r="O380" t="s">
        <v>2026</v>
      </c>
      <c r="P380" t="s">
        <v>2027</v>
      </c>
      <c r="Q380" t="s">
        <v>2028</v>
      </c>
      <c r="S380">
        <v>9</v>
      </c>
      <c r="T380" t="s">
        <v>2041</v>
      </c>
      <c r="U380">
        <v>5130</v>
      </c>
      <c r="V380">
        <v>5483</v>
      </c>
      <c r="W380">
        <v>0.93559999999999999</v>
      </c>
      <c r="X380" t="s">
        <v>70</v>
      </c>
      <c r="Y380" t="s">
        <v>2030</v>
      </c>
      <c r="Z380">
        <v>1321.73</v>
      </c>
      <c r="AA380">
        <v>1954.72</v>
      </c>
      <c r="AB380">
        <v>2583618</v>
      </c>
      <c r="AC380" t="b">
        <v>1</v>
      </c>
      <c r="AD380" t="b">
        <v>1</v>
      </c>
      <c r="AE380" t="b">
        <v>0</v>
      </c>
      <c r="AF380" t="b">
        <v>0</v>
      </c>
      <c r="AG380" t="s">
        <v>58</v>
      </c>
      <c r="AH380">
        <v>20</v>
      </c>
      <c r="AI380" t="s">
        <v>59</v>
      </c>
      <c r="AJ380" t="s">
        <v>71</v>
      </c>
      <c r="AL380" t="s">
        <v>72</v>
      </c>
      <c r="AM380" t="s">
        <v>62</v>
      </c>
      <c r="AN380" t="s">
        <v>63</v>
      </c>
      <c r="AO380" t="s">
        <v>2031</v>
      </c>
      <c r="AP380" t="s">
        <v>2038</v>
      </c>
    </row>
    <row r="381" spans="1:42" x14ac:dyDescent="0.45">
      <c r="A381" t="s">
        <v>2017</v>
      </c>
      <c r="B381" t="s">
        <v>2018</v>
      </c>
      <c r="C381" t="s">
        <v>2019</v>
      </c>
      <c r="D381">
        <v>2022</v>
      </c>
      <c r="E381" t="s">
        <v>45</v>
      </c>
      <c r="F381" t="s">
        <v>2020</v>
      </c>
      <c r="G381">
        <v>8</v>
      </c>
      <c r="J381" t="s">
        <v>2042</v>
      </c>
      <c r="K381" t="s">
        <v>2043</v>
      </c>
      <c r="L381" t="s">
        <v>2044</v>
      </c>
      <c r="M381" t="s">
        <v>2045</v>
      </c>
      <c r="N381" t="s">
        <v>2025</v>
      </c>
      <c r="O381" t="s">
        <v>2026</v>
      </c>
      <c r="P381" t="s">
        <v>2027</v>
      </c>
      <c r="Q381" t="s">
        <v>2028</v>
      </c>
      <c r="S381">
        <v>23</v>
      </c>
      <c r="T381" t="s">
        <v>2046</v>
      </c>
      <c r="U381">
        <v>4850</v>
      </c>
      <c r="V381">
        <v>5483</v>
      </c>
      <c r="W381">
        <v>0.88460000000000005</v>
      </c>
      <c r="X381" t="s">
        <v>70</v>
      </c>
      <c r="Y381" t="s">
        <v>2030</v>
      </c>
      <c r="Z381">
        <v>1465.69</v>
      </c>
      <c r="AA381">
        <v>3322.23</v>
      </c>
      <c r="AB381">
        <v>4869364</v>
      </c>
      <c r="AC381" t="b">
        <v>1</v>
      </c>
      <c r="AD381" t="b">
        <v>1</v>
      </c>
      <c r="AE381" t="b">
        <v>0</v>
      </c>
      <c r="AF381" t="b">
        <v>0</v>
      </c>
      <c r="AG381" t="s">
        <v>58</v>
      </c>
      <c r="AH381">
        <v>20</v>
      </c>
      <c r="AI381" t="s">
        <v>59</v>
      </c>
      <c r="AJ381" t="s">
        <v>71</v>
      </c>
      <c r="AL381" t="s">
        <v>72</v>
      </c>
      <c r="AM381" t="s">
        <v>62</v>
      </c>
      <c r="AN381" t="s">
        <v>63</v>
      </c>
      <c r="AO381" t="s">
        <v>2031</v>
      </c>
      <c r="AP381" t="s">
        <v>2043</v>
      </c>
    </row>
    <row r="382" spans="1:42" x14ac:dyDescent="0.45">
      <c r="A382" t="s">
        <v>2017</v>
      </c>
      <c r="B382" t="s">
        <v>2018</v>
      </c>
      <c r="C382" t="s">
        <v>2019</v>
      </c>
      <c r="D382">
        <v>2022</v>
      </c>
      <c r="E382" t="s">
        <v>45</v>
      </c>
      <c r="F382" t="s">
        <v>2020</v>
      </c>
      <c r="G382">
        <v>16</v>
      </c>
      <c r="J382" t="s">
        <v>2047</v>
      </c>
      <c r="K382" t="s">
        <v>2048</v>
      </c>
      <c r="L382" t="s">
        <v>2049</v>
      </c>
      <c r="M382" t="s">
        <v>2050</v>
      </c>
      <c r="N382" t="s">
        <v>2025</v>
      </c>
      <c r="O382" t="s">
        <v>2026</v>
      </c>
      <c r="P382" t="s">
        <v>2027</v>
      </c>
      <c r="Q382" t="s">
        <v>2028</v>
      </c>
      <c r="S382">
        <v>15</v>
      </c>
      <c r="T382" t="s">
        <v>2051</v>
      </c>
      <c r="U382">
        <v>5997</v>
      </c>
      <c r="V382">
        <v>5483</v>
      </c>
      <c r="W382">
        <v>1.0936999999999999</v>
      </c>
      <c r="X382" t="s">
        <v>70</v>
      </c>
      <c r="Y382" t="s">
        <v>2030</v>
      </c>
      <c r="Z382">
        <v>1409.7</v>
      </c>
      <c r="AA382">
        <v>4535.21</v>
      </c>
      <c r="AB382">
        <v>6393298</v>
      </c>
      <c r="AC382" t="b">
        <v>1</v>
      </c>
      <c r="AD382" t="b">
        <v>1</v>
      </c>
      <c r="AE382" t="b">
        <v>0</v>
      </c>
      <c r="AF382" t="b">
        <v>0</v>
      </c>
      <c r="AG382" t="s">
        <v>58</v>
      </c>
      <c r="AH382">
        <v>20</v>
      </c>
      <c r="AI382" t="s">
        <v>59</v>
      </c>
      <c r="AJ382" t="s">
        <v>71</v>
      </c>
      <c r="AL382" t="s">
        <v>72</v>
      </c>
      <c r="AM382" t="s">
        <v>62</v>
      </c>
      <c r="AN382" t="s">
        <v>63</v>
      </c>
      <c r="AO382" t="s">
        <v>2031</v>
      </c>
      <c r="AP382" t="s">
        <v>2048</v>
      </c>
    </row>
    <row r="383" spans="1:42" x14ac:dyDescent="0.45">
      <c r="A383" t="s">
        <v>2017</v>
      </c>
      <c r="B383" t="s">
        <v>2018</v>
      </c>
      <c r="C383" t="s">
        <v>2019</v>
      </c>
      <c r="D383">
        <v>2022</v>
      </c>
      <c r="E383" t="s">
        <v>45</v>
      </c>
      <c r="F383" t="s">
        <v>2020</v>
      </c>
      <c r="G383">
        <v>11</v>
      </c>
      <c r="J383" t="s">
        <v>2052</v>
      </c>
      <c r="K383" t="s">
        <v>2053</v>
      </c>
      <c r="L383" t="s">
        <v>2054</v>
      </c>
      <c r="M383" t="s">
        <v>2055</v>
      </c>
      <c r="N383" t="s">
        <v>2025</v>
      </c>
      <c r="O383" t="s">
        <v>2026</v>
      </c>
      <c r="P383" t="s">
        <v>2027</v>
      </c>
      <c r="Q383" t="s">
        <v>2028</v>
      </c>
      <c r="S383">
        <v>20</v>
      </c>
      <c r="T383" t="s">
        <v>2056</v>
      </c>
      <c r="U383">
        <v>5576</v>
      </c>
      <c r="V383">
        <v>5483</v>
      </c>
      <c r="W383">
        <v>1.0169999999999999</v>
      </c>
      <c r="X383" t="s">
        <v>70</v>
      </c>
      <c r="Y383" t="s">
        <v>2030</v>
      </c>
      <c r="Z383">
        <v>1444.7</v>
      </c>
      <c r="AA383">
        <v>8585.33</v>
      </c>
      <c r="AB383">
        <v>12403244</v>
      </c>
      <c r="AC383" t="b">
        <v>1</v>
      </c>
      <c r="AD383" t="b">
        <v>1</v>
      </c>
      <c r="AE383" t="b">
        <v>0</v>
      </c>
      <c r="AF383" t="b">
        <v>0</v>
      </c>
      <c r="AG383" t="s">
        <v>58</v>
      </c>
      <c r="AH383">
        <v>20</v>
      </c>
      <c r="AI383" t="s">
        <v>59</v>
      </c>
      <c r="AJ383" t="s">
        <v>71</v>
      </c>
      <c r="AL383" t="s">
        <v>72</v>
      </c>
      <c r="AM383" t="s">
        <v>62</v>
      </c>
      <c r="AN383" t="s">
        <v>63</v>
      </c>
      <c r="AO383" t="s">
        <v>2031</v>
      </c>
      <c r="AP383" t="s">
        <v>2053</v>
      </c>
    </row>
    <row r="384" spans="1:42" x14ac:dyDescent="0.45">
      <c r="A384" t="s">
        <v>2017</v>
      </c>
      <c r="B384" t="s">
        <v>2018</v>
      </c>
      <c r="C384" t="s">
        <v>2019</v>
      </c>
      <c r="D384">
        <v>2022</v>
      </c>
      <c r="E384" t="s">
        <v>45</v>
      </c>
      <c r="F384" t="s">
        <v>2020</v>
      </c>
      <c r="G384">
        <v>12</v>
      </c>
      <c r="J384" t="s">
        <v>2057</v>
      </c>
      <c r="K384" t="s">
        <v>2058</v>
      </c>
      <c r="L384" t="s">
        <v>2059</v>
      </c>
      <c r="M384" t="s">
        <v>2060</v>
      </c>
      <c r="N384" t="s">
        <v>2025</v>
      </c>
      <c r="O384" t="s">
        <v>2026</v>
      </c>
      <c r="P384" t="s">
        <v>2027</v>
      </c>
      <c r="Q384" t="s">
        <v>2028</v>
      </c>
      <c r="S384">
        <v>19</v>
      </c>
      <c r="T384" t="s">
        <v>2061</v>
      </c>
      <c r="U384">
        <v>5050</v>
      </c>
      <c r="V384">
        <v>5483</v>
      </c>
      <c r="W384">
        <v>0.92100000000000004</v>
      </c>
      <c r="X384" t="s">
        <v>70</v>
      </c>
      <c r="Y384" t="s">
        <v>2030</v>
      </c>
      <c r="Z384">
        <v>1437.7</v>
      </c>
      <c r="AA384">
        <v>5483.06</v>
      </c>
      <c r="AB384">
        <v>7883004</v>
      </c>
      <c r="AC384" t="b">
        <v>1</v>
      </c>
      <c r="AD384" t="b">
        <v>1</v>
      </c>
      <c r="AE384" t="b">
        <v>0</v>
      </c>
      <c r="AF384" t="b">
        <v>0</v>
      </c>
      <c r="AG384" t="s">
        <v>58</v>
      </c>
      <c r="AH384">
        <v>20</v>
      </c>
      <c r="AI384" t="s">
        <v>59</v>
      </c>
      <c r="AJ384" t="s">
        <v>71</v>
      </c>
      <c r="AL384" t="s">
        <v>72</v>
      </c>
      <c r="AM384" t="s">
        <v>62</v>
      </c>
      <c r="AN384" t="s">
        <v>63</v>
      </c>
      <c r="AO384" t="s">
        <v>2031</v>
      </c>
      <c r="AP384" t="s">
        <v>2058</v>
      </c>
    </row>
    <row r="385" spans="1:42" x14ac:dyDescent="0.45">
      <c r="A385" t="s">
        <v>2017</v>
      </c>
      <c r="B385" t="s">
        <v>2018</v>
      </c>
      <c r="C385" t="s">
        <v>2019</v>
      </c>
      <c r="D385">
        <v>2022</v>
      </c>
      <c r="E385" t="s">
        <v>45</v>
      </c>
      <c r="F385" t="s">
        <v>2020</v>
      </c>
      <c r="G385">
        <v>25</v>
      </c>
      <c r="J385" t="s">
        <v>2062</v>
      </c>
      <c r="K385" t="s">
        <v>2063</v>
      </c>
      <c r="L385" t="s">
        <v>2064</v>
      </c>
      <c r="M385" t="s">
        <v>2065</v>
      </c>
      <c r="N385" t="s">
        <v>2025</v>
      </c>
      <c r="O385" t="s">
        <v>2026</v>
      </c>
      <c r="P385" t="s">
        <v>2027</v>
      </c>
      <c r="Q385" t="s">
        <v>2028</v>
      </c>
      <c r="S385">
        <v>6</v>
      </c>
      <c r="T385" t="s">
        <v>2066</v>
      </c>
      <c r="U385">
        <v>6050</v>
      </c>
      <c r="V385">
        <v>5483</v>
      </c>
      <c r="W385">
        <v>1.1033999999999999</v>
      </c>
      <c r="X385" t="s">
        <v>70</v>
      </c>
      <c r="Y385" t="s">
        <v>2030</v>
      </c>
      <c r="Z385">
        <v>1304.7</v>
      </c>
      <c r="AA385">
        <v>9696.36</v>
      </c>
      <c r="AB385">
        <v>12650869</v>
      </c>
      <c r="AC385" t="b">
        <v>1</v>
      </c>
      <c r="AD385" t="b">
        <v>1</v>
      </c>
      <c r="AE385" t="b">
        <v>0</v>
      </c>
      <c r="AF385" t="b">
        <v>0</v>
      </c>
      <c r="AG385" t="s">
        <v>58</v>
      </c>
      <c r="AH385">
        <v>20</v>
      </c>
      <c r="AI385" t="s">
        <v>59</v>
      </c>
      <c r="AJ385" t="s">
        <v>71</v>
      </c>
      <c r="AL385" t="s">
        <v>72</v>
      </c>
      <c r="AM385" t="s">
        <v>62</v>
      </c>
      <c r="AN385" t="s">
        <v>63</v>
      </c>
      <c r="AO385" t="s">
        <v>2031</v>
      </c>
      <c r="AP385" t="s">
        <v>2063</v>
      </c>
    </row>
    <row r="386" spans="1:42" x14ac:dyDescent="0.45">
      <c r="A386" t="s">
        <v>2017</v>
      </c>
      <c r="B386" t="s">
        <v>2018</v>
      </c>
      <c r="C386" t="s">
        <v>2019</v>
      </c>
      <c r="D386">
        <v>2022</v>
      </c>
      <c r="E386" t="s">
        <v>45</v>
      </c>
      <c r="F386" t="s">
        <v>2020</v>
      </c>
      <c r="G386">
        <v>15</v>
      </c>
      <c r="J386" t="s">
        <v>2067</v>
      </c>
      <c r="K386" t="s">
        <v>2068</v>
      </c>
      <c r="L386" t="s">
        <v>2069</v>
      </c>
      <c r="M386" t="s">
        <v>2070</v>
      </c>
      <c r="N386" t="s">
        <v>2025</v>
      </c>
      <c r="O386" t="s">
        <v>2026</v>
      </c>
      <c r="P386" t="s">
        <v>2027</v>
      </c>
      <c r="Q386" t="s">
        <v>2028</v>
      </c>
      <c r="S386">
        <v>16</v>
      </c>
      <c r="T386" t="s">
        <v>2071</v>
      </c>
      <c r="U386">
        <v>5431</v>
      </c>
      <c r="V386">
        <v>5483</v>
      </c>
      <c r="W386">
        <v>0.99050000000000005</v>
      </c>
      <c r="X386" t="s">
        <v>70</v>
      </c>
      <c r="Y386" t="s">
        <v>2030</v>
      </c>
      <c r="Z386">
        <v>1416.7</v>
      </c>
      <c r="AA386">
        <v>5593.41</v>
      </c>
      <c r="AB386">
        <v>7924197</v>
      </c>
      <c r="AC386" t="b">
        <v>1</v>
      </c>
      <c r="AD386" t="b">
        <v>1</v>
      </c>
      <c r="AE386" t="b">
        <v>0</v>
      </c>
      <c r="AF386" t="b">
        <v>0</v>
      </c>
      <c r="AG386" t="s">
        <v>58</v>
      </c>
      <c r="AH386">
        <v>20</v>
      </c>
      <c r="AI386" t="s">
        <v>59</v>
      </c>
      <c r="AJ386" t="s">
        <v>71</v>
      </c>
      <c r="AL386" t="s">
        <v>72</v>
      </c>
      <c r="AM386" t="s">
        <v>62</v>
      </c>
      <c r="AN386" t="s">
        <v>63</v>
      </c>
      <c r="AO386" t="s">
        <v>2031</v>
      </c>
      <c r="AP386" t="s">
        <v>2068</v>
      </c>
    </row>
    <row r="387" spans="1:42" x14ac:dyDescent="0.45">
      <c r="A387" t="s">
        <v>2017</v>
      </c>
      <c r="B387" t="s">
        <v>2018</v>
      </c>
      <c r="C387" t="s">
        <v>2019</v>
      </c>
      <c r="D387">
        <v>2022</v>
      </c>
      <c r="E387" t="s">
        <v>45</v>
      </c>
      <c r="F387" t="s">
        <v>2020</v>
      </c>
      <c r="G387">
        <v>19</v>
      </c>
      <c r="J387" t="s">
        <v>2072</v>
      </c>
      <c r="K387" t="s">
        <v>2073</v>
      </c>
      <c r="L387" t="s">
        <v>2074</v>
      </c>
      <c r="M387" t="s">
        <v>2075</v>
      </c>
      <c r="N387" t="s">
        <v>2025</v>
      </c>
      <c r="O387" t="s">
        <v>2026</v>
      </c>
      <c r="P387" t="s">
        <v>2027</v>
      </c>
      <c r="Q387" t="s">
        <v>2028</v>
      </c>
      <c r="S387">
        <v>12</v>
      </c>
      <c r="T387" t="s">
        <v>2076</v>
      </c>
      <c r="U387">
        <v>5653</v>
      </c>
      <c r="V387">
        <v>5483</v>
      </c>
      <c r="W387">
        <v>1.0309999999999999</v>
      </c>
      <c r="X387" t="s">
        <v>70</v>
      </c>
      <c r="Y387" t="s">
        <v>2030</v>
      </c>
      <c r="Z387">
        <v>1388.7</v>
      </c>
      <c r="AA387">
        <v>4457.28</v>
      </c>
      <c r="AB387">
        <v>6189842</v>
      </c>
      <c r="AC387" t="b">
        <v>1</v>
      </c>
      <c r="AD387" t="b">
        <v>1</v>
      </c>
      <c r="AE387" t="b">
        <v>0</v>
      </c>
      <c r="AF387" t="b">
        <v>0</v>
      </c>
      <c r="AG387" t="s">
        <v>58</v>
      </c>
      <c r="AH387">
        <v>20</v>
      </c>
      <c r="AI387" t="s">
        <v>59</v>
      </c>
      <c r="AJ387" t="s">
        <v>71</v>
      </c>
      <c r="AL387" t="s">
        <v>72</v>
      </c>
      <c r="AM387" t="s">
        <v>62</v>
      </c>
      <c r="AN387" t="s">
        <v>63</v>
      </c>
      <c r="AO387" t="s">
        <v>2031</v>
      </c>
      <c r="AP387" t="s">
        <v>2073</v>
      </c>
    </row>
    <row r="388" spans="1:42" x14ac:dyDescent="0.45">
      <c r="A388" t="s">
        <v>2017</v>
      </c>
      <c r="B388" t="s">
        <v>2018</v>
      </c>
      <c r="C388" t="s">
        <v>2019</v>
      </c>
      <c r="D388">
        <v>2022</v>
      </c>
      <c r="E388" t="s">
        <v>45</v>
      </c>
      <c r="F388" t="s">
        <v>2020</v>
      </c>
      <c r="G388">
        <v>20</v>
      </c>
      <c r="J388" t="s">
        <v>2077</v>
      </c>
      <c r="K388" t="s">
        <v>2078</v>
      </c>
      <c r="L388" t="s">
        <v>2079</v>
      </c>
      <c r="M388" t="s">
        <v>2080</v>
      </c>
      <c r="N388" t="s">
        <v>2025</v>
      </c>
      <c r="O388" t="s">
        <v>2026</v>
      </c>
      <c r="P388" t="s">
        <v>2027</v>
      </c>
      <c r="Q388" t="s">
        <v>2028</v>
      </c>
      <c r="S388">
        <v>11</v>
      </c>
      <c r="T388" t="s">
        <v>2081</v>
      </c>
      <c r="U388">
        <v>4998</v>
      </c>
      <c r="V388">
        <v>5483</v>
      </c>
      <c r="W388">
        <v>0.91149999999999998</v>
      </c>
      <c r="X388" t="s">
        <v>70</v>
      </c>
      <c r="Y388" t="s">
        <v>2030</v>
      </c>
      <c r="Z388">
        <v>1377.75</v>
      </c>
      <c r="AA388">
        <v>2538.54</v>
      </c>
      <c r="AB388">
        <v>3497488</v>
      </c>
      <c r="AC388" t="b">
        <v>1</v>
      </c>
      <c r="AD388" t="b">
        <v>1</v>
      </c>
      <c r="AE388" t="b">
        <v>0</v>
      </c>
      <c r="AF388" t="b">
        <v>0</v>
      </c>
      <c r="AG388" t="s">
        <v>58</v>
      </c>
      <c r="AH388">
        <v>20</v>
      </c>
      <c r="AI388" t="s">
        <v>59</v>
      </c>
      <c r="AJ388" t="s">
        <v>71</v>
      </c>
      <c r="AL388" t="s">
        <v>72</v>
      </c>
      <c r="AM388" t="s">
        <v>62</v>
      </c>
      <c r="AN388" t="s">
        <v>63</v>
      </c>
      <c r="AO388" t="s">
        <v>2031</v>
      </c>
      <c r="AP388" t="s">
        <v>2078</v>
      </c>
    </row>
    <row r="389" spans="1:42" x14ac:dyDescent="0.45">
      <c r="A389" t="s">
        <v>2017</v>
      </c>
      <c r="B389" t="s">
        <v>2018</v>
      </c>
      <c r="C389" t="s">
        <v>2019</v>
      </c>
      <c r="D389">
        <v>2022</v>
      </c>
      <c r="E389" t="s">
        <v>45</v>
      </c>
      <c r="F389" t="s">
        <v>2020</v>
      </c>
      <c r="G389">
        <v>5</v>
      </c>
      <c r="J389" t="s">
        <v>2082</v>
      </c>
      <c r="K389" t="s">
        <v>2083</v>
      </c>
      <c r="L389" t="s">
        <v>2084</v>
      </c>
      <c r="M389" t="s">
        <v>2085</v>
      </c>
      <c r="N389" t="s">
        <v>2025</v>
      </c>
      <c r="O389" t="s">
        <v>2026</v>
      </c>
      <c r="P389" t="s">
        <v>2027</v>
      </c>
      <c r="Q389" t="s">
        <v>2028</v>
      </c>
      <c r="S389">
        <v>26</v>
      </c>
      <c r="T389" t="s">
        <v>2086</v>
      </c>
      <c r="U389">
        <v>5483</v>
      </c>
      <c r="V389">
        <v>5483</v>
      </c>
      <c r="W389">
        <v>1</v>
      </c>
      <c r="X389" t="s">
        <v>70</v>
      </c>
      <c r="Y389" t="s">
        <v>2030</v>
      </c>
      <c r="Z389">
        <v>1454.77</v>
      </c>
      <c r="AA389">
        <v>3380.44</v>
      </c>
      <c r="AB389">
        <v>4917776</v>
      </c>
      <c r="AC389" t="b">
        <v>1</v>
      </c>
      <c r="AD389" t="b">
        <v>1</v>
      </c>
      <c r="AE389" t="b">
        <v>0</v>
      </c>
      <c r="AF389" t="b">
        <v>0</v>
      </c>
      <c r="AG389" t="s">
        <v>58</v>
      </c>
      <c r="AH389">
        <v>20</v>
      </c>
      <c r="AI389" t="s">
        <v>59</v>
      </c>
      <c r="AJ389" t="s">
        <v>71</v>
      </c>
      <c r="AL389" t="s">
        <v>72</v>
      </c>
      <c r="AM389" t="s">
        <v>62</v>
      </c>
      <c r="AN389" t="s">
        <v>63</v>
      </c>
      <c r="AO389" t="s">
        <v>2031</v>
      </c>
      <c r="AP389" t="s">
        <v>2083</v>
      </c>
    </row>
    <row r="390" spans="1:42" x14ac:dyDescent="0.45">
      <c r="A390" t="s">
        <v>2017</v>
      </c>
      <c r="B390" t="s">
        <v>2018</v>
      </c>
      <c r="C390" t="s">
        <v>2019</v>
      </c>
      <c r="D390">
        <v>2022</v>
      </c>
      <c r="E390" t="s">
        <v>45</v>
      </c>
      <c r="F390" t="s">
        <v>2020</v>
      </c>
      <c r="G390">
        <v>9</v>
      </c>
      <c r="J390" t="s">
        <v>2087</v>
      </c>
      <c r="K390" t="s">
        <v>2088</v>
      </c>
      <c r="L390" t="s">
        <v>2089</v>
      </c>
      <c r="M390" t="s">
        <v>2090</v>
      </c>
      <c r="N390" t="s">
        <v>2025</v>
      </c>
      <c r="O390" t="s">
        <v>2026</v>
      </c>
      <c r="P390" t="s">
        <v>2027</v>
      </c>
      <c r="Q390" t="s">
        <v>2028</v>
      </c>
      <c r="S390">
        <v>22</v>
      </c>
      <c r="T390" t="s">
        <v>2091</v>
      </c>
      <c r="U390">
        <v>5248</v>
      </c>
      <c r="V390">
        <v>5483</v>
      </c>
      <c r="W390">
        <v>0.95709999999999995</v>
      </c>
      <c r="X390" t="s">
        <v>70</v>
      </c>
      <c r="Y390" t="s">
        <v>2030</v>
      </c>
      <c r="Z390">
        <v>1458.7</v>
      </c>
      <c r="AA390">
        <v>3998.63</v>
      </c>
      <c r="AB390">
        <v>5832812</v>
      </c>
      <c r="AC390" t="b">
        <v>1</v>
      </c>
      <c r="AD390" t="b">
        <v>1</v>
      </c>
      <c r="AE390" t="b">
        <v>0</v>
      </c>
      <c r="AF390" t="b">
        <v>0</v>
      </c>
      <c r="AG390" t="s">
        <v>58</v>
      </c>
      <c r="AH390">
        <v>20</v>
      </c>
      <c r="AI390" t="s">
        <v>59</v>
      </c>
      <c r="AJ390" t="s">
        <v>71</v>
      </c>
      <c r="AL390" t="s">
        <v>72</v>
      </c>
      <c r="AM390" t="s">
        <v>62</v>
      </c>
      <c r="AN390" t="s">
        <v>63</v>
      </c>
      <c r="AO390" t="s">
        <v>2031</v>
      </c>
      <c r="AP390" t="s">
        <v>2088</v>
      </c>
    </row>
    <row r="391" spans="1:42" x14ac:dyDescent="0.45">
      <c r="A391" t="s">
        <v>2017</v>
      </c>
      <c r="B391" t="s">
        <v>2018</v>
      </c>
      <c r="C391" t="s">
        <v>2019</v>
      </c>
      <c r="D391">
        <v>2022</v>
      </c>
      <c r="E391" t="s">
        <v>45</v>
      </c>
      <c r="F391" t="s">
        <v>2020</v>
      </c>
      <c r="G391">
        <v>21</v>
      </c>
      <c r="J391" t="s">
        <v>2092</v>
      </c>
      <c r="K391" t="s">
        <v>2093</v>
      </c>
      <c r="L391" t="s">
        <v>2094</v>
      </c>
      <c r="M391" t="s">
        <v>2095</v>
      </c>
      <c r="N391" t="s">
        <v>2025</v>
      </c>
      <c r="O391" t="s">
        <v>2026</v>
      </c>
      <c r="P391" t="s">
        <v>2027</v>
      </c>
      <c r="Q391" t="s">
        <v>2028</v>
      </c>
      <c r="S391">
        <v>10</v>
      </c>
      <c r="T391" t="s">
        <v>2096</v>
      </c>
      <c r="U391">
        <v>6133</v>
      </c>
      <c r="V391">
        <v>5483</v>
      </c>
      <c r="W391">
        <v>1.1185</v>
      </c>
      <c r="X391" t="s">
        <v>70</v>
      </c>
      <c r="Y391" t="s">
        <v>2030</v>
      </c>
      <c r="Z391">
        <v>1328.73</v>
      </c>
      <c r="AA391">
        <v>2476.7199999999998</v>
      </c>
      <c r="AB391">
        <v>3290906</v>
      </c>
      <c r="AC391" t="b">
        <v>1</v>
      </c>
      <c r="AD391" t="b">
        <v>1</v>
      </c>
      <c r="AE391" t="b">
        <v>0</v>
      </c>
      <c r="AF391" t="b">
        <v>0</v>
      </c>
      <c r="AG391" t="s">
        <v>58</v>
      </c>
      <c r="AH391">
        <v>20</v>
      </c>
      <c r="AI391" t="s">
        <v>59</v>
      </c>
      <c r="AJ391" t="s">
        <v>71</v>
      </c>
      <c r="AL391" t="s">
        <v>72</v>
      </c>
      <c r="AM391" t="s">
        <v>62</v>
      </c>
      <c r="AN391" t="s">
        <v>63</v>
      </c>
      <c r="AO391" t="s">
        <v>2031</v>
      </c>
      <c r="AP391" t="s">
        <v>2093</v>
      </c>
    </row>
    <row r="392" spans="1:42" x14ac:dyDescent="0.45">
      <c r="A392" t="s">
        <v>2017</v>
      </c>
      <c r="B392" t="s">
        <v>2018</v>
      </c>
      <c r="C392" t="s">
        <v>2019</v>
      </c>
      <c r="D392">
        <v>2022</v>
      </c>
      <c r="E392" t="s">
        <v>45</v>
      </c>
      <c r="F392" t="s">
        <v>2020</v>
      </c>
      <c r="G392">
        <v>2</v>
      </c>
      <c r="J392" t="s">
        <v>2097</v>
      </c>
      <c r="K392" t="s">
        <v>2098</v>
      </c>
      <c r="L392" t="s">
        <v>2099</v>
      </c>
      <c r="M392" t="s">
        <v>2100</v>
      </c>
      <c r="N392" t="s">
        <v>2025</v>
      </c>
      <c r="O392" t="s">
        <v>2026</v>
      </c>
      <c r="P392" t="s">
        <v>2027</v>
      </c>
      <c r="Q392" t="s">
        <v>2028</v>
      </c>
      <c r="S392">
        <v>29</v>
      </c>
      <c r="T392" t="s">
        <v>2101</v>
      </c>
      <c r="U392">
        <v>5333</v>
      </c>
      <c r="V392">
        <v>5483</v>
      </c>
      <c r="W392">
        <v>0.97260000000000002</v>
      </c>
      <c r="X392" t="s">
        <v>70</v>
      </c>
      <c r="Y392" t="s">
        <v>2030</v>
      </c>
      <c r="Z392">
        <v>1475.75</v>
      </c>
      <c r="AA392">
        <v>2879.37</v>
      </c>
      <c r="AB392">
        <v>4249246</v>
      </c>
      <c r="AC392" t="b">
        <v>1</v>
      </c>
      <c r="AD392" t="b">
        <v>1</v>
      </c>
      <c r="AE392" t="b">
        <v>0</v>
      </c>
      <c r="AF392" t="b">
        <v>0</v>
      </c>
      <c r="AG392" t="s">
        <v>58</v>
      </c>
      <c r="AH392">
        <v>20</v>
      </c>
      <c r="AI392" t="s">
        <v>59</v>
      </c>
      <c r="AJ392" t="s">
        <v>71</v>
      </c>
      <c r="AL392" t="s">
        <v>72</v>
      </c>
      <c r="AM392" t="s">
        <v>62</v>
      </c>
      <c r="AN392" t="s">
        <v>63</v>
      </c>
      <c r="AO392" t="s">
        <v>2031</v>
      </c>
      <c r="AP392" t="s">
        <v>2098</v>
      </c>
    </row>
    <row r="393" spans="1:42" x14ac:dyDescent="0.45">
      <c r="A393" t="s">
        <v>2017</v>
      </c>
      <c r="B393" t="s">
        <v>2018</v>
      </c>
      <c r="C393" t="s">
        <v>2019</v>
      </c>
      <c r="D393">
        <v>2022</v>
      </c>
      <c r="E393" t="s">
        <v>45</v>
      </c>
      <c r="F393" t="s">
        <v>2020</v>
      </c>
      <c r="G393">
        <v>6</v>
      </c>
      <c r="J393" t="s">
        <v>2102</v>
      </c>
      <c r="K393" t="s">
        <v>2103</v>
      </c>
      <c r="L393" t="s">
        <v>2104</v>
      </c>
      <c r="M393" t="s">
        <v>2105</v>
      </c>
      <c r="N393" t="s">
        <v>2025</v>
      </c>
      <c r="O393" t="s">
        <v>2026</v>
      </c>
      <c r="P393" t="s">
        <v>2027</v>
      </c>
      <c r="Q393" t="s">
        <v>2028</v>
      </c>
      <c r="S393">
        <v>25</v>
      </c>
      <c r="T393" t="s">
        <v>2106</v>
      </c>
      <c r="U393">
        <v>5371</v>
      </c>
      <c r="V393">
        <v>5483</v>
      </c>
      <c r="W393">
        <v>0.97960000000000003</v>
      </c>
      <c r="X393" t="s">
        <v>70</v>
      </c>
      <c r="Y393" t="s">
        <v>2030</v>
      </c>
      <c r="Z393">
        <v>1440.75</v>
      </c>
      <c r="AA393">
        <v>3160.77</v>
      </c>
      <c r="AB393">
        <v>4553898</v>
      </c>
      <c r="AC393" t="b">
        <v>1</v>
      </c>
      <c r="AD393" t="b">
        <v>1</v>
      </c>
      <c r="AE393" t="b">
        <v>0</v>
      </c>
      <c r="AF393" t="b">
        <v>0</v>
      </c>
      <c r="AG393" t="s">
        <v>58</v>
      </c>
      <c r="AH393">
        <v>20</v>
      </c>
      <c r="AI393" t="s">
        <v>59</v>
      </c>
      <c r="AJ393" t="s">
        <v>71</v>
      </c>
      <c r="AL393" t="s">
        <v>72</v>
      </c>
      <c r="AM393" t="s">
        <v>62</v>
      </c>
      <c r="AN393" t="s">
        <v>63</v>
      </c>
      <c r="AO393" t="s">
        <v>2031</v>
      </c>
      <c r="AP393" t="s">
        <v>2103</v>
      </c>
    </row>
    <row r="394" spans="1:42" x14ac:dyDescent="0.45">
      <c r="A394" t="s">
        <v>2017</v>
      </c>
      <c r="B394" t="s">
        <v>2018</v>
      </c>
      <c r="C394" t="s">
        <v>2019</v>
      </c>
      <c r="D394">
        <v>2022</v>
      </c>
      <c r="E394" t="s">
        <v>45</v>
      </c>
      <c r="F394" t="s">
        <v>2020</v>
      </c>
      <c r="G394">
        <v>1</v>
      </c>
      <c r="J394" t="s">
        <v>2107</v>
      </c>
      <c r="K394" t="s">
        <v>2108</v>
      </c>
      <c r="L394" t="s">
        <v>2109</v>
      </c>
      <c r="M394" t="s">
        <v>2110</v>
      </c>
      <c r="N394" t="s">
        <v>2025</v>
      </c>
      <c r="O394" t="s">
        <v>2026</v>
      </c>
      <c r="P394" t="s">
        <v>2027</v>
      </c>
      <c r="Q394" t="s">
        <v>2028</v>
      </c>
      <c r="S394">
        <v>30</v>
      </c>
      <c r="T394" t="s">
        <v>2111</v>
      </c>
      <c r="U394">
        <v>5325</v>
      </c>
      <c r="V394">
        <v>5483</v>
      </c>
      <c r="W394">
        <v>0.97119999999999995</v>
      </c>
      <c r="X394" t="s">
        <v>70</v>
      </c>
      <c r="Y394" t="s">
        <v>2030</v>
      </c>
      <c r="Z394">
        <v>1481.75</v>
      </c>
      <c r="AA394">
        <v>3218.1</v>
      </c>
      <c r="AB394">
        <v>4768432</v>
      </c>
      <c r="AC394" t="b">
        <v>1</v>
      </c>
      <c r="AD394" t="b">
        <v>1</v>
      </c>
      <c r="AE394" t="b">
        <v>0</v>
      </c>
      <c r="AF394" t="b">
        <v>0</v>
      </c>
      <c r="AG394" t="s">
        <v>58</v>
      </c>
      <c r="AH394">
        <v>20</v>
      </c>
      <c r="AI394" t="s">
        <v>59</v>
      </c>
      <c r="AJ394" t="s">
        <v>71</v>
      </c>
      <c r="AL394" t="s">
        <v>72</v>
      </c>
      <c r="AM394" t="s">
        <v>62</v>
      </c>
      <c r="AN394" t="s">
        <v>63</v>
      </c>
      <c r="AO394" t="s">
        <v>2031</v>
      </c>
      <c r="AP394" t="s">
        <v>2108</v>
      </c>
    </row>
    <row r="395" spans="1:42" x14ac:dyDescent="0.45">
      <c r="A395" t="s">
        <v>2017</v>
      </c>
      <c r="B395" t="s">
        <v>2018</v>
      </c>
      <c r="C395" t="s">
        <v>2019</v>
      </c>
      <c r="D395">
        <v>2022</v>
      </c>
      <c r="E395" t="s">
        <v>45</v>
      </c>
      <c r="F395" t="s">
        <v>2020</v>
      </c>
      <c r="G395">
        <v>31</v>
      </c>
      <c r="J395" t="s">
        <v>2112</v>
      </c>
      <c r="K395" t="s">
        <v>2113</v>
      </c>
      <c r="L395" t="s">
        <v>2114</v>
      </c>
      <c r="M395" t="s">
        <v>2115</v>
      </c>
      <c r="N395" t="s">
        <v>2025</v>
      </c>
      <c r="O395" t="s">
        <v>2026</v>
      </c>
      <c r="P395" t="s">
        <v>2027</v>
      </c>
      <c r="Q395" t="s">
        <v>2028</v>
      </c>
      <c r="S395">
        <v>0</v>
      </c>
      <c r="T395" t="s">
        <v>2116</v>
      </c>
      <c r="U395">
        <v>6385</v>
      </c>
      <c r="V395">
        <v>5483</v>
      </c>
      <c r="W395">
        <v>1.1645000000000001</v>
      </c>
      <c r="X395" t="s">
        <v>70</v>
      </c>
      <c r="Y395" t="s">
        <v>2030</v>
      </c>
      <c r="Z395">
        <v>1258.73</v>
      </c>
      <c r="AA395">
        <v>5841.39</v>
      </c>
      <c r="AB395">
        <v>7352756</v>
      </c>
      <c r="AC395" t="b">
        <v>1</v>
      </c>
      <c r="AD395" t="b">
        <v>1</v>
      </c>
      <c r="AE395" t="b">
        <v>0</v>
      </c>
      <c r="AF395" t="b">
        <v>0</v>
      </c>
      <c r="AG395" t="s">
        <v>58</v>
      </c>
      <c r="AH395">
        <v>20</v>
      </c>
      <c r="AI395" t="s">
        <v>59</v>
      </c>
      <c r="AJ395" t="s">
        <v>71</v>
      </c>
      <c r="AL395" t="s">
        <v>72</v>
      </c>
      <c r="AM395" t="s">
        <v>62</v>
      </c>
      <c r="AN395" t="s">
        <v>63</v>
      </c>
      <c r="AO395" t="s">
        <v>2031</v>
      </c>
      <c r="AP395" t="s">
        <v>2113</v>
      </c>
    </row>
    <row r="396" spans="1:42" x14ac:dyDescent="0.45">
      <c r="A396" t="s">
        <v>2017</v>
      </c>
      <c r="B396" t="s">
        <v>2018</v>
      </c>
      <c r="C396" t="s">
        <v>2019</v>
      </c>
      <c r="D396">
        <v>2022</v>
      </c>
      <c r="E396" t="s">
        <v>45</v>
      </c>
      <c r="F396" t="s">
        <v>2020</v>
      </c>
      <c r="G396">
        <v>3</v>
      </c>
      <c r="J396" t="s">
        <v>2117</v>
      </c>
      <c r="K396" t="s">
        <v>2118</v>
      </c>
      <c r="L396" t="s">
        <v>2119</v>
      </c>
      <c r="M396" t="s">
        <v>2120</v>
      </c>
      <c r="N396" t="s">
        <v>2025</v>
      </c>
      <c r="O396" t="s">
        <v>2026</v>
      </c>
      <c r="P396" t="s">
        <v>2027</v>
      </c>
      <c r="Q396" t="s">
        <v>2028</v>
      </c>
      <c r="S396">
        <v>28</v>
      </c>
      <c r="T396" t="s">
        <v>2121</v>
      </c>
      <c r="U396">
        <v>5555</v>
      </c>
      <c r="V396">
        <v>5483</v>
      </c>
      <c r="W396">
        <v>1.0130999999999999</v>
      </c>
      <c r="X396" t="s">
        <v>70</v>
      </c>
      <c r="Y396" t="s">
        <v>2030</v>
      </c>
      <c r="Z396">
        <v>1468.75</v>
      </c>
      <c r="AA396">
        <v>5073.72</v>
      </c>
      <c r="AB396">
        <v>7452049</v>
      </c>
      <c r="AC396" t="b">
        <v>1</v>
      </c>
      <c r="AD396" t="b">
        <v>1</v>
      </c>
      <c r="AE396" t="b">
        <v>0</v>
      </c>
      <c r="AF396" t="b">
        <v>0</v>
      </c>
      <c r="AG396" t="s">
        <v>58</v>
      </c>
      <c r="AH396">
        <v>20</v>
      </c>
      <c r="AI396" t="s">
        <v>59</v>
      </c>
      <c r="AJ396" t="s">
        <v>71</v>
      </c>
      <c r="AL396" t="s">
        <v>72</v>
      </c>
      <c r="AM396" t="s">
        <v>62</v>
      </c>
      <c r="AN396" t="s">
        <v>63</v>
      </c>
      <c r="AO396" t="s">
        <v>2031</v>
      </c>
      <c r="AP396" t="s">
        <v>2118</v>
      </c>
    </row>
    <row r="397" spans="1:42" x14ac:dyDescent="0.45">
      <c r="A397" t="s">
        <v>2017</v>
      </c>
      <c r="B397" t="s">
        <v>2018</v>
      </c>
      <c r="C397" t="s">
        <v>2019</v>
      </c>
      <c r="D397">
        <v>2022</v>
      </c>
      <c r="E397" t="s">
        <v>45</v>
      </c>
      <c r="F397" t="s">
        <v>2020</v>
      </c>
      <c r="G397">
        <v>29</v>
      </c>
      <c r="J397" t="s">
        <v>2122</v>
      </c>
      <c r="K397" t="s">
        <v>2123</v>
      </c>
      <c r="L397" t="s">
        <v>2124</v>
      </c>
      <c r="M397" t="s">
        <v>2125</v>
      </c>
      <c r="N397" t="s">
        <v>2025</v>
      </c>
      <c r="O397" t="s">
        <v>2026</v>
      </c>
      <c r="P397" t="s">
        <v>2027</v>
      </c>
      <c r="Q397" t="s">
        <v>2028</v>
      </c>
      <c r="S397">
        <v>2</v>
      </c>
      <c r="T397" t="s">
        <v>2126</v>
      </c>
      <c r="U397">
        <v>5560</v>
      </c>
      <c r="V397">
        <v>5483</v>
      </c>
      <c r="W397">
        <v>1.014</v>
      </c>
      <c r="X397" t="s">
        <v>70</v>
      </c>
      <c r="Y397" t="s">
        <v>2030</v>
      </c>
      <c r="Z397">
        <v>1276.7</v>
      </c>
      <c r="AA397">
        <v>10499.24</v>
      </c>
      <c r="AB397">
        <v>13404401</v>
      </c>
      <c r="AC397" t="b">
        <v>1</v>
      </c>
      <c r="AD397" t="b">
        <v>1</v>
      </c>
      <c r="AE397" t="b">
        <v>0</v>
      </c>
      <c r="AF397" t="b">
        <v>0</v>
      </c>
      <c r="AG397" t="s">
        <v>58</v>
      </c>
      <c r="AH397">
        <v>20</v>
      </c>
      <c r="AI397" t="s">
        <v>59</v>
      </c>
      <c r="AJ397" t="s">
        <v>71</v>
      </c>
      <c r="AL397" t="s">
        <v>72</v>
      </c>
      <c r="AM397" t="s">
        <v>62</v>
      </c>
      <c r="AN397" t="s">
        <v>63</v>
      </c>
      <c r="AO397" t="s">
        <v>2031</v>
      </c>
      <c r="AP397" t="s">
        <v>2123</v>
      </c>
    </row>
    <row r="398" spans="1:42" x14ac:dyDescent="0.45">
      <c r="A398" t="s">
        <v>2017</v>
      </c>
      <c r="B398" t="s">
        <v>2018</v>
      </c>
      <c r="C398" t="s">
        <v>2019</v>
      </c>
      <c r="D398">
        <v>2022</v>
      </c>
      <c r="E398" t="s">
        <v>45</v>
      </c>
      <c r="F398" t="s">
        <v>2020</v>
      </c>
      <c r="G398">
        <v>10</v>
      </c>
      <c r="J398" t="s">
        <v>2127</v>
      </c>
      <c r="K398" t="s">
        <v>2128</v>
      </c>
      <c r="L398" t="s">
        <v>2129</v>
      </c>
      <c r="M398" t="s">
        <v>2130</v>
      </c>
      <c r="N398" t="s">
        <v>2025</v>
      </c>
      <c r="O398" t="s">
        <v>2026</v>
      </c>
      <c r="P398" t="s">
        <v>2027</v>
      </c>
      <c r="Q398" t="s">
        <v>2028</v>
      </c>
      <c r="S398">
        <v>21</v>
      </c>
      <c r="T398" t="s">
        <v>2131</v>
      </c>
      <c r="U398">
        <v>5069</v>
      </c>
      <c r="V398">
        <v>5483</v>
      </c>
      <c r="W398">
        <v>0.92449999999999999</v>
      </c>
      <c r="X398" t="s">
        <v>70</v>
      </c>
      <c r="Y398" t="s">
        <v>2030</v>
      </c>
      <c r="Z398">
        <v>1451.7</v>
      </c>
      <c r="AA398">
        <v>5158.84</v>
      </c>
      <c r="AB398">
        <v>7489102</v>
      </c>
      <c r="AC398" t="b">
        <v>1</v>
      </c>
      <c r="AD398" t="b">
        <v>1</v>
      </c>
      <c r="AE398" t="b">
        <v>0</v>
      </c>
      <c r="AF398" t="b">
        <v>0</v>
      </c>
      <c r="AG398" t="s">
        <v>58</v>
      </c>
      <c r="AH398">
        <v>20</v>
      </c>
      <c r="AI398" t="s">
        <v>59</v>
      </c>
      <c r="AJ398" t="s">
        <v>71</v>
      </c>
      <c r="AL398" t="s">
        <v>72</v>
      </c>
      <c r="AM398" t="s">
        <v>62</v>
      </c>
      <c r="AN398" t="s">
        <v>63</v>
      </c>
      <c r="AO398" t="s">
        <v>2031</v>
      </c>
      <c r="AP398" t="s">
        <v>2128</v>
      </c>
    </row>
    <row r="399" spans="1:42" x14ac:dyDescent="0.45">
      <c r="A399" t="s">
        <v>2017</v>
      </c>
      <c r="B399" t="s">
        <v>2018</v>
      </c>
      <c r="C399" t="s">
        <v>2019</v>
      </c>
      <c r="D399">
        <v>2022</v>
      </c>
      <c r="E399" t="s">
        <v>45</v>
      </c>
      <c r="F399" t="s">
        <v>2020</v>
      </c>
      <c r="G399">
        <v>27</v>
      </c>
      <c r="J399" t="s">
        <v>2132</v>
      </c>
      <c r="K399" t="s">
        <v>2133</v>
      </c>
      <c r="L399" t="s">
        <v>2134</v>
      </c>
      <c r="M399" t="s">
        <v>2135</v>
      </c>
      <c r="N399" t="s">
        <v>2025</v>
      </c>
      <c r="O399" t="s">
        <v>2026</v>
      </c>
      <c r="P399" t="s">
        <v>2027</v>
      </c>
      <c r="Q399" t="s">
        <v>2028</v>
      </c>
      <c r="S399">
        <v>4</v>
      </c>
      <c r="T399" t="s">
        <v>2136</v>
      </c>
      <c r="U399">
        <v>6210</v>
      </c>
      <c r="V399">
        <v>5483</v>
      </c>
      <c r="W399">
        <v>1.1326000000000001</v>
      </c>
      <c r="X399" t="s">
        <v>70</v>
      </c>
      <c r="Y399" t="s">
        <v>2030</v>
      </c>
      <c r="Z399">
        <v>1290.7</v>
      </c>
      <c r="AA399">
        <v>15667.88</v>
      </c>
      <c r="AB399">
        <v>20222572</v>
      </c>
      <c r="AC399" t="b">
        <v>1</v>
      </c>
      <c r="AD399" t="b">
        <v>1</v>
      </c>
      <c r="AE399" t="b">
        <v>0</v>
      </c>
      <c r="AF399" t="b">
        <v>0</v>
      </c>
      <c r="AG399" t="s">
        <v>58</v>
      </c>
      <c r="AH399">
        <v>20</v>
      </c>
      <c r="AI399" t="s">
        <v>59</v>
      </c>
      <c r="AJ399" t="s">
        <v>71</v>
      </c>
      <c r="AL399" t="s">
        <v>72</v>
      </c>
      <c r="AM399" t="s">
        <v>62</v>
      </c>
      <c r="AN399" t="s">
        <v>63</v>
      </c>
      <c r="AO399" t="s">
        <v>2031</v>
      </c>
      <c r="AP399" t="s">
        <v>2133</v>
      </c>
    </row>
    <row r="400" spans="1:42" x14ac:dyDescent="0.45">
      <c r="A400" t="s">
        <v>2017</v>
      </c>
      <c r="B400" t="s">
        <v>2018</v>
      </c>
      <c r="C400" t="s">
        <v>2019</v>
      </c>
      <c r="D400">
        <v>2022</v>
      </c>
      <c r="E400" t="s">
        <v>45</v>
      </c>
      <c r="F400" t="s">
        <v>2020</v>
      </c>
      <c r="G400">
        <v>18</v>
      </c>
      <c r="J400" t="s">
        <v>2137</v>
      </c>
      <c r="K400" t="s">
        <v>2138</v>
      </c>
      <c r="L400" t="s">
        <v>2139</v>
      </c>
      <c r="M400" t="s">
        <v>2140</v>
      </c>
      <c r="N400" t="s">
        <v>2025</v>
      </c>
      <c r="O400" t="s">
        <v>2026</v>
      </c>
      <c r="P400" t="s">
        <v>2027</v>
      </c>
      <c r="Q400" t="s">
        <v>2028</v>
      </c>
      <c r="S400">
        <v>13</v>
      </c>
      <c r="T400" t="s">
        <v>2141</v>
      </c>
      <c r="U400">
        <v>6026</v>
      </c>
      <c r="V400">
        <v>5483</v>
      </c>
      <c r="W400">
        <v>1.099</v>
      </c>
      <c r="X400" t="s">
        <v>70</v>
      </c>
      <c r="Y400" t="s">
        <v>2030</v>
      </c>
      <c r="Z400">
        <v>1395.7</v>
      </c>
      <c r="AA400">
        <v>6180.11</v>
      </c>
      <c r="AB400">
        <v>8625596</v>
      </c>
      <c r="AC400" t="b">
        <v>1</v>
      </c>
      <c r="AD400" t="b">
        <v>1</v>
      </c>
      <c r="AE400" t="b">
        <v>0</v>
      </c>
      <c r="AF400" t="b">
        <v>0</v>
      </c>
      <c r="AG400" t="s">
        <v>58</v>
      </c>
      <c r="AH400">
        <v>20</v>
      </c>
      <c r="AI400" t="s">
        <v>59</v>
      </c>
      <c r="AJ400" t="s">
        <v>71</v>
      </c>
      <c r="AL400" t="s">
        <v>72</v>
      </c>
      <c r="AM400" t="s">
        <v>62</v>
      </c>
      <c r="AN400" t="s">
        <v>63</v>
      </c>
      <c r="AO400" t="s">
        <v>2031</v>
      </c>
      <c r="AP400" t="s">
        <v>2138</v>
      </c>
    </row>
    <row r="401" spans="1:42" x14ac:dyDescent="0.45">
      <c r="A401" t="s">
        <v>2017</v>
      </c>
      <c r="B401" t="s">
        <v>2018</v>
      </c>
      <c r="C401" t="s">
        <v>2019</v>
      </c>
      <c r="D401">
        <v>2022</v>
      </c>
      <c r="E401" t="s">
        <v>45</v>
      </c>
      <c r="F401" t="s">
        <v>2020</v>
      </c>
      <c r="G401">
        <v>17</v>
      </c>
      <c r="J401" t="s">
        <v>2142</v>
      </c>
      <c r="K401" t="s">
        <v>2143</v>
      </c>
      <c r="L401" t="s">
        <v>2144</v>
      </c>
      <c r="M401" t="s">
        <v>2145</v>
      </c>
      <c r="N401" t="s">
        <v>2025</v>
      </c>
      <c r="O401" t="s">
        <v>2026</v>
      </c>
      <c r="P401" t="s">
        <v>2027</v>
      </c>
      <c r="Q401" t="s">
        <v>2028</v>
      </c>
      <c r="S401">
        <v>14</v>
      </c>
      <c r="T401" t="s">
        <v>2146</v>
      </c>
      <c r="U401">
        <v>5095</v>
      </c>
      <c r="V401">
        <v>5483</v>
      </c>
      <c r="W401">
        <v>0.92920000000000003</v>
      </c>
      <c r="X401" t="s">
        <v>70</v>
      </c>
      <c r="Y401" t="s">
        <v>2030</v>
      </c>
      <c r="Z401">
        <v>1402.7</v>
      </c>
      <c r="AA401">
        <v>5661.73</v>
      </c>
      <c r="AB401">
        <v>7941720</v>
      </c>
      <c r="AC401" t="b">
        <v>1</v>
      </c>
      <c r="AD401" t="b">
        <v>1</v>
      </c>
      <c r="AE401" t="b">
        <v>0</v>
      </c>
      <c r="AF401" t="b">
        <v>0</v>
      </c>
      <c r="AG401" t="s">
        <v>58</v>
      </c>
      <c r="AH401">
        <v>20</v>
      </c>
      <c r="AI401" t="s">
        <v>59</v>
      </c>
      <c r="AJ401" t="s">
        <v>71</v>
      </c>
      <c r="AL401" t="s">
        <v>72</v>
      </c>
      <c r="AM401" t="s">
        <v>62</v>
      </c>
      <c r="AN401" t="s">
        <v>63</v>
      </c>
      <c r="AO401" t="s">
        <v>2031</v>
      </c>
      <c r="AP401" t="s">
        <v>2143</v>
      </c>
    </row>
    <row r="402" spans="1:42" x14ac:dyDescent="0.45">
      <c r="A402" t="s">
        <v>2017</v>
      </c>
      <c r="B402" t="s">
        <v>2018</v>
      </c>
      <c r="C402" t="s">
        <v>2019</v>
      </c>
      <c r="D402">
        <v>2022</v>
      </c>
      <c r="E402" t="s">
        <v>45</v>
      </c>
      <c r="F402" t="s">
        <v>2020</v>
      </c>
      <c r="G402">
        <v>13</v>
      </c>
      <c r="J402" t="s">
        <v>2147</v>
      </c>
      <c r="K402" t="s">
        <v>2148</v>
      </c>
      <c r="L402" t="s">
        <v>2149</v>
      </c>
      <c r="M402" t="s">
        <v>2150</v>
      </c>
      <c r="N402" t="s">
        <v>2025</v>
      </c>
      <c r="O402" t="s">
        <v>2026</v>
      </c>
      <c r="P402" t="s">
        <v>2027</v>
      </c>
      <c r="Q402" t="s">
        <v>2028</v>
      </c>
      <c r="S402">
        <v>18</v>
      </c>
      <c r="T402" t="s">
        <v>2151</v>
      </c>
      <c r="U402">
        <v>5130</v>
      </c>
      <c r="V402">
        <v>5483</v>
      </c>
      <c r="W402">
        <v>0.93559999999999999</v>
      </c>
      <c r="X402" t="s">
        <v>70</v>
      </c>
      <c r="Y402" t="s">
        <v>2030</v>
      </c>
      <c r="Z402">
        <v>1430.7</v>
      </c>
      <c r="AA402">
        <v>3587.56</v>
      </c>
      <c r="AB402">
        <v>5132727</v>
      </c>
      <c r="AC402" t="b">
        <v>1</v>
      </c>
      <c r="AD402" t="b">
        <v>1</v>
      </c>
      <c r="AE402" t="b">
        <v>0</v>
      </c>
      <c r="AF402" t="b">
        <v>0</v>
      </c>
      <c r="AG402" t="s">
        <v>58</v>
      </c>
      <c r="AH402">
        <v>20</v>
      </c>
      <c r="AI402" t="s">
        <v>59</v>
      </c>
      <c r="AJ402" t="s">
        <v>71</v>
      </c>
      <c r="AL402" t="s">
        <v>72</v>
      </c>
      <c r="AM402" t="s">
        <v>62</v>
      </c>
      <c r="AN402" t="s">
        <v>63</v>
      </c>
      <c r="AO402" t="s">
        <v>2031</v>
      </c>
      <c r="AP402" t="s">
        <v>2148</v>
      </c>
    </row>
    <row r="403" spans="1:42" x14ac:dyDescent="0.45">
      <c r="A403" t="s">
        <v>2017</v>
      </c>
      <c r="B403" t="s">
        <v>2018</v>
      </c>
      <c r="C403" t="s">
        <v>2019</v>
      </c>
      <c r="D403">
        <v>2022</v>
      </c>
      <c r="E403" t="s">
        <v>45</v>
      </c>
      <c r="F403" t="s">
        <v>2020</v>
      </c>
      <c r="G403">
        <v>26</v>
      </c>
      <c r="J403" t="s">
        <v>2152</v>
      </c>
      <c r="K403" t="s">
        <v>2153</v>
      </c>
      <c r="L403" t="s">
        <v>2154</v>
      </c>
      <c r="M403" t="s">
        <v>2155</v>
      </c>
      <c r="N403" t="s">
        <v>2025</v>
      </c>
      <c r="O403" t="s">
        <v>2026</v>
      </c>
      <c r="P403" t="s">
        <v>2027</v>
      </c>
      <c r="Q403" t="s">
        <v>2028</v>
      </c>
      <c r="S403">
        <v>5</v>
      </c>
      <c r="T403" t="s">
        <v>2156</v>
      </c>
      <c r="U403">
        <v>5946</v>
      </c>
      <c r="V403">
        <v>5483</v>
      </c>
      <c r="W403">
        <v>1.0844</v>
      </c>
      <c r="X403" t="s">
        <v>70</v>
      </c>
      <c r="Y403" t="s">
        <v>2030</v>
      </c>
      <c r="Z403">
        <v>1297.7</v>
      </c>
      <c r="AA403">
        <v>7917.09</v>
      </c>
      <c r="AB403">
        <v>10274025</v>
      </c>
      <c r="AC403" t="b">
        <v>1</v>
      </c>
      <c r="AD403" t="b">
        <v>1</v>
      </c>
      <c r="AE403" t="b">
        <v>0</v>
      </c>
      <c r="AF403" t="b">
        <v>0</v>
      </c>
      <c r="AG403" t="s">
        <v>58</v>
      </c>
      <c r="AH403">
        <v>20</v>
      </c>
      <c r="AI403" t="s">
        <v>59</v>
      </c>
      <c r="AJ403" t="s">
        <v>71</v>
      </c>
      <c r="AL403" t="s">
        <v>72</v>
      </c>
      <c r="AM403" t="s">
        <v>62</v>
      </c>
      <c r="AN403" t="s">
        <v>63</v>
      </c>
      <c r="AO403" t="s">
        <v>2031</v>
      </c>
      <c r="AP403" t="s">
        <v>2153</v>
      </c>
    </row>
    <row r="404" spans="1:42" x14ac:dyDescent="0.45">
      <c r="A404" t="s">
        <v>2017</v>
      </c>
      <c r="B404" t="s">
        <v>2018</v>
      </c>
      <c r="C404" t="s">
        <v>2019</v>
      </c>
      <c r="D404">
        <v>2022</v>
      </c>
      <c r="E404" t="s">
        <v>45</v>
      </c>
      <c r="F404" t="s">
        <v>2020</v>
      </c>
      <c r="G404">
        <v>23</v>
      </c>
      <c r="J404" t="s">
        <v>2157</v>
      </c>
      <c r="K404" t="s">
        <v>2158</v>
      </c>
      <c r="L404" t="s">
        <v>2159</v>
      </c>
      <c r="M404" t="s">
        <v>2160</v>
      </c>
      <c r="N404" t="s">
        <v>2025</v>
      </c>
      <c r="O404" t="s">
        <v>2026</v>
      </c>
      <c r="P404" t="s">
        <v>2027</v>
      </c>
      <c r="Q404" t="s">
        <v>2028</v>
      </c>
      <c r="S404">
        <v>8</v>
      </c>
      <c r="T404" t="s">
        <v>2161</v>
      </c>
      <c r="U404">
        <v>4794</v>
      </c>
      <c r="V404">
        <v>5483</v>
      </c>
      <c r="W404">
        <v>0.87429999999999997</v>
      </c>
      <c r="X404" t="s">
        <v>70</v>
      </c>
      <c r="Y404" t="s">
        <v>2030</v>
      </c>
      <c r="Z404">
        <v>1314.73</v>
      </c>
      <c r="AA404">
        <v>1694.55</v>
      </c>
      <c r="AB404">
        <v>2227877</v>
      </c>
      <c r="AC404" t="b">
        <v>1</v>
      </c>
      <c r="AD404" t="b">
        <v>1</v>
      </c>
      <c r="AE404" t="b">
        <v>0</v>
      </c>
      <c r="AF404" t="b">
        <v>0</v>
      </c>
      <c r="AG404" t="s">
        <v>58</v>
      </c>
      <c r="AH404">
        <v>20</v>
      </c>
      <c r="AI404" t="s">
        <v>59</v>
      </c>
      <c r="AJ404" t="s">
        <v>71</v>
      </c>
      <c r="AL404" t="s">
        <v>72</v>
      </c>
      <c r="AM404" t="s">
        <v>62</v>
      </c>
      <c r="AN404" t="s">
        <v>63</v>
      </c>
      <c r="AO404" t="s">
        <v>2031</v>
      </c>
      <c r="AP404" t="s">
        <v>2158</v>
      </c>
    </row>
    <row r="405" spans="1:42" x14ac:dyDescent="0.45">
      <c r="A405" t="s">
        <v>2017</v>
      </c>
      <c r="B405" t="s">
        <v>2018</v>
      </c>
      <c r="C405" t="s">
        <v>2019</v>
      </c>
      <c r="D405">
        <v>2022</v>
      </c>
      <c r="E405" t="s">
        <v>45</v>
      </c>
      <c r="F405" t="s">
        <v>2020</v>
      </c>
      <c r="G405">
        <v>30</v>
      </c>
      <c r="J405" t="s">
        <v>2162</v>
      </c>
      <c r="K405" t="s">
        <v>2163</v>
      </c>
      <c r="L405" t="s">
        <v>2164</v>
      </c>
      <c r="M405" t="s">
        <v>2165</v>
      </c>
      <c r="N405" t="s">
        <v>2025</v>
      </c>
      <c r="O405" t="s">
        <v>2026</v>
      </c>
      <c r="P405" t="s">
        <v>2027</v>
      </c>
      <c r="Q405" t="s">
        <v>2028</v>
      </c>
      <c r="S405">
        <v>1</v>
      </c>
      <c r="T405" t="s">
        <v>2166</v>
      </c>
      <c r="U405">
        <v>6258</v>
      </c>
      <c r="V405">
        <v>5483</v>
      </c>
      <c r="W405">
        <v>1.1413</v>
      </c>
      <c r="X405" t="s">
        <v>70</v>
      </c>
      <c r="Y405" t="s">
        <v>2030</v>
      </c>
      <c r="Z405">
        <v>1265.73</v>
      </c>
      <c r="AA405">
        <v>8547.52</v>
      </c>
      <c r="AB405">
        <v>10818887</v>
      </c>
      <c r="AC405" t="b">
        <v>1</v>
      </c>
      <c r="AD405" t="b">
        <v>1</v>
      </c>
      <c r="AE405" t="b">
        <v>0</v>
      </c>
      <c r="AF405" t="b">
        <v>0</v>
      </c>
      <c r="AG405" t="s">
        <v>58</v>
      </c>
      <c r="AH405">
        <v>20</v>
      </c>
      <c r="AI405" t="s">
        <v>59</v>
      </c>
      <c r="AJ405" t="s">
        <v>71</v>
      </c>
      <c r="AL405" t="s">
        <v>72</v>
      </c>
      <c r="AM405" t="s">
        <v>62</v>
      </c>
      <c r="AN405" t="s">
        <v>63</v>
      </c>
      <c r="AO405" t="s">
        <v>2031</v>
      </c>
      <c r="AP405" t="s">
        <v>2163</v>
      </c>
    </row>
    <row r="406" spans="1:42" x14ac:dyDescent="0.45">
      <c r="A406" t="s">
        <v>2017</v>
      </c>
      <c r="B406" t="s">
        <v>2018</v>
      </c>
      <c r="C406" t="s">
        <v>2019</v>
      </c>
      <c r="D406">
        <v>2022</v>
      </c>
      <c r="E406" t="s">
        <v>45</v>
      </c>
      <c r="F406" t="s">
        <v>2020</v>
      </c>
      <c r="G406">
        <v>28</v>
      </c>
      <c r="J406" t="s">
        <v>2167</v>
      </c>
      <c r="K406" t="s">
        <v>2168</v>
      </c>
      <c r="L406" t="s">
        <v>2169</v>
      </c>
      <c r="M406" t="s">
        <v>2170</v>
      </c>
      <c r="N406" t="s">
        <v>2025</v>
      </c>
      <c r="O406" t="s">
        <v>2026</v>
      </c>
      <c r="P406" t="s">
        <v>2027</v>
      </c>
      <c r="Q406" t="s">
        <v>2028</v>
      </c>
      <c r="S406">
        <v>3</v>
      </c>
      <c r="T406" t="s">
        <v>2171</v>
      </c>
      <c r="U406">
        <v>6113</v>
      </c>
      <c r="V406">
        <v>5483</v>
      </c>
      <c r="W406">
        <v>1.1149</v>
      </c>
      <c r="X406" t="s">
        <v>70</v>
      </c>
      <c r="Y406" t="s">
        <v>2030</v>
      </c>
      <c r="Z406">
        <v>1283.7</v>
      </c>
      <c r="AA406">
        <v>9974.6200000000008</v>
      </c>
      <c r="AB406">
        <v>12804448</v>
      </c>
      <c r="AC406" t="b">
        <v>1</v>
      </c>
      <c r="AD406" t="b">
        <v>1</v>
      </c>
      <c r="AE406" t="b">
        <v>0</v>
      </c>
      <c r="AF406" t="b">
        <v>0</v>
      </c>
      <c r="AG406" t="s">
        <v>58</v>
      </c>
      <c r="AH406">
        <v>20</v>
      </c>
      <c r="AI406" t="s">
        <v>59</v>
      </c>
      <c r="AJ406" t="s">
        <v>71</v>
      </c>
      <c r="AL406" t="s">
        <v>72</v>
      </c>
      <c r="AM406" t="s">
        <v>62</v>
      </c>
      <c r="AN406" t="s">
        <v>63</v>
      </c>
      <c r="AO406" t="s">
        <v>2031</v>
      </c>
      <c r="AP406" t="s">
        <v>2168</v>
      </c>
    </row>
    <row r="407" spans="1:42" x14ac:dyDescent="0.45">
      <c r="A407" t="s">
        <v>2017</v>
      </c>
      <c r="B407" t="s">
        <v>2018</v>
      </c>
      <c r="C407" t="s">
        <v>2019</v>
      </c>
      <c r="D407">
        <v>2022</v>
      </c>
      <c r="E407" t="s">
        <v>45</v>
      </c>
      <c r="F407" t="s">
        <v>2020</v>
      </c>
      <c r="G407">
        <v>24</v>
      </c>
      <c r="J407" t="s">
        <v>2172</v>
      </c>
      <c r="K407" t="s">
        <v>2173</v>
      </c>
      <c r="L407" t="s">
        <v>2174</v>
      </c>
      <c r="M407" t="s">
        <v>2175</v>
      </c>
      <c r="N407" t="s">
        <v>2025</v>
      </c>
      <c r="O407" t="s">
        <v>2026</v>
      </c>
      <c r="P407" t="s">
        <v>2027</v>
      </c>
      <c r="Q407" t="s">
        <v>2028</v>
      </c>
      <c r="S407">
        <v>7</v>
      </c>
      <c r="T407" t="s">
        <v>2176</v>
      </c>
      <c r="U407">
        <v>5639</v>
      </c>
      <c r="V407">
        <v>5483</v>
      </c>
      <c r="W407">
        <v>1.0285</v>
      </c>
      <c r="X407" t="s">
        <v>70</v>
      </c>
      <c r="Y407" t="s">
        <v>2030</v>
      </c>
      <c r="Z407">
        <v>1307.73</v>
      </c>
      <c r="AA407">
        <v>4125.83</v>
      </c>
      <c r="AB407">
        <v>5395491</v>
      </c>
      <c r="AC407" t="b">
        <v>1</v>
      </c>
      <c r="AD407" t="b">
        <v>1</v>
      </c>
      <c r="AE407" t="b">
        <v>0</v>
      </c>
      <c r="AF407" t="b">
        <v>0</v>
      </c>
      <c r="AG407" t="s">
        <v>58</v>
      </c>
      <c r="AH407">
        <v>20</v>
      </c>
      <c r="AI407" t="s">
        <v>59</v>
      </c>
      <c r="AJ407" t="s">
        <v>71</v>
      </c>
      <c r="AL407" t="s">
        <v>72</v>
      </c>
      <c r="AM407" t="s">
        <v>62</v>
      </c>
      <c r="AN407" t="s">
        <v>63</v>
      </c>
      <c r="AO407" t="s">
        <v>2031</v>
      </c>
      <c r="AP407" t="s">
        <v>2173</v>
      </c>
    </row>
    <row r="408" spans="1:42" x14ac:dyDescent="0.45">
      <c r="A408" t="s">
        <v>2017</v>
      </c>
      <c r="B408" t="s">
        <v>2018</v>
      </c>
      <c r="C408" t="s">
        <v>2019</v>
      </c>
      <c r="D408">
        <v>2022</v>
      </c>
      <c r="E408" t="s">
        <v>45</v>
      </c>
      <c r="F408" t="s">
        <v>2020</v>
      </c>
      <c r="G408">
        <v>4</v>
      </c>
      <c r="J408" t="s">
        <v>2177</v>
      </c>
      <c r="K408" t="s">
        <v>2178</v>
      </c>
      <c r="L408" t="s">
        <v>2179</v>
      </c>
      <c r="M408" t="s">
        <v>2180</v>
      </c>
      <c r="N408" t="s">
        <v>2025</v>
      </c>
      <c r="O408" t="s">
        <v>2026</v>
      </c>
      <c r="P408" t="s">
        <v>2027</v>
      </c>
      <c r="Q408" t="s">
        <v>2028</v>
      </c>
      <c r="S408">
        <v>27</v>
      </c>
      <c r="T408" t="s">
        <v>2181</v>
      </c>
      <c r="U408">
        <v>5516</v>
      </c>
      <c r="V408">
        <v>5483</v>
      </c>
      <c r="W408">
        <v>1.006</v>
      </c>
      <c r="X408" t="s">
        <v>70</v>
      </c>
      <c r="Y408" t="s">
        <v>2030</v>
      </c>
      <c r="Z408">
        <v>1447.75</v>
      </c>
      <c r="AA408">
        <v>2740.26</v>
      </c>
      <c r="AB408">
        <v>3967218</v>
      </c>
      <c r="AC408" t="b">
        <v>1</v>
      </c>
      <c r="AD408" t="b">
        <v>1</v>
      </c>
      <c r="AE408" t="b">
        <v>0</v>
      </c>
      <c r="AF408" t="b">
        <v>0</v>
      </c>
      <c r="AG408" t="s">
        <v>58</v>
      </c>
      <c r="AH408">
        <v>20</v>
      </c>
      <c r="AI408" t="s">
        <v>59</v>
      </c>
      <c r="AJ408" t="s">
        <v>71</v>
      </c>
      <c r="AL408" t="s">
        <v>72</v>
      </c>
      <c r="AM408" t="s">
        <v>62</v>
      </c>
      <c r="AN408" t="s">
        <v>63</v>
      </c>
      <c r="AO408" t="s">
        <v>2031</v>
      </c>
      <c r="AP408" t="s">
        <v>2178</v>
      </c>
    </row>
    <row r="409" spans="1:42" x14ac:dyDescent="0.45">
      <c r="A409" t="s">
        <v>2017</v>
      </c>
      <c r="B409" t="s">
        <v>2018</v>
      </c>
      <c r="C409" t="s">
        <v>2182</v>
      </c>
      <c r="D409">
        <v>2023</v>
      </c>
      <c r="E409" t="s">
        <v>45</v>
      </c>
      <c r="F409" t="s">
        <v>2020</v>
      </c>
      <c r="G409">
        <v>42</v>
      </c>
      <c r="J409" t="s">
        <v>2183</v>
      </c>
      <c r="K409" t="s">
        <v>2184</v>
      </c>
      <c r="L409" t="s">
        <v>2185</v>
      </c>
      <c r="M409" t="s">
        <v>2186</v>
      </c>
      <c r="N409" t="s">
        <v>2025</v>
      </c>
      <c r="O409" t="s">
        <v>2026</v>
      </c>
      <c r="P409" t="s">
        <v>2027</v>
      </c>
      <c r="Q409" t="s">
        <v>2187</v>
      </c>
      <c r="S409">
        <v>8</v>
      </c>
      <c r="T409" t="s">
        <v>2188</v>
      </c>
      <c r="U409">
        <v>5680</v>
      </c>
      <c r="V409">
        <v>6043</v>
      </c>
      <c r="W409">
        <v>0.93989999999999996</v>
      </c>
      <c r="X409" t="s">
        <v>70</v>
      </c>
      <c r="Y409" t="s">
        <v>2189</v>
      </c>
      <c r="Z409">
        <v>971.73</v>
      </c>
      <c r="AA409">
        <v>3379.09</v>
      </c>
      <c r="AB409">
        <v>3283575</v>
      </c>
      <c r="AC409" t="b">
        <v>1</v>
      </c>
      <c r="AD409" t="b">
        <v>1</v>
      </c>
      <c r="AE409" t="b">
        <v>0</v>
      </c>
      <c r="AF409" t="b">
        <v>0</v>
      </c>
      <c r="AG409" t="s">
        <v>58</v>
      </c>
      <c r="AH409">
        <v>14</v>
      </c>
      <c r="AI409" t="s">
        <v>59</v>
      </c>
      <c r="AJ409" t="s">
        <v>71</v>
      </c>
      <c r="AL409" t="s">
        <v>244</v>
      </c>
      <c r="AM409" t="s">
        <v>245</v>
      </c>
      <c r="AN409" t="s">
        <v>63</v>
      </c>
      <c r="AO409" t="s">
        <v>2190</v>
      </c>
      <c r="AP409" t="s">
        <v>2184</v>
      </c>
    </row>
    <row r="410" spans="1:42" x14ac:dyDescent="0.45">
      <c r="A410" t="s">
        <v>2017</v>
      </c>
      <c r="B410" t="s">
        <v>2018</v>
      </c>
      <c r="C410" t="s">
        <v>2182</v>
      </c>
      <c r="D410">
        <v>2023</v>
      </c>
      <c r="E410" t="s">
        <v>45</v>
      </c>
      <c r="F410" t="s">
        <v>2020</v>
      </c>
      <c r="G410">
        <v>32</v>
      </c>
      <c r="J410" t="s">
        <v>2191</v>
      </c>
      <c r="K410" t="s">
        <v>2192</v>
      </c>
      <c r="L410" t="s">
        <v>2193</v>
      </c>
      <c r="M410" t="s">
        <v>2194</v>
      </c>
      <c r="N410" t="s">
        <v>2025</v>
      </c>
      <c r="O410" t="s">
        <v>2026</v>
      </c>
      <c r="P410" t="s">
        <v>2027</v>
      </c>
      <c r="Q410" t="s">
        <v>2187</v>
      </c>
      <c r="S410">
        <v>18</v>
      </c>
      <c r="T410" t="s">
        <v>2195</v>
      </c>
      <c r="U410">
        <v>5242</v>
      </c>
      <c r="V410">
        <v>6043</v>
      </c>
      <c r="W410">
        <v>0.86739999999999995</v>
      </c>
      <c r="X410" t="s">
        <v>70</v>
      </c>
      <c r="Y410" t="s">
        <v>2189</v>
      </c>
      <c r="Z410">
        <v>1045.73</v>
      </c>
      <c r="AA410">
        <v>13566.6</v>
      </c>
      <c r="AB410">
        <v>14186963</v>
      </c>
      <c r="AC410" t="b">
        <v>1</v>
      </c>
      <c r="AD410" t="b">
        <v>1</v>
      </c>
      <c r="AE410" t="b">
        <v>0</v>
      </c>
      <c r="AF410" t="b">
        <v>0</v>
      </c>
      <c r="AG410" t="s">
        <v>58</v>
      </c>
      <c r="AH410">
        <v>14</v>
      </c>
      <c r="AI410" t="s">
        <v>59</v>
      </c>
      <c r="AJ410" t="s">
        <v>71</v>
      </c>
      <c r="AL410" t="s">
        <v>244</v>
      </c>
      <c r="AM410" t="s">
        <v>245</v>
      </c>
      <c r="AN410" t="s">
        <v>63</v>
      </c>
      <c r="AO410" t="s">
        <v>2190</v>
      </c>
      <c r="AP410" t="s">
        <v>2192</v>
      </c>
    </row>
    <row r="411" spans="1:42" x14ac:dyDescent="0.45">
      <c r="A411" t="s">
        <v>2017</v>
      </c>
      <c r="B411" t="s">
        <v>2018</v>
      </c>
      <c r="C411" t="s">
        <v>2182</v>
      </c>
      <c r="D411">
        <v>2023</v>
      </c>
      <c r="E411" t="s">
        <v>45</v>
      </c>
      <c r="F411" t="s">
        <v>2020</v>
      </c>
      <c r="G411">
        <v>43</v>
      </c>
      <c r="J411" t="s">
        <v>2196</v>
      </c>
      <c r="K411" t="s">
        <v>2197</v>
      </c>
      <c r="L411" t="s">
        <v>2198</v>
      </c>
      <c r="M411" t="s">
        <v>2199</v>
      </c>
      <c r="N411" t="s">
        <v>2025</v>
      </c>
      <c r="O411" t="s">
        <v>2026</v>
      </c>
      <c r="P411" t="s">
        <v>2027</v>
      </c>
      <c r="Q411" t="s">
        <v>2187</v>
      </c>
      <c r="S411">
        <v>7</v>
      </c>
      <c r="T411" t="s">
        <v>2200</v>
      </c>
      <c r="U411">
        <v>6691</v>
      </c>
      <c r="V411">
        <v>6043</v>
      </c>
      <c r="W411">
        <v>1.1072</v>
      </c>
      <c r="X411" t="s">
        <v>70</v>
      </c>
      <c r="Y411" t="s">
        <v>2189</v>
      </c>
      <c r="Z411">
        <v>965.73</v>
      </c>
      <c r="AA411">
        <v>3342.65</v>
      </c>
      <c r="AB411">
        <v>3228111</v>
      </c>
      <c r="AC411" t="b">
        <v>1</v>
      </c>
      <c r="AD411" t="b">
        <v>1</v>
      </c>
      <c r="AE411" t="b">
        <v>0</v>
      </c>
      <c r="AF411" t="b">
        <v>0</v>
      </c>
      <c r="AG411" t="s">
        <v>58</v>
      </c>
      <c r="AH411">
        <v>14</v>
      </c>
      <c r="AI411" t="s">
        <v>59</v>
      </c>
      <c r="AJ411" t="s">
        <v>71</v>
      </c>
      <c r="AL411" t="s">
        <v>244</v>
      </c>
      <c r="AM411" t="s">
        <v>245</v>
      </c>
      <c r="AN411" t="s">
        <v>63</v>
      </c>
      <c r="AO411" t="s">
        <v>2190</v>
      </c>
      <c r="AP411" t="s">
        <v>2197</v>
      </c>
    </row>
    <row r="412" spans="1:42" x14ac:dyDescent="0.45">
      <c r="A412" t="s">
        <v>2017</v>
      </c>
      <c r="B412" t="s">
        <v>2018</v>
      </c>
      <c r="C412" t="s">
        <v>2182</v>
      </c>
      <c r="D412">
        <v>2023</v>
      </c>
      <c r="E412" t="s">
        <v>45</v>
      </c>
      <c r="F412" t="s">
        <v>2020</v>
      </c>
      <c r="G412">
        <v>40</v>
      </c>
      <c r="J412" t="s">
        <v>2201</v>
      </c>
      <c r="K412" t="s">
        <v>2202</v>
      </c>
      <c r="L412" t="s">
        <v>2203</v>
      </c>
      <c r="M412" t="s">
        <v>2204</v>
      </c>
      <c r="N412" t="s">
        <v>2025</v>
      </c>
      <c r="O412" t="s">
        <v>2026</v>
      </c>
      <c r="P412" t="s">
        <v>2027</v>
      </c>
      <c r="Q412" t="s">
        <v>2187</v>
      </c>
      <c r="S412">
        <v>10</v>
      </c>
      <c r="T412" t="s">
        <v>2205</v>
      </c>
      <c r="U412">
        <v>5185</v>
      </c>
      <c r="V412">
        <v>6043</v>
      </c>
      <c r="W412">
        <v>0.85799999999999998</v>
      </c>
      <c r="X412" t="s">
        <v>70</v>
      </c>
      <c r="Y412" t="s">
        <v>2189</v>
      </c>
      <c r="Z412">
        <v>989.73</v>
      </c>
      <c r="AA412">
        <v>11333.06</v>
      </c>
      <c r="AB412">
        <v>11216632</v>
      </c>
      <c r="AC412" t="b">
        <v>1</v>
      </c>
      <c r="AD412" t="b">
        <v>1</v>
      </c>
      <c r="AE412" t="b">
        <v>0</v>
      </c>
      <c r="AF412" t="b">
        <v>0</v>
      </c>
      <c r="AG412" t="s">
        <v>58</v>
      </c>
      <c r="AH412">
        <v>14</v>
      </c>
      <c r="AI412" t="s">
        <v>59</v>
      </c>
      <c r="AJ412" t="s">
        <v>71</v>
      </c>
      <c r="AL412" t="s">
        <v>244</v>
      </c>
      <c r="AM412" t="s">
        <v>245</v>
      </c>
      <c r="AN412" t="s">
        <v>63</v>
      </c>
      <c r="AO412" t="s">
        <v>2190</v>
      </c>
      <c r="AP412" t="s">
        <v>2202</v>
      </c>
    </row>
    <row r="413" spans="1:42" x14ac:dyDescent="0.45">
      <c r="A413" t="s">
        <v>2017</v>
      </c>
      <c r="B413" t="s">
        <v>2018</v>
      </c>
      <c r="C413" t="s">
        <v>2182</v>
      </c>
      <c r="D413">
        <v>2023</v>
      </c>
      <c r="E413" t="s">
        <v>45</v>
      </c>
      <c r="F413" t="s">
        <v>2020</v>
      </c>
      <c r="G413">
        <v>33</v>
      </c>
      <c r="J413" t="s">
        <v>2206</v>
      </c>
      <c r="K413" t="s">
        <v>2207</v>
      </c>
      <c r="L413" t="s">
        <v>2208</v>
      </c>
      <c r="M413" t="s">
        <v>2209</v>
      </c>
      <c r="N413" t="s">
        <v>2025</v>
      </c>
      <c r="O413" t="s">
        <v>2026</v>
      </c>
      <c r="P413" t="s">
        <v>2027</v>
      </c>
      <c r="Q413" t="s">
        <v>2187</v>
      </c>
      <c r="S413">
        <v>17</v>
      </c>
      <c r="T413" t="s">
        <v>2210</v>
      </c>
      <c r="U413">
        <v>5187</v>
      </c>
      <c r="V413">
        <v>6043</v>
      </c>
      <c r="W413">
        <v>0.85829999999999995</v>
      </c>
      <c r="X413" t="s">
        <v>70</v>
      </c>
      <c r="Y413" t="s">
        <v>2189</v>
      </c>
      <c r="Z413">
        <v>1038.73</v>
      </c>
      <c r="AA413">
        <v>14912.68</v>
      </c>
      <c r="AB413">
        <v>15490199</v>
      </c>
      <c r="AC413" t="b">
        <v>1</v>
      </c>
      <c r="AD413" t="b">
        <v>1</v>
      </c>
      <c r="AE413" t="b">
        <v>0</v>
      </c>
      <c r="AF413" t="b">
        <v>0</v>
      </c>
      <c r="AG413" t="s">
        <v>58</v>
      </c>
      <c r="AH413">
        <v>14</v>
      </c>
      <c r="AI413" t="s">
        <v>59</v>
      </c>
      <c r="AJ413" t="s">
        <v>71</v>
      </c>
      <c r="AL413" t="s">
        <v>244</v>
      </c>
      <c r="AM413" t="s">
        <v>245</v>
      </c>
      <c r="AN413" t="s">
        <v>63</v>
      </c>
      <c r="AO413" t="s">
        <v>2190</v>
      </c>
      <c r="AP413" t="s">
        <v>2207</v>
      </c>
    </row>
    <row r="414" spans="1:42" x14ac:dyDescent="0.45">
      <c r="A414" t="s">
        <v>2017</v>
      </c>
      <c r="B414" t="s">
        <v>2018</v>
      </c>
      <c r="C414" t="s">
        <v>2182</v>
      </c>
      <c r="D414">
        <v>2023</v>
      </c>
      <c r="E414" t="s">
        <v>45</v>
      </c>
      <c r="F414" t="s">
        <v>2020</v>
      </c>
      <c r="G414">
        <v>49</v>
      </c>
      <c r="J414" t="s">
        <v>2211</v>
      </c>
      <c r="K414" t="s">
        <v>2212</v>
      </c>
      <c r="L414" t="s">
        <v>2213</v>
      </c>
      <c r="M414" t="s">
        <v>2214</v>
      </c>
      <c r="N414" t="s">
        <v>2025</v>
      </c>
      <c r="O414" t="s">
        <v>2026</v>
      </c>
      <c r="P414" t="s">
        <v>2027</v>
      </c>
      <c r="Q414" t="s">
        <v>2187</v>
      </c>
      <c r="S414">
        <v>1</v>
      </c>
      <c r="T414" t="s">
        <v>2215</v>
      </c>
      <c r="U414">
        <v>8017</v>
      </c>
      <c r="V414">
        <v>6043</v>
      </c>
      <c r="W414">
        <v>1.3267</v>
      </c>
      <c r="X414" t="s">
        <v>70</v>
      </c>
      <c r="Y414" t="s">
        <v>2189</v>
      </c>
      <c r="Z414">
        <v>926.73</v>
      </c>
      <c r="AA414">
        <v>14132.99</v>
      </c>
      <c r="AB414">
        <v>13097426</v>
      </c>
      <c r="AC414" t="b">
        <v>1</v>
      </c>
      <c r="AD414" t="b">
        <v>1</v>
      </c>
      <c r="AE414" t="b">
        <v>0</v>
      </c>
      <c r="AF414" t="b">
        <v>0</v>
      </c>
      <c r="AG414" t="s">
        <v>58</v>
      </c>
      <c r="AH414">
        <v>14</v>
      </c>
      <c r="AI414" t="s">
        <v>59</v>
      </c>
      <c r="AJ414" t="s">
        <v>71</v>
      </c>
      <c r="AL414" t="s">
        <v>244</v>
      </c>
      <c r="AM414" t="s">
        <v>245</v>
      </c>
      <c r="AN414" t="s">
        <v>63</v>
      </c>
      <c r="AO414" t="s">
        <v>2190</v>
      </c>
      <c r="AP414" t="s">
        <v>2212</v>
      </c>
    </row>
    <row r="415" spans="1:42" x14ac:dyDescent="0.45">
      <c r="A415" t="s">
        <v>2017</v>
      </c>
      <c r="B415" t="s">
        <v>2018</v>
      </c>
      <c r="C415" t="s">
        <v>2182</v>
      </c>
      <c r="D415">
        <v>2023</v>
      </c>
      <c r="E415" t="s">
        <v>45</v>
      </c>
      <c r="F415" t="s">
        <v>2020</v>
      </c>
      <c r="G415">
        <v>34</v>
      </c>
      <c r="J415" t="s">
        <v>2216</v>
      </c>
      <c r="K415" t="s">
        <v>2217</v>
      </c>
      <c r="L415" t="s">
        <v>2218</v>
      </c>
      <c r="M415" t="s">
        <v>2219</v>
      </c>
      <c r="N415" t="s">
        <v>2025</v>
      </c>
      <c r="O415" t="s">
        <v>2026</v>
      </c>
      <c r="P415" t="s">
        <v>2027</v>
      </c>
      <c r="Q415" t="s">
        <v>2187</v>
      </c>
      <c r="S415">
        <v>16</v>
      </c>
      <c r="T415" t="s">
        <v>2220</v>
      </c>
      <c r="U415">
        <v>6705</v>
      </c>
      <c r="V415">
        <v>6043</v>
      </c>
      <c r="W415">
        <v>1.1094999999999999</v>
      </c>
      <c r="X415" t="s">
        <v>70</v>
      </c>
      <c r="Y415" t="s">
        <v>2189</v>
      </c>
      <c r="Z415">
        <v>1031.73</v>
      </c>
      <c r="AA415">
        <v>13533.42</v>
      </c>
      <c r="AB415">
        <v>13962797</v>
      </c>
      <c r="AC415" t="b">
        <v>1</v>
      </c>
      <c r="AD415" t="b">
        <v>1</v>
      </c>
      <c r="AE415" t="b">
        <v>0</v>
      </c>
      <c r="AF415" t="b">
        <v>0</v>
      </c>
      <c r="AG415" t="s">
        <v>58</v>
      </c>
      <c r="AH415">
        <v>14</v>
      </c>
      <c r="AI415" t="s">
        <v>59</v>
      </c>
      <c r="AJ415" t="s">
        <v>71</v>
      </c>
      <c r="AL415" t="s">
        <v>244</v>
      </c>
      <c r="AM415" t="s">
        <v>245</v>
      </c>
      <c r="AN415" t="s">
        <v>63</v>
      </c>
      <c r="AO415" t="s">
        <v>2190</v>
      </c>
      <c r="AP415" t="s">
        <v>2217</v>
      </c>
    </row>
    <row r="416" spans="1:42" x14ac:dyDescent="0.45">
      <c r="A416" t="s">
        <v>2017</v>
      </c>
      <c r="B416" t="s">
        <v>2018</v>
      </c>
      <c r="C416" t="s">
        <v>2182</v>
      </c>
      <c r="D416">
        <v>2023</v>
      </c>
      <c r="E416" t="s">
        <v>45</v>
      </c>
      <c r="F416" t="s">
        <v>2020</v>
      </c>
      <c r="G416">
        <v>50</v>
      </c>
      <c r="J416" t="s">
        <v>2221</v>
      </c>
      <c r="K416" t="s">
        <v>2222</v>
      </c>
      <c r="L416" t="s">
        <v>2223</v>
      </c>
      <c r="M416" t="s">
        <v>2224</v>
      </c>
      <c r="N416" t="s">
        <v>2025</v>
      </c>
      <c r="O416" t="s">
        <v>2026</v>
      </c>
      <c r="P416" t="s">
        <v>2027</v>
      </c>
      <c r="Q416" t="s">
        <v>2187</v>
      </c>
      <c r="S416">
        <v>0</v>
      </c>
      <c r="T416" t="s">
        <v>2225</v>
      </c>
      <c r="U416">
        <v>6561</v>
      </c>
      <c r="V416">
        <v>6043</v>
      </c>
      <c r="W416">
        <v>1.0857000000000001</v>
      </c>
      <c r="X416" t="s">
        <v>70</v>
      </c>
      <c r="Y416" t="s">
        <v>2189</v>
      </c>
      <c r="Z416">
        <v>919.73</v>
      </c>
      <c r="AA416">
        <v>12029.44</v>
      </c>
      <c r="AB416">
        <v>11063800</v>
      </c>
      <c r="AC416" t="b">
        <v>1</v>
      </c>
      <c r="AD416" t="b">
        <v>1</v>
      </c>
      <c r="AE416" t="b">
        <v>0</v>
      </c>
      <c r="AF416" t="b">
        <v>0</v>
      </c>
      <c r="AG416" t="s">
        <v>58</v>
      </c>
      <c r="AH416">
        <v>14</v>
      </c>
      <c r="AI416" t="s">
        <v>59</v>
      </c>
      <c r="AJ416" t="s">
        <v>71</v>
      </c>
      <c r="AL416" t="s">
        <v>244</v>
      </c>
      <c r="AM416" t="s">
        <v>245</v>
      </c>
      <c r="AN416" t="s">
        <v>63</v>
      </c>
      <c r="AO416" t="s">
        <v>2190</v>
      </c>
      <c r="AP416" t="s">
        <v>2222</v>
      </c>
    </row>
    <row r="417" spans="1:42" x14ac:dyDescent="0.45">
      <c r="A417" t="s">
        <v>2017</v>
      </c>
      <c r="B417" t="s">
        <v>2018</v>
      </c>
      <c r="C417" t="s">
        <v>2182</v>
      </c>
      <c r="D417">
        <v>2023</v>
      </c>
      <c r="E417" t="s">
        <v>45</v>
      </c>
      <c r="F417" t="s">
        <v>2020</v>
      </c>
      <c r="G417">
        <v>35</v>
      </c>
      <c r="J417" t="s">
        <v>2226</v>
      </c>
      <c r="K417" t="s">
        <v>2227</v>
      </c>
      <c r="L417" t="s">
        <v>2228</v>
      </c>
      <c r="M417" t="s">
        <v>2229</v>
      </c>
      <c r="N417" t="s">
        <v>2025</v>
      </c>
      <c r="O417" t="s">
        <v>2026</v>
      </c>
      <c r="P417" t="s">
        <v>2027</v>
      </c>
      <c r="Q417" t="s">
        <v>2187</v>
      </c>
      <c r="S417">
        <v>15</v>
      </c>
      <c r="T417" t="s">
        <v>2230</v>
      </c>
      <c r="U417">
        <v>6447</v>
      </c>
      <c r="V417">
        <v>6043</v>
      </c>
      <c r="W417">
        <v>1.0669</v>
      </c>
      <c r="X417" t="s">
        <v>70</v>
      </c>
      <c r="Y417" t="s">
        <v>2189</v>
      </c>
      <c r="Z417">
        <v>1024.73</v>
      </c>
      <c r="AA417">
        <v>12984.35</v>
      </c>
      <c r="AB417">
        <v>13305416</v>
      </c>
      <c r="AC417" t="b">
        <v>1</v>
      </c>
      <c r="AD417" t="b">
        <v>1</v>
      </c>
      <c r="AE417" t="b">
        <v>0</v>
      </c>
      <c r="AF417" t="b">
        <v>0</v>
      </c>
      <c r="AG417" t="s">
        <v>58</v>
      </c>
      <c r="AH417">
        <v>14</v>
      </c>
      <c r="AI417" t="s">
        <v>59</v>
      </c>
      <c r="AJ417" t="s">
        <v>71</v>
      </c>
      <c r="AL417" t="s">
        <v>244</v>
      </c>
      <c r="AM417" t="s">
        <v>245</v>
      </c>
      <c r="AN417" t="s">
        <v>63</v>
      </c>
      <c r="AO417" t="s">
        <v>2190</v>
      </c>
      <c r="AP417" t="s">
        <v>2227</v>
      </c>
    </row>
    <row r="418" spans="1:42" x14ac:dyDescent="0.45">
      <c r="A418" t="s">
        <v>2017</v>
      </c>
      <c r="B418" t="s">
        <v>2018</v>
      </c>
      <c r="C418" t="s">
        <v>2182</v>
      </c>
      <c r="D418">
        <v>2023</v>
      </c>
      <c r="E418" t="s">
        <v>45</v>
      </c>
      <c r="F418" t="s">
        <v>2020</v>
      </c>
      <c r="G418">
        <v>37</v>
      </c>
      <c r="J418" t="s">
        <v>2231</v>
      </c>
      <c r="K418" t="s">
        <v>2232</v>
      </c>
      <c r="L418" t="s">
        <v>2233</v>
      </c>
      <c r="M418" t="s">
        <v>2234</v>
      </c>
      <c r="N418" t="s">
        <v>2025</v>
      </c>
      <c r="O418" t="s">
        <v>2026</v>
      </c>
      <c r="P418" t="s">
        <v>2027</v>
      </c>
      <c r="Q418" t="s">
        <v>2187</v>
      </c>
      <c r="S418">
        <v>13</v>
      </c>
      <c r="T418" t="s">
        <v>2235</v>
      </c>
      <c r="U418">
        <v>6043</v>
      </c>
      <c r="V418">
        <v>6043</v>
      </c>
      <c r="W418">
        <v>1</v>
      </c>
      <c r="X418" t="s">
        <v>70</v>
      </c>
      <c r="Y418" t="s">
        <v>2189</v>
      </c>
      <c r="Z418">
        <v>1006.73</v>
      </c>
      <c r="AA418">
        <v>3989.81</v>
      </c>
      <c r="AB418">
        <v>4016682</v>
      </c>
      <c r="AC418" t="b">
        <v>1</v>
      </c>
      <c r="AD418" t="b">
        <v>1</v>
      </c>
      <c r="AE418" t="b">
        <v>0</v>
      </c>
      <c r="AF418" t="b">
        <v>0</v>
      </c>
      <c r="AG418" t="s">
        <v>58</v>
      </c>
      <c r="AH418">
        <v>14</v>
      </c>
      <c r="AI418" t="s">
        <v>59</v>
      </c>
      <c r="AJ418" t="s">
        <v>71</v>
      </c>
      <c r="AL418" t="s">
        <v>244</v>
      </c>
      <c r="AM418" t="s">
        <v>245</v>
      </c>
      <c r="AN418" t="s">
        <v>63</v>
      </c>
      <c r="AO418" t="s">
        <v>2190</v>
      </c>
      <c r="AP418" t="s">
        <v>2232</v>
      </c>
    </row>
    <row r="419" spans="1:42" x14ac:dyDescent="0.45">
      <c r="A419" t="s">
        <v>2017</v>
      </c>
      <c r="B419" t="s">
        <v>2018</v>
      </c>
      <c r="C419" t="s">
        <v>2182</v>
      </c>
      <c r="D419">
        <v>2023</v>
      </c>
      <c r="E419" t="s">
        <v>45</v>
      </c>
      <c r="F419" t="s">
        <v>2020</v>
      </c>
      <c r="J419" t="s">
        <v>2236</v>
      </c>
      <c r="K419" t="s">
        <v>2237</v>
      </c>
      <c r="L419" t="s">
        <v>2238</v>
      </c>
      <c r="M419" t="s">
        <v>2239</v>
      </c>
      <c r="N419" t="s">
        <v>2025</v>
      </c>
      <c r="O419" t="s">
        <v>2026</v>
      </c>
      <c r="P419" t="s">
        <v>2027</v>
      </c>
      <c r="Q419" t="s">
        <v>2187</v>
      </c>
      <c r="S419">
        <v>22</v>
      </c>
      <c r="T419" t="s">
        <v>2240</v>
      </c>
      <c r="U419">
        <v>373</v>
      </c>
      <c r="V419">
        <v>6043</v>
      </c>
      <c r="W419">
        <v>6.1699999999999998E-2</v>
      </c>
      <c r="X419" t="s">
        <v>56</v>
      </c>
      <c r="Y419" t="s">
        <v>2189</v>
      </c>
      <c r="Z419">
        <v>1047.75</v>
      </c>
      <c r="AA419">
        <v>155.56</v>
      </c>
      <c r="AB419">
        <v>162993</v>
      </c>
      <c r="AC419" t="b">
        <v>0</v>
      </c>
      <c r="AD419" t="b">
        <v>0</v>
      </c>
      <c r="AE419" t="b">
        <v>0</v>
      </c>
      <c r="AF419" t="b">
        <v>0</v>
      </c>
      <c r="AG419" t="s">
        <v>58</v>
      </c>
      <c r="AH419">
        <v>8</v>
      </c>
      <c r="AI419" t="s">
        <v>169</v>
      </c>
      <c r="AJ419" t="s">
        <v>60</v>
      </c>
      <c r="AL419" t="s">
        <v>380</v>
      </c>
      <c r="AM419" t="s">
        <v>245</v>
      </c>
      <c r="AN419" t="s">
        <v>63</v>
      </c>
      <c r="AO419" t="s">
        <v>2190</v>
      </c>
      <c r="AP419" t="s">
        <v>2237</v>
      </c>
    </row>
    <row r="420" spans="1:42" x14ac:dyDescent="0.45">
      <c r="A420" t="s">
        <v>2017</v>
      </c>
      <c r="B420" t="s">
        <v>2018</v>
      </c>
      <c r="C420" t="s">
        <v>2182</v>
      </c>
      <c r="D420">
        <v>2023</v>
      </c>
      <c r="E420" t="s">
        <v>45</v>
      </c>
      <c r="F420" t="s">
        <v>2020</v>
      </c>
      <c r="G420">
        <v>41</v>
      </c>
      <c r="J420" t="s">
        <v>2241</v>
      </c>
      <c r="K420" t="s">
        <v>2242</v>
      </c>
      <c r="L420" t="s">
        <v>2243</v>
      </c>
      <c r="M420" t="s">
        <v>2244</v>
      </c>
      <c r="N420" t="s">
        <v>2025</v>
      </c>
      <c r="O420" t="s">
        <v>2026</v>
      </c>
      <c r="P420" t="s">
        <v>2027</v>
      </c>
      <c r="Q420" t="s">
        <v>2187</v>
      </c>
      <c r="S420">
        <v>9</v>
      </c>
      <c r="T420" t="s">
        <v>2245</v>
      </c>
      <c r="U420">
        <v>5854</v>
      </c>
      <c r="V420">
        <v>6043</v>
      </c>
      <c r="W420">
        <v>0.96870000000000001</v>
      </c>
      <c r="X420" t="s">
        <v>70</v>
      </c>
      <c r="Y420" t="s">
        <v>2189</v>
      </c>
      <c r="Z420">
        <v>982.73</v>
      </c>
      <c r="AA420">
        <v>11043.68</v>
      </c>
      <c r="AB420">
        <v>10852926</v>
      </c>
      <c r="AC420" t="b">
        <v>1</v>
      </c>
      <c r="AD420" t="b">
        <v>1</v>
      </c>
      <c r="AE420" t="b">
        <v>0</v>
      </c>
      <c r="AF420" t="b">
        <v>0</v>
      </c>
      <c r="AG420" t="s">
        <v>58</v>
      </c>
      <c r="AH420">
        <v>14</v>
      </c>
      <c r="AI420" t="s">
        <v>59</v>
      </c>
      <c r="AJ420" t="s">
        <v>71</v>
      </c>
      <c r="AL420" t="s">
        <v>244</v>
      </c>
      <c r="AM420" t="s">
        <v>245</v>
      </c>
      <c r="AN420" t="s">
        <v>63</v>
      </c>
      <c r="AO420" t="s">
        <v>2190</v>
      </c>
      <c r="AP420" t="s">
        <v>2242</v>
      </c>
    </row>
    <row r="421" spans="1:42" x14ac:dyDescent="0.45">
      <c r="A421" t="s">
        <v>2017</v>
      </c>
      <c r="B421" t="s">
        <v>2018</v>
      </c>
      <c r="C421" t="s">
        <v>2182</v>
      </c>
      <c r="D421">
        <v>2023</v>
      </c>
      <c r="E421" t="s">
        <v>45</v>
      </c>
      <c r="F421" t="s">
        <v>2020</v>
      </c>
      <c r="J421" t="s">
        <v>2246</v>
      </c>
      <c r="K421" t="s">
        <v>2247</v>
      </c>
      <c r="L421" t="s">
        <v>2248</v>
      </c>
      <c r="M421" t="s">
        <v>2249</v>
      </c>
      <c r="N421" t="s">
        <v>2025</v>
      </c>
      <c r="O421" t="s">
        <v>2026</v>
      </c>
      <c r="P421" t="s">
        <v>2027</v>
      </c>
      <c r="Q421" t="s">
        <v>2187</v>
      </c>
      <c r="S421">
        <v>24</v>
      </c>
      <c r="T421" t="s">
        <v>2250</v>
      </c>
      <c r="U421">
        <v>78</v>
      </c>
      <c r="V421">
        <v>6043</v>
      </c>
      <c r="W421">
        <v>1.29E-2</v>
      </c>
      <c r="X421" t="s">
        <v>56</v>
      </c>
      <c r="Y421" t="s">
        <v>2189</v>
      </c>
      <c r="Z421">
        <v>1049.74</v>
      </c>
      <c r="AA421">
        <v>247.76</v>
      </c>
      <c r="AB421">
        <v>260083</v>
      </c>
      <c r="AC421" t="b">
        <v>0</v>
      </c>
      <c r="AD421" t="b">
        <v>0</v>
      </c>
      <c r="AE421" t="b">
        <v>0</v>
      </c>
      <c r="AF421" t="b">
        <v>0</v>
      </c>
      <c r="AG421" t="s">
        <v>58</v>
      </c>
      <c r="AH421">
        <v>-15</v>
      </c>
      <c r="AI421" t="s">
        <v>59</v>
      </c>
      <c r="AJ421" t="s">
        <v>60</v>
      </c>
      <c r="AK421" t="s">
        <v>162</v>
      </c>
      <c r="AL421" t="s">
        <v>163</v>
      </c>
      <c r="AM421" t="s">
        <v>245</v>
      </c>
      <c r="AN421" t="s">
        <v>63</v>
      </c>
      <c r="AO421" t="s">
        <v>2190</v>
      </c>
      <c r="AP421" t="s">
        <v>2247</v>
      </c>
    </row>
    <row r="422" spans="1:42" x14ac:dyDescent="0.45">
      <c r="A422" t="s">
        <v>2017</v>
      </c>
      <c r="B422" t="s">
        <v>2018</v>
      </c>
      <c r="C422" t="s">
        <v>2182</v>
      </c>
      <c r="D422">
        <v>2023</v>
      </c>
      <c r="E422" t="s">
        <v>45</v>
      </c>
      <c r="F422" t="s">
        <v>2020</v>
      </c>
      <c r="G422">
        <v>44</v>
      </c>
      <c r="J422" t="s">
        <v>2251</v>
      </c>
      <c r="K422" t="s">
        <v>2252</v>
      </c>
      <c r="L422" t="s">
        <v>2253</v>
      </c>
      <c r="M422" t="s">
        <v>2254</v>
      </c>
      <c r="N422" t="s">
        <v>2025</v>
      </c>
      <c r="O422" t="s">
        <v>2026</v>
      </c>
      <c r="P422" t="s">
        <v>2027</v>
      </c>
      <c r="Q422" t="s">
        <v>2187</v>
      </c>
      <c r="S422">
        <v>6</v>
      </c>
      <c r="T422" t="s">
        <v>2255</v>
      </c>
      <c r="U422">
        <v>6143</v>
      </c>
      <c r="V422">
        <v>6043</v>
      </c>
      <c r="W422">
        <v>1.0165</v>
      </c>
      <c r="X422" t="s">
        <v>70</v>
      </c>
      <c r="Y422" t="s">
        <v>2189</v>
      </c>
      <c r="Z422">
        <v>958.73</v>
      </c>
      <c r="AA422">
        <v>3728.96</v>
      </c>
      <c r="AB422">
        <v>3575084</v>
      </c>
      <c r="AC422" t="b">
        <v>1</v>
      </c>
      <c r="AD422" t="b">
        <v>1</v>
      </c>
      <c r="AE422" t="b">
        <v>0</v>
      </c>
      <c r="AF422" t="b">
        <v>0</v>
      </c>
      <c r="AG422" t="s">
        <v>58</v>
      </c>
      <c r="AH422">
        <v>14</v>
      </c>
      <c r="AI422" t="s">
        <v>59</v>
      </c>
      <c r="AJ422" t="s">
        <v>71</v>
      </c>
      <c r="AL422" t="s">
        <v>244</v>
      </c>
      <c r="AM422" t="s">
        <v>245</v>
      </c>
      <c r="AN422" t="s">
        <v>63</v>
      </c>
      <c r="AO422" t="s">
        <v>2190</v>
      </c>
      <c r="AP422" t="s">
        <v>2252</v>
      </c>
    </row>
    <row r="423" spans="1:42" x14ac:dyDescent="0.45">
      <c r="A423" t="s">
        <v>2017</v>
      </c>
      <c r="B423" t="s">
        <v>2018</v>
      </c>
      <c r="C423" t="s">
        <v>2182</v>
      </c>
      <c r="D423">
        <v>2023</v>
      </c>
      <c r="E423" t="s">
        <v>45</v>
      </c>
      <c r="F423" t="s">
        <v>2020</v>
      </c>
      <c r="G423">
        <v>36</v>
      </c>
      <c r="J423" t="s">
        <v>2256</v>
      </c>
      <c r="K423" t="s">
        <v>2257</v>
      </c>
      <c r="L423" t="s">
        <v>2258</v>
      </c>
      <c r="M423" t="s">
        <v>2259</v>
      </c>
      <c r="N423" t="s">
        <v>2025</v>
      </c>
      <c r="O423" t="s">
        <v>2026</v>
      </c>
      <c r="P423" t="s">
        <v>2027</v>
      </c>
      <c r="Q423" t="s">
        <v>2187</v>
      </c>
      <c r="S423">
        <v>14</v>
      </c>
      <c r="T423" t="s">
        <v>2260</v>
      </c>
      <c r="U423">
        <v>4860</v>
      </c>
      <c r="V423">
        <v>6043</v>
      </c>
      <c r="W423">
        <v>0.80420000000000003</v>
      </c>
      <c r="X423" t="s">
        <v>70</v>
      </c>
      <c r="Y423" t="s">
        <v>2189</v>
      </c>
      <c r="Z423">
        <v>1013.73</v>
      </c>
      <c r="AA423">
        <v>4897.4799999999996</v>
      </c>
      <c r="AB423">
        <v>4964742</v>
      </c>
      <c r="AC423" t="b">
        <v>1</v>
      </c>
      <c r="AD423" t="b">
        <v>1</v>
      </c>
      <c r="AE423" t="b">
        <v>0</v>
      </c>
      <c r="AF423" t="b">
        <v>0</v>
      </c>
      <c r="AG423" t="s">
        <v>58</v>
      </c>
      <c r="AH423">
        <v>14</v>
      </c>
      <c r="AI423" t="s">
        <v>59</v>
      </c>
      <c r="AJ423" t="s">
        <v>71</v>
      </c>
      <c r="AL423" t="s">
        <v>244</v>
      </c>
      <c r="AM423" t="s">
        <v>245</v>
      </c>
      <c r="AN423" t="s">
        <v>63</v>
      </c>
      <c r="AO423" t="s">
        <v>2190</v>
      </c>
      <c r="AP423" t="s">
        <v>2257</v>
      </c>
    </row>
    <row r="424" spans="1:42" x14ac:dyDescent="0.45">
      <c r="A424" t="s">
        <v>2017</v>
      </c>
      <c r="B424" t="s">
        <v>2018</v>
      </c>
      <c r="C424" t="s">
        <v>2182</v>
      </c>
      <c r="D424">
        <v>2023</v>
      </c>
      <c r="E424" t="s">
        <v>45</v>
      </c>
      <c r="F424" t="s">
        <v>2020</v>
      </c>
      <c r="G424">
        <v>39</v>
      </c>
      <c r="J424" t="s">
        <v>2261</v>
      </c>
      <c r="K424" t="s">
        <v>2262</v>
      </c>
      <c r="L424" t="s">
        <v>2263</v>
      </c>
      <c r="M424" t="s">
        <v>2264</v>
      </c>
      <c r="N424" t="s">
        <v>2025</v>
      </c>
      <c r="O424" t="s">
        <v>2026</v>
      </c>
      <c r="P424" t="s">
        <v>2027</v>
      </c>
      <c r="Q424" t="s">
        <v>2187</v>
      </c>
      <c r="S424">
        <v>11</v>
      </c>
      <c r="T424" t="s">
        <v>2265</v>
      </c>
      <c r="U424">
        <v>5874</v>
      </c>
      <c r="V424">
        <v>6043</v>
      </c>
      <c r="W424">
        <v>0.97199999999999998</v>
      </c>
      <c r="X424" t="s">
        <v>70</v>
      </c>
      <c r="Y424" t="s">
        <v>2189</v>
      </c>
      <c r="Z424">
        <v>996.73</v>
      </c>
      <c r="AA424">
        <v>11300.62</v>
      </c>
      <c r="AB424">
        <v>11263631</v>
      </c>
      <c r="AC424" t="b">
        <v>1</v>
      </c>
      <c r="AD424" t="b">
        <v>1</v>
      </c>
      <c r="AE424" t="b">
        <v>0</v>
      </c>
      <c r="AF424" t="b">
        <v>0</v>
      </c>
      <c r="AG424" t="s">
        <v>58</v>
      </c>
      <c r="AH424">
        <v>14</v>
      </c>
      <c r="AI424" t="s">
        <v>59</v>
      </c>
      <c r="AJ424" t="s">
        <v>71</v>
      </c>
      <c r="AL424" t="s">
        <v>244</v>
      </c>
      <c r="AM424" t="s">
        <v>245</v>
      </c>
      <c r="AN424" t="s">
        <v>63</v>
      </c>
      <c r="AO424" t="s">
        <v>2190</v>
      </c>
      <c r="AP424" t="s">
        <v>2262</v>
      </c>
    </row>
    <row r="425" spans="1:42" x14ac:dyDescent="0.45">
      <c r="A425" t="s">
        <v>2017</v>
      </c>
      <c r="B425" t="s">
        <v>2018</v>
      </c>
      <c r="C425" t="s">
        <v>2182</v>
      </c>
      <c r="D425">
        <v>2023</v>
      </c>
      <c r="E425" t="s">
        <v>45</v>
      </c>
      <c r="F425" t="s">
        <v>2020</v>
      </c>
      <c r="J425" t="s">
        <v>2266</v>
      </c>
      <c r="K425" t="s">
        <v>2267</v>
      </c>
      <c r="L425" t="s">
        <v>2268</v>
      </c>
      <c r="M425" t="s">
        <v>2269</v>
      </c>
      <c r="N425" t="s">
        <v>2025</v>
      </c>
      <c r="O425" t="s">
        <v>2026</v>
      </c>
      <c r="P425" t="s">
        <v>2027</v>
      </c>
      <c r="Q425" t="s">
        <v>2187</v>
      </c>
      <c r="S425">
        <v>20</v>
      </c>
      <c r="T425" t="s">
        <v>2270</v>
      </c>
      <c r="U425">
        <v>77</v>
      </c>
      <c r="V425">
        <v>6043</v>
      </c>
      <c r="W425">
        <v>1.2699999999999999E-2</v>
      </c>
      <c r="X425" t="s">
        <v>56</v>
      </c>
      <c r="Y425" t="s">
        <v>2189</v>
      </c>
      <c r="Z425">
        <v>1046.75</v>
      </c>
      <c r="AA425">
        <v>62</v>
      </c>
      <c r="AB425">
        <v>64897</v>
      </c>
      <c r="AC425" t="b">
        <v>0</v>
      </c>
      <c r="AD425" t="b">
        <v>0</v>
      </c>
      <c r="AE425" t="b">
        <v>0</v>
      </c>
      <c r="AF425" t="b">
        <v>0</v>
      </c>
      <c r="AG425" t="s">
        <v>58</v>
      </c>
      <c r="AH425">
        <v>8</v>
      </c>
      <c r="AI425" t="s">
        <v>169</v>
      </c>
      <c r="AJ425" t="s">
        <v>60</v>
      </c>
      <c r="AL425" t="s">
        <v>380</v>
      </c>
      <c r="AM425" t="s">
        <v>245</v>
      </c>
      <c r="AN425" t="s">
        <v>63</v>
      </c>
      <c r="AO425" t="s">
        <v>2190</v>
      </c>
      <c r="AP425" t="s">
        <v>2267</v>
      </c>
    </row>
    <row r="426" spans="1:42" x14ac:dyDescent="0.45">
      <c r="A426" t="s">
        <v>2017</v>
      </c>
      <c r="B426" t="s">
        <v>2018</v>
      </c>
      <c r="C426" t="s">
        <v>2182</v>
      </c>
      <c r="D426">
        <v>2023</v>
      </c>
      <c r="E426" t="s">
        <v>45</v>
      </c>
      <c r="F426" t="s">
        <v>2020</v>
      </c>
      <c r="G426">
        <v>38</v>
      </c>
      <c r="J426" t="s">
        <v>2271</v>
      </c>
      <c r="K426" t="s">
        <v>2272</v>
      </c>
      <c r="L426" t="s">
        <v>2273</v>
      </c>
      <c r="M426" t="s">
        <v>2274</v>
      </c>
      <c r="N426" t="s">
        <v>2025</v>
      </c>
      <c r="O426" t="s">
        <v>2026</v>
      </c>
      <c r="P426" t="s">
        <v>2027</v>
      </c>
      <c r="Q426" t="s">
        <v>2187</v>
      </c>
      <c r="S426">
        <v>12</v>
      </c>
      <c r="T426" t="s">
        <v>2275</v>
      </c>
      <c r="U426">
        <v>5307</v>
      </c>
      <c r="V426">
        <v>6043</v>
      </c>
      <c r="W426">
        <v>0.87819999999999998</v>
      </c>
      <c r="X426" t="s">
        <v>70</v>
      </c>
      <c r="Y426" t="s">
        <v>2189</v>
      </c>
      <c r="Z426">
        <v>999.73</v>
      </c>
      <c r="AA426">
        <v>3029.29</v>
      </c>
      <c r="AB426">
        <v>3028485</v>
      </c>
      <c r="AC426" t="b">
        <v>1</v>
      </c>
      <c r="AD426" t="b">
        <v>1</v>
      </c>
      <c r="AE426" t="b">
        <v>0</v>
      </c>
      <c r="AF426" t="b">
        <v>0</v>
      </c>
      <c r="AG426" t="s">
        <v>58</v>
      </c>
      <c r="AH426">
        <v>14</v>
      </c>
      <c r="AI426" t="s">
        <v>59</v>
      </c>
      <c r="AJ426" t="s">
        <v>71</v>
      </c>
      <c r="AL426" t="s">
        <v>244</v>
      </c>
      <c r="AM426" t="s">
        <v>245</v>
      </c>
      <c r="AN426" t="s">
        <v>63</v>
      </c>
      <c r="AO426" t="s">
        <v>2190</v>
      </c>
      <c r="AP426" t="s">
        <v>2272</v>
      </c>
    </row>
    <row r="427" spans="1:42" x14ac:dyDescent="0.45">
      <c r="A427" t="s">
        <v>2017</v>
      </c>
      <c r="B427" t="s">
        <v>2018</v>
      </c>
      <c r="C427" t="s">
        <v>2182</v>
      </c>
      <c r="D427">
        <v>2023</v>
      </c>
      <c r="E427" t="s">
        <v>45</v>
      </c>
      <c r="F427" t="s">
        <v>2020</v>
      </c>
      <c r="J427" t="s">
        <v>2276</v>
      </c>
      <c r="K427" t="s">
        <v>2277</v>
      </c>
      <c r="L427" t="s">
        <v>2278</v>
      </c>
      <c r="M427" t="s">
        <v>2279</v>
      </c>
      <c r="N427" t="s">
        <v>2025</v>
      </c>
      <c r="O427" t="s">
        <v>2026</v>
      </c>
      <c r="P427" t="s">
        <v>2027</v>
      </c>
      <c r="Q427" t="s">
        <v>2187</v>
      </c>
      <c r="S427">
        <v>19</v>
      </c>
      <c r="T427" t="s">
        <v>2280</v>
      </c>
      <c r="U427">
        <v>149</v>
      </c>
      <c r="V427">
        <v>6043</v>
      </c>
      <c r="W427">
        <v>2.47E-2</v>
      </c>
      <c r="X427" t="s">
        <v>56</v>
      </c>
      <c r="Y427" t="s">
        <v>2189</v>
      </c>
      <c r="Z427">
        <v>1046.1300000000001</v>
      </c>
      <c r="AA427">
        <v>117.22</v>
      </c>
      <c r="AB427">
        <v>122626</v>
      </c>
      <c r="AC427" t="b">
        <v>0</v>
      </c>
      <c r="AD427" t="b">
        <v>0</v>
      </c>
      <c r="AE427" t="b">
        <v>0</v>
      </c>
      <c r="AF427" t="b">
        <v>0</v>
      </c>
      <c r="AG427" t="s">
        <v>58</v>
      </c>
      <c r="AH427">
        <v>8</v>
      </c>
      <c r="AI427" t="s">
        <v>169</v>
      </c>
      <c r="AJ427" t="s">
        <v>60</v>
      </c>
      <c r="AL427" t="s">
        <v>380</v>
      </c>
      <c r="AM427" t="s">
        <v>245</v>
      </c>
      <c r="AN427" t="s">
        <v>63</v>
      </c>
      <c r="AO427" t="s">
        <v>2190</v>
      </c>
      <c r="AP427" t="s">
        <v>2277</v>
      </c>
    </row>
    <row r="428" spans="1:42" x14ac:dyDescent="0.45">
      <c r="A428" t="s">
        <v>2017</v>
      </c>
      <c r="B428" t="s">
        <v>2018</v>
      </c>
      <c r="C428" t="s">
        <v>2182</v>
      </c>
      <c r="D428">
        <v>2023</v>
      </c>
      <c r="E428" t="s">
        <v>45</v>
      </c>
      <c r="F428" t="s">
        <v>2020</v>
      </c>
      <c r="G428">
        <v>46</v>
      </c>
      <c r="J428" t="s">
        <v>2281</v>
      </c>
      <c r="K428" t="s">
        <v>2282</v>
      </c>
      <c r="L428" t="s">
        <v>2283</v>
      </c>
      <c r="M428" t="s">
        <v>2284</v>
      </c>
      <c r="N428" t="s">
        <v>2025</v>
      </c>
      <c r="O428" t="s">
        <v>2026</v>
      </c>
      <c r="P428" t="s">
        <v>2027</v>
      </c>
      <c r="Q428" t="s">
        <v>2187</v>
      </c>
      <c r="S428">
        <v>4</v>
      </c>
      <c r="T428" t="s">
        <v>2285</v>
      </c>
      <c r="U428">
        <v>5439</v>
      </c>
      <c r="V428">
        <v>6043</v>
      </c>
      <c r="W428">
        <v>0.9</v>
      </c>
      <c r="X428" t="s">
        <v>70</v>
      </c>
      <c r="Y428" t="s">
        <v>2189</v>
      </c>
      <c r="Z428">
        <v>947.73</v>
      </c>
      <c r="AA428">
        <v>11074.01</v>
      </c>
      <c r="AB428">
        <v>10495134</v>
      </c>
      <c r="AC428" t="b">
        <v>1</v>
      </c>
      <c r="AD428" t="b">
        <v>1</v>
      </c>
      <c r="AE428" t="b">
        <v>0</v>
      </c>
      <c r="AF428" t="b">
        <v>0</v>
      </c>
      <c r="AG428" t="s">
        <v>58</v>
      </c>
      <c r="AH428">
        <v>14</v>
      </c>
      <c r="AI428" t="s">
        <v>59</v>
      </c>
      <c r="AJ428" t="s">
        <v>71</v>
      </c>
      <c r="AL428" t="s">
        <v>244</v>
      </c>
      <c r="AM428" t="s">
        <v>245</v>
      </c>
      <c r="AN428" t="s">
        <v>63</v>
      </c>
      <c r="AO428" t="s">
        <v>2190</v>
      </c>
      <c r="AP428" t="s">
        <v>2282</v>
      </c>
    </row>
    <row r="429" spans="1:42" x14ac:dyDescent="0.45">
      <c r="A429" t="s">
        <v>2017</v>
      </c>
      <c r="B429" t="s">
        <v>2018</v>
      </c>
      <c r="C429" t="s">
        <v>2182</v>
      </c>
      <c r="D429">
        <v>2023</v>
      </c>
      <c r="E429" t="s">
        <v>45</v>
      </c>
      <c r="F429" t="s">
        <v>2020</v>
      </c>
      <c r="G429">
        <v>47</v>
      </c>
      <c r="J429" t="s">
        <v>2286</v>
      </c>
      <c r="K429" t="s">
        <v>2287</v>
      </c>
      <c r="L429" t="s">
        <v>2288</v>
      </c>
      <c r="M429" t="s">
        <v>2289</v>
      </c>
      <c r="N429" t="s">
        <v>2025</v>
      </c>
      <c r="O429" t="s">
        <v>2026</v>
      </c>
      <c r="P429" t="s">
        <v>2027</v>
      </c>
      <c r="Q429" t="s">
        <v>2187</v>
      </c>
      <c r="S429">
        <v>3</v>
      </c>
      <c r="T429" t="s">
        <v>2290</v>
      </c>
      <c r="U429">
        <v>7071</v>
      </c>
      <c r="V429">
        <v>6043</v>
      </c>
      <c r="W429">
        <v>1.1700999999999999</v>
      </c>
      <c r="X429" t="s">
        <v>70</v>
      </c>
      <c r="Y429" t="s">
        <v>2189</v>
      </c>
      <c r="Z429">
        <v>937.73</v>
      </c>
      <c r="AA429">
        <v>6758.28</v>
      </c>
      <c r="AB429">
        <v>6337470</v>
      </c>
      <c r="AC429" t="b">
        <v>1</v>
      </c>
      <c r="AD429" t="b">
        <v>1</v>
      </c>
      <c r="AE429" t="b">
        <v>0</v>
      </c>
      <c r="AF429" t="b">
        <v>0</v>
      </c>
      <c r="AG429" t="s">
        <v>58</v>
      </c>
      <c r="AH429">
        <v>14</v>
      </c>
      <c r="AI429" t="s">
        <v>59</v>
      </c>
      <c r="AJ429" t="s">
        <v>71</v>
      </c>
      <c r="AL429" t="s">
        <v>244</v>
      </c>
      <c r="AM429" t="s">
        <v>245</v>
      </c>
      <c r="AN429" t="s">
        <v>63</v>
      </c>
      <c r="AO429" t="s">
        <v>2190</v>
      </c>
      <c r="AP429" t="s">
        <v>2287</v>
      </c>
    </row>
    <row r="430" spans="1:42" x14ac:dyDescent="0.45">
      <c r="A430" t="s">
        <v>2017</v>
      </c>
      <c r="B430" t="s">
        <v>2018</v>
      </c>
      <c r="C430" t="s">
        <v>2182</v>
      </c>
      <c r="D430">
        <v>2023</v>
      </c>
      <c r="E430" t="s">
        <v>45</v>
      </c>
      <c r="F430" t="s">
        <v>2020</v>
      </c>
      <c r="G430">
        <v>48</v>
      </c>
      <c r="J430" t="s">
        <v>2291</v>
      </c>
      <c r="K430" t="s">
        <v>2292</v>
      </c>
      <c r="L430" t="s">
        <v>2293</v>
      </c>
      <c r="M430" t="s">
        <v>2294</v>
      </c>
      <c r="N430" t="s">
        <v>2025</v>
      </c>
      <c r="O430" t="s">
        <v>2026</v>
      </c>
      <c r="P430" t="s">
        <v>2027</v>
      </c>
      <c r="Q430" t="s">
        <v>2187</v>
      </c>
      <c r="S430">
        <v>2</v>
      </c>
      <c r="T430" t="s">
        <v>2295</v>
      </c>
      <c r="U430">
        <v>6280</v>
      </c>
      <c r="V430">
        <v>6043</v>
      </c>
      <c r="W430">
        <v>1.0391999999999999</v>
      </c>
      <c r="X430" t="s">
        <v>70</v>
      </c>
      <c r="Y430" t="s">
        <v>2189</v>
      </c>
      <c r="Z430">
        <v>930.73</v>
      </c>
      <c r="AA430">
        <v>2091.63</v>
      </c>
      <c r="AB430">
        <v>1946753</v>
      </c>
      <c r="AC430" t="b">
        <v>1</v>
      </c>
      <c r="AD430" t="b">
        <v>1</v>
      </c>
      <c r="AE430" t="b">
        <v>0</v>
      </c>
      <c r="AF430" t="b">
        <v>0</v>
      </c>
      <c r="AG430" t="s">
        <v>58</v>
      </c>
      <c r="AH430">
        <v>14</v>
      </c>
      <c r="AI430" t="s">
        <v>59</v>
      </c>
      <c r="AJ430" t="s">
        <v>71</v>
      </c>
      <c r="AL430" t="s">
        <v>244</v>
      </c>
      <c r="AM430" t="s">
        <v>245</v>
      </c>
      <c r="AN430" t="s">
        <v>63</v>
      </c>
      <c r="AO430" t="s">
        <v>2190</v>
      </c>
      <c r="AP430" t="s">
        <v>2292</v>
      </c>
    </row>
    <row r="431" spans="1:42" x14ac:dyDescent="0.45">
      <c r="A431" t="s">
        <v>2017</v>
      </c>
      <c r="B431" t="s">
        <v>2018</v>
      </c>
      <c r="C431" t="s">
        <v>2182</v>
      </c>
      <c r="D431">
        <v>2023</v>
      </c>
      <c r="E431" t="s">
        <v>45</v>
      </c>
      <c r="F431" t="s">
        <v>2020</v>
      </c>
      <c r="G431">
        <v>45</v>
      </c>
      <c r="J431" t="s">
        <v>2296</v>
      </c>
      <c r="K431" t="s">
        <v>2297</v>
      </c>
      <c r="L431" t="s">
        <v>2298</v>
      </c>
      <c r="M431" t="s">
        <v>2299</v>
      </c>
      <c r="N431" t="s">
        <v>2025</v>
      </c>
      <c r="O431" t="s">
        <v>2026</v>
      </c>
      <c r="P431" t="s">
        <v>2027</v>
      </c>
      <c r="Q431" t="s">
        <v>2187</v>
      </c>
      <c r="S431">
        <v>5</v>
      </c>
      <c r="T431" t="s">
        <v>2300</v>
      </c>
      <c r="U431">
        <v>6369</v>
      </c>
      <c r="V431">
        <v>6043</v>
      </c>
      <c r="W431">
        <v>1.0539000000000001</v>
      </c>
      <c r="X431" t="s">
        <v>70</v>
      </c>
      <c r="Y431" t="s">
        <v>2189</v>
      </c>
      <c r="Z431">
        <v>954.73</v>
      </c>
      <c r="AA431">
        <v>10760.81</v>
      </c>
      <c r="AB431">
        <v>10273640</v>
      </c>
      <c r="AC431" t="b">
        <v>1</v>
      </c>
      <c r="AD431" t="b">
        <v>1</v>
      </c>
      <c r="AE431" t="b">
        <v>0</v>
      </c>
      <c r="AF431" t="b">
        <v>0</v>
      </c>
      <c r="AG431" t="s">
        <v>58</v>
      </c>
      <c r="AH431">
        <v>14</v>
      </c>
      <c r="AI431" t="s">
        <v>59</v>
      </c>
      <c r="AJ431" t="s">
        <v>71</v>
      </c>
      <c r="AL431" t="s">
        <v>244</v>
      </c>
      <c r="AM431" t="s">
        <v>245</v>
      </c>
      <c r="AN431" t="s">
        <v>63</v>
      </c>
      <c r="AO431" t="s">
        <v>2190</v>
      </c>
      <c r="AP431" t="s">
        <v>2297</v>
      </c>
    </row>
    <row r="432" spans="1:42" x14ac:dyDescent="0.45">
      <c r="A432" t="s">
        <v>2017</v>
      </c>
      <c r="B432" t="s">
        <v>2018</v>
      </c>
      <c r="C432" t="s">
        <v>2182</v>
      </c>
      <c r="D432">
        <v>2023</v>
      </c>
      <c r="E432" t="s">
        <v>45</v>
      </c>
      <c r="F432" t="s">
        <v>2020</v>
      </c>
      <c r="G432">
        <v>32</v>
      </c>
      <c r="J432" t="s">
        <v>2301</v>
      </c>
      <c r="K432" t="s">
        <v>2302</v>
      </c>
      <c r="L432" t="s">
        <v>2303</v>
      </c>
      <c r="M432" t="s">
        <v>2304</v>
      </c>
      <c r="N432" t="s">
        <v>2025</v>
      </c>
      <c r="O432" t="s">
        <v>2026</v>
      </c>
      <c r="P432" t="s">
        <v>2027</v>
      </c>
      <c r="Q432" t="s">
        <v>2187</v>
      </c>
      <c r="S432">
        <v>21</v>
      </c>
      <c r="T432" t="s">
        <v>2305</v>
      </c>
      <c r="U432">
        <v>174</v>
      </c>
      <c r="V432">
        <v>6043</v>
      </c>
      <c r="W432">
        <v>2.8799999999999999E-2</v>
      </c>
      <c r="X432" t="s">
        <v>56</v>
      </c>
      <c r="Y432" t="s">
        <v>2189</v>
      </c>
      <c r="Z432">
        <v>1047.17</v>
      </c>
      <c r="AA432">
        <v>350.07</v>
      </c>
      <c r="AB432">
        <v>366580</v>
      </c>
      <c r="AC432" t="b">
        <v>0</v>
      </c>
      <c r="AD432" t="b">
        <v>0</v>
      </c>
      <c r="AE432" t="b">
        <v>0</v>
      </c>
      <c r="AF432" t="b">
        <v>0</v>
      </c>
      <c r="AG432" t="s">
        <v>58</v>
      </c>
      <c r="AH432">
        <v>-15</v>
      </c>
      <c r="AI432" t="s">
        <v>59</v>
      </c>
      <c r="AJ432" t="s">
        <v>60</v>
      </c>
      <c r="AK432" t="s">
        <v>140</v>
      </c>
      <c r="AL432" t="s">
        <v>141</v>
      </c>
      <c r="AM432" t="s">
        <v>245</v>
      </c>
      <c r="AN432" t="s">
        <v>63</v>
      </c>
      <c r="AO432" t="s">
        <v>2190</v>
      </c>
      <c r="AP432" t="s">
        <v>2302</v>
      </c>
    </row>
    <row r="433" spans="1:42" x14ac:dyDescent="0.45">
      <c r="A433" t="s">
        <v>2017</v>
      </c>
      <c r="B433" t="s">
        <v>2018</v>
      </c>
      <c r="C433" t="s">
        <v>2182</v>
      </c>
      <c r="D433">
        <v>2023</v>
      </c>
      <c r="E433" t="s">
        <v>45</v>
      </c>
      <c r="F433" t="s">
        <v>2020</v>
      </c>
      <c r="J433" t="s">
        <v>2306</v>
      </c>
      <c r="K433" t="s">
        <v>2307</v>
      </c>
      <c r="L433" t="s">
        <v>2308</v>
      </c>
      <c r="M433" t="s">
        <v>2309</v>
      </c>
      <c r="N433" t="s">
        <v>2025</v>
      </c>
      <c r="O433" t="s">
        <v>2026</v>
      </c>
      <c r="P433" t="s">
        <v>2027</v>
      </c>
      <c r="Q433" t="s">
        <v>2187</v>
      </c>
      <c r="S433">
        <v>23</v>
      </c>
      <c r="T433" t="s">
        <v>2310</v>
      </c>
      <c r="U433">
        <v>208</v>
      </c>
      <c r="V433">
        <v>6043</v>
      </c>
      <c r="W433">
        <v>3.44E-2</v>
      </c>
      <c r="X433" t="s">
        <v>56</v>
      </c>
      <c r="Y433" t="s">
        <v>2189</v>
      </c>
      <c r="Z433">
        <v>1048.75</v>
      </c>
      <c r="AA433">
        <v>98.3</v>
      </c>
      <c r="AB433">
        <v>103094</v>
      </c>
      <c r="AC433" t="b">
        <v>0</v>
      </c>
      <c r="AD433" t="b">
        <v>0</v>
      </c>
      <c r="AE433" t="b">
        <v>0</v>
      </c>
      <c r="AF433" t="b">
        <v>0</v>
      </c>
      <c r="AG433" t="s">
        <v>58</v>
      </c>
      <c r="AH433">
        <v>8</v>
      </c>
      <c r="AI433" t="s">
        <v>169</v>
      </c>
      <c r="AJ433" t="s">
        <v>60</v>
      </c>
      <c r="AL433" t="s">
        <v>380</v>
      </c>
      <c r="AM433" t="s">
        <v>245</v>
      </c>
      <c r="AN433" t="s">
        <v>63</v>
      </c>
      <c r="AO433" t="s">
        <v>2190</v>
      </c>
      <c r="AP433" t="s">
        <v>2307</v>
      </c>
    </row>
    <row r="434" spans="1:42" x14ac:dyDescent="0.45">
      <c r="A434" t="s">
        <v>2017</v>
      </c>
      <c r="B434" t="s">
        <v>2018</v>
      </c>
      <c r="C434" t="s">
        <v>2311</v>
      </c>
      <c r="D434">
        <v>2024</v>
      </c>
      <c r="E434" t="s">
        <v>45</v>
      </c>
      <c r="F434" t="s">
        <v>2020</v>
      </c>
      <c r="G434">
        <v>64</v>
      </c>
      <c r="J434" t="s">
        <v>2312</v>
      </c>
      <c r="K434" t="s">
        <v>2313</v>
      </c>
      <c r="L434" t="s">
        <v>2314</v>
      </c>
      <c r="M434" t="s">
        <v>2315</v>
      </c>
      <c r="N434" t="s">
        <v>2025</v>
      </c>
      <c r="O434" t="s">
        <v>2026</v>
      </c>
      <c r="P434" t="s">
        <v>2027</v>
      </c>
      <c r="Q434" t="s">
        <v>2316</v>
      </c>
      <c r="S434">
        <v>16</v>
      </c>
      <c r="T434" t="s">
        <v>2317</v>
      </c>
      <c r="U434">
        <v>6122</v>
      </c>
      <c r="V434">
        <v>6477</v>
      </c>
      <c r="W434">
        <v>0.94520000000000004</v>
      </c>
      <c r="X434" t="s">
        <v>70</v>
      </c>
      <c r="Y434" t="s">
        <v>2318</v>
      </c>
      <c r="Z434">
        <v>688.73</v>
      </c>
      <c r="AA434">
        <v>16112.64</v>
      </c>
      <c r="AB434">
        <v>11097215</v>
      </c>
      <c r="AC434" t="b">
        <v>1</v>
      </c>
      <c r="AD434" t="b">
        <v>1</v>
      </c>
      <c r="AE434" t="b">
        <v>0</v>
      </c>
      <c r="AF434" t="b">
        <v>0</v>
      </c>
      <c r="AG434" t="s">
        <v>58</v>
      </c>
      <c r="AH434">
        <v>20</v>
      </c>
      <c r="AI434" t="s">
        <v>59</v>
      </c>
      <c r="AJ434" t="s">
        <v>71</v>
      </c>
      <c r="AL434" t="s">
        <v>72</v>
      </c>
      <c r="AM434" t="s">
        <v>62</v>
      </c>
      <c r="AN434" t="s">
        <v>63</v>
      </c>
      <c r="AO434" t="s">
        <v>2319</v>
      </c>
      <c r="AP434" t="s">
        <v>2313</v>
      </c>
    </row>
    <row r="435" spans="1:42" x14ac:dyDescent="0.45">
      <c r="A435" t="s">
        <v>2017</v>
      </c>
      <c r="B435" t="s">
        <v>2018</v>
      </c>
      <c r="C435" t="s">
        <v>2311</v>
      </c>
      <c r="D435">
        <v>2024</v>
      </c>
      <c r="E435" t="s">
        <v>45</v>
      </c>
      <c r="F435" t="s">
        <v>2020</v>
      </c>
      <c r="G435">
        <v>65</v>
      </c>
      <c r="J435" t="s">
        <v>2320</v>
      </c>
      <c r="K435" t="s">
        <v>2321</v>
      </c>
      <c r="L435" t="s">
        <v>2322</v>
      </c>
      <c r="M435" t="s">
        <v>2323</v>
      </c>
      <c r="N435" t="s">
        <v>2025</v>
      </c>
      <c r="O435" t="s">
        <v>2026</v>
      </c>
      <c r="P435" t="s">
        <v>2027</v>
      </c>
      <c r="Q435" t="s">
        <v>2316</v>
      </c>
      <c r="S435">
        <v>15</v>
      </c>
      <c r="T435" t="s">
        <v>2324</v>
      </c>
      <c r="U435">
        <v>7124</v>
      </c>
      <c r="V435">
        <v>6477</v>
      </c>
      <c r="W435">
        <v>1.0999000000000001</v>
      </c>
      <c r="X435" t="s">
        <v>70</v>
      </c>
      <c r="Y435" t="s">
        <v>2318</v>
      </c>
      <c r="Z435">
        <v>681.73</v>
      </c>
      <c r="AA435">
        <v>18630.189999999999</v>
      </c>
      <c r="AB435">
        <v>12700707</v>
      </c>
      <c r="AC435" t="b">
        <v>1</v>
      </c>
      <c r="AD435" t="b">
        <v>1</v>
      </c>
      <c r="AE435" t="b">
        <v>0</v>
      </c>
      <c r="AF435" t="b">
        <v>0</v>
      </c>
      <c r="AG435" t="s">
        <v>58</v>
      </c>
      <c r="AH435">
        <v>20</v>
      </c>
      <c r="AI435" t="s">
        <v>59</v>
      </c>
      <c r="AJ435" t="s">
        <v>71</v>
      </c>
      <c r="AL435" t="s">
        <v>72</v>
      </c>
      <c r="AM435" t="s">
        <v>62</v>
      </c>
      <c r="AN435" t="s">
        <v>63</v>
      </c>
      <c r="AO435" t="s">
        <v>2319</v>
      </c>
      <c r="AP435" t="s">
        <v>2321</v>
      </c>
    </row>
    <row r="436" spans="1:42" x14ac:dyDescent="0.45">
      <c r="A436" t="s">
        <v>2017</v>
      </c>
      <c r="B436" t="s">
        <v>2018</v>
      </c>
      <c r="C436" t="s">
        <v>2311</v>
      </c>
      <c r="D436">
        <v>2024</v>
      </c>
      <c r="E436" t="s">
        <v>45</v>
      </c>
      <c r="F436" t="s">
        <v>2020</v>
      </c>
      <c r="G436">
        <v>72</v>
      </c>
      <c r="J436" t="s">
        <v>2325</v>
      </c>
      <c r="K436" t="s">
        <v>2326</v>
      </c>
      <c r="L436" t="s">
        <v>2327</v>
      </c>
      <c r="M436" t="s">
        <v>2328</v>
      </c>
      <c r="N436" t="s">
        <v>2025</v>
      </c>
      <c r="O436" t="s">
        <v>2026</v>
      </c>
      <c r="P436" t="s">
        <v>2027</v>
      </c>
      <c r="Q436" t="s">
        <v>2316</v>
      </c>
      <c r="S436">
        <v>8</v>
      </c>
      <c r="T436" t="s">
        <v>2329</v>
      </c>
      <c r="U436">
        <v>7793</v>
      </c>
      <c r="V436">
        <v>6477</v>
      </c>
      <c r="W436">
        <v>1.2032</v>
      </c>
      <c r="X436" t="s">
        <v>70</v>
      </c>
      <c r="Y436" t="s">
        <v>2318</v>
      </c>
      <c r="Z436">
        <v>632.73</v>
      </c>
      <c r="AA436">
        <v>19709</v>
      </c>
      <c r="AB436">
        <v>12470425</v>
      </c>
      <c r="AC436" t="b">
        <v>1</v>
      </c>
      <c r="AD436" t="b">
        <v>1</v>
      </c>
      <c r="AE436" t="b">
        <v>0</v>
      </c>
      <c r="AF436" t="b">
        <v>0</v>
      </c>
      <c r="AG436" t="s">
        <v>58</v>
      </c>
      <c r="AH436">
        <v>20</v>
      </c>
      <c r="AI436" t="s">
        <v>59</v>
      </c>
      <c r="AJ436" t="s">
        <v>71</v>
      </c>
      <c r="AL436" t="s">
        <v>72</v>
      </c>
      <c r="AM436" t="s">
        <v>62</v>
      </c>
      <c r="AN436" t="s">
        <v>63</v>
      </c>
      <c r="AO436" t="s">
        <v>2319</v>
      </c>
      <c r="AP436" t="s">
        <v>2326</v>
      </c>
    </row>
    <row r="437" spans="1:42" x14ac:dyDescent="0.45">
      <c r="A437" t="s">
        <v>2017</v>
      </c>
      <c r="B437" t="s">
        <v>2018</v>
      </c>
      <c r="C437" t="s">
        <v>2311</v>
      </c>
      <c r="D437">
        <v>2024</v>
      </c>
      <c r="E437" t="s">
        <v>45</v>
      </c>
      <c r="F437" t="s">
        <v>2020</v>
      </c>
      <c r="G437">
        <v>62</v>
      </c>
      <c r="J437" t="s">
        <v>2330</v>
      </c>
      <c r="K437" t="s">
        <v>2331</v>
      </c>
      <c r="L437" t="s">
        <v>2332</v>
      </c>
      <c r="M437" t="s">
        <v>2333</v>
      </c>
      <c r="N437" t="s">
        <v>2025</v>
      </c>
      <c r="O437" t="s">
        <v>2026</v>
      </c>
      <c r="P437" t="s">
        <v>2027</v>
      </c>
      <c r="Q437" t="s">
        <v>2316</v>
      </c>
      <c r="S437">
        <v>18</v>
      </c>
      <c r="T437" t="s">
        <v>2334</v>
      </c>
      <c r="U437">
        <v>7581</v>
      </c>
      <c r="V437">
        <v>6477</v>
      </c>
      <c r="W437">
        <v>1.1704000000000001</v>
      </c>
      <c r="X437" t="s">
        <v>70</v>
      </c>
      <c r="Y437" t="s">
        <v>2318</v>
      </c>
      <c r="Z437">
        <v>702.73</v>
      </c>
      <c r="AA437">
        <v>15913.64</v>
      </c>
      <c r="AB437">
        <v>11182952</v>
      </c>
      <c r="AC437" t="b">
        <v>1</v>
      </c>
      <c r="AD437" t="b">
        <v>1</v>
      </c>
      <c r="AE437" t="b">
        <v>0</v>
      </c>
      <c r="AF437" t="b">
        <v>0</v>
      </c>
      <c r="AG437" t="s">
        <v>58</v>
      </c>
      <c r="AH437">
        <v>20</v>
      </c>
      <c r="AI437" t="s">
        <v>59</v>
      </c>
      <c r="AJ437" t="s">
        <v>71</v>
      </c>
      <c r="AL437" t="s">
        <v>72</v>
      </c>
      <c r="AM437" t="s">
        <v>62</v>
      </c>
      <c r="AN437" t="s">
        <v>63</v>
      </c>
      <c r="AO437" t="s">
        <v>2319</v>
      </c>
      <c r="AP437" t="s">
        <v>2331</v>
      </c>
    </row>
    <row r="438" spans="1:42" x14ac:dyDescent="0.45">
      <c r="A438" t="s">
        <v>2017</v>
      </c>
      <c r="B438" t="s">
        <v>2018</v>
      </c>
      <c r="C438" t="s">
        <v>2311</v>
      </c>
      <c r="D438">
        <v>2024</v>
      </c>
      <c r="E438" t="s">
        <v>45</v>
      </c>
      <c r="F438" t="s">
        <v>2020</v>
      </c>
      <c r="G438">
        <v>73</v>
      </c>
      <c r="J438" t="s">
        <v>2335</v>
      </c>
      <c r="K438" t="s">
        <v>2336</v>
      </c>
      <c r="L438" t="s">
        <v>2337</v>
      </c>
      <c r="M438" t="s">
        <v>2338</v>
      </c>
      <c r="N438" t="s">
        <v>2025</v>
      </c>
      <c r="O438" t="s">
        <v>2026</v>
      </c>
      <c r="P438" t="s">
        <v>2027</v>
      </c>
      <c r="Q438" t="s">
        <v>2316</v>
      </c>
      <c r="S438">
        <v>7</v>
      </c>
      <c r="T438" t="s">
        <v>2339</v>
      </c>
      <c r="U438">
        <v>6407</v>
      </c>
      <c r="V438">
        <v>6477</v>
      </c>
      <c r="W438">
        <v>0.98919999999999997</v>
      </c>
      <c r="X438" t="s">
        <v>70</v>
      </c>
      <c r="Y438" t="s">
        <v>2318</v>
      </c>
      <c r="Z438">
        <v>625.73</v>
      </c>
      <c r="AA438">
        <v>22260.71</v>
      </c>
      <c r="AB438">
        <v>13929141</v>
      </c>
      <c r="AC438" t="b">
        <v>1</v>
      </c>
      <c r="AD438" t="b">
        <v>1</v>
      </c>
      <c r="AE438" t="b">
        <v>0</v>
      </c>
      <c r="AF438" t="b">
        <v>0</v>
      </c>
      <c r="AG438" t="s">
        <v>58</v>
      </c>
      <c r="AH438">
        <v>20</v>
      </c>
      <c r="AI438" t="s">
        <v>59</v>
      </c>
      <c r="AJ438" t="s">
        <v>71</v>
      </c>
      <c r="AL438" t="s">
        <v>72</v>
      </c>
      <c r="AM438" t="s">
        <v>62</v>
      </c>
      <c r="AN438" t="s">
        <v>63</v>
      </c>
      <c r="AO438" t="s">
        <v>2319</v>
      </c>
      <c r="AP438" t="s">
        <v>2336</v>
      </c>
    </row>
    <row r="439" spans="1:42" x14ac:dyDescent="0.45">
      <c r="A439" t="s">
        <v>2017</v>
      </c>
      <c r="B439" t="s">
        <v>2018</v>
      </c>
      <c r="C439" t="s">
        <v>2311</v>
      </c>
      <c r="D439">
        <v>2024</v>
      </c>
      <c r="E439" t="s">
        <v>45</v>
      </c>
      <c r="F439" t="s">
        <v>2020</v>
      </c>
      <c r="G439">
        <v>67</v>
      </c>
      <c r="J439" t="s">
        <v>2340</v>
      </c>
      <c r="K439" t="s">
        <v>2341</v>
      </c>
      <c r="L439" t="s">
        <v>2342</v>
      </c>
      <c r="M439" t="s">
        <v>2343</v>
      </c>
      <c r="N439" t="s">
        <v>2025</v>
      </c>
      <c r="O439" t="s">
        <v>2026</v>
      </c>
      <c r="P439" t="s">
        <v>2027</v>
      </c>
      <c r="Q439" t="s">
        <v>2316</v>
      </c>
      <c r="S439">
        <v>13</v>
      </c>
      <c r="T439" t="s">
        <v>2344</v>
      </c>
      <c r="U439">
        <v>5276</v>
      </c>
      <c r="V439">
        <v>6477</v>
      </c>
      <c r="W439">
        <v>0.81459999999999999</v>
      </c>
      <c r="X439" t="s">
        <v>70</v>
      </c>
      <c r="Y439" t="s">
        <v>2318</v>
      </c>
      <c r="Z439">
        <v>667.73</v>
      </c>
      <c r="AA439">
        <v>13088.13</v>
      </c>
      <c r="AB439">
        <v>8739303</v>
      </c>
      <c r="AC439" t="b">
        <v>1</v>
      </c>
      <c r="AD439" t="b">
        <v>1</v>
      </c>
      <c r="AE439" t="b">
        <v>0</v>
      </c>
      <c r="AF439" t="b">
        <v>0</v>
      </c>
      <c r="AG439" t="s">
        <v>58</v>
      </c>
      <c r="AH439">
        <v>20</v>
      </c>
      <c r="AI439" t="s">
        <v>59</v>
      </c>
      <c r="AJ439" t="s">
        <v>71</v>
      </c>
      <c r="AL439" t="s">
        <v>72</v>
      </c>
      <c r="AM439" t="s">
        <v>62</v>
      </c>
      <c r="AN439" t="s">
        <v>63</v>
      </c>
      <c r="AO439" t="s">
        <v>2319</v>
      </c>
      <c r="AP439" t="s">
        <v>2341</v>
      </c>
    </row>
    <row r="440" spans="1:42" x14ac:dyDescent="0.45">
      <c r="A440" t="s">
        <v>2017</v>
      </c>
      <c r="B440" t="s">
        <v>2018</v>
      </c>
      <c r="C440" t="s">
        <v>2311</v>
      </c>
      <c r="D440">
        <v>2024</v>
      </c>
      <c r="E440" t="s">
        <v>45</v>
      </c>
      <c r="F440" t="s">
        <v>2020</v>
      </c>
      <c r="G440">
        <v>55</v>
      </c>
      <c r="J440" t="s">
        <v>2345</v>
      </c>
      <c r="K440" t="s">
        <v>2346</v>
      </c>
      <c r="L440" t="s">
        <v>2347</v>
      </c>
      <c r="M440" t="s">
        <v>2348</v>
      </c>
      <c r="N440" t="s">
        <v>2025</v>
      </c>
      <c r="O440" t="s">
        <v>2026</v>
      </c>
      <c r="P440" t="s">
        <v>2027</v>
      </c>
      <c r="Q440" t="s">
        <v>2316</v>
      </c>
      <c r="S440">
        <v>25</v>
      </c>
      <c r="T440" t="s">
        <v>2349</v>
      </c>
      <c r="U440">
        <v>6435</v>
      </c>
      <c r="V440">
        <v>6477</v>
      </c>
      <c r="W440">
        <v>0.99350000000000005</v>
      </c>
      <c r="X440" t="s">
        <v>70</v>
      </c>
      <c r="Y440" t="s">
        <v>2318</v>
      </c>
      <c r="Z440">
        <v>758.73</v>
      </c>
      <c r="AA440">
        <v>19355.18</v>
      </c>
      <c r="AB440">
        <v>14685308</v>
      </c>
      <c r="AC440" t="b">
        <v>1</v>
      </c>
      <c r="AD440" t="b">
        <v>1</v>
      </c>
      <c r="AE440" t="b">
        <v>0</v>
      </c>
      <c r="AF440" t="b">
        <v>0</v>
      </c>
      <c r="AG440" t="s">
        <v>58</v>
      </c>
      <c r="AH440">
        <v>20</v>
      </c>
      <c r="AI440" t="s">
        <v>59</v>
      </c>
      <c r="AJ440" t="s">
        <v>71</v>
      </c>
      <c r="AL440" t="s">
        <v>72</v>
      </c>
      <c r="AM440" t="s">
        <v>62</v>
      </c>
      <c r="AN440" t="s">
        <v>63</v>
      </c>
      <c r="AO440" t="s">
        <v>2319</v>
      </c>
      <c r="AP440" t="s">
        <v>2346</v>
      </c>
    </row>
    <row r="441" spans="1:42" x14ac:dyDescent="0.45">
      <c r="A441" t="s">
        <v>2017</v>
      </c>
      <c r="B441" t="s">
        <v>2018</v>
      </c>
      <c r="C441" t="s">
        <v>2311</v>
      </c>
      <c r="D441">
        <v>2024</v>
      </c>
      <c r="E441" t="s">
        <v>45</v>
      </c>
      <c r="F441" t="s">
        <v>2020</v>
      </c>
      <c r="G441">
        <v>63</v>
      </c>
      <c r="J441" t="s">
        <v>2350</v>
      </c>
      <c r="K441" t="s">
        <v>2351</v>
      </c>
      <c r="L441" t="s">
        <v>2352</v>
      </c>
      <c r="M441" t="s">
        <v>2353</v>
      </c>
      <c r="N441" t="s">
        <v>2025</v>
      </c>
      <c r="O441" t="s">
        <v>2026</v>
      </c>
      <c r="P441" t="s">
        <v>2027</v>
      </c>
      <c r="Q441" t="s">
        <v>2316</v>
      </c>
      <c r="S441">
        <v>17</v>
      </c>
      <c r="T441" t="s">
        <v>2354</v>
      </c>
      <c r="U441">
        <v>6542</v>
      </c>
      <c r="V441">
        <v>6477</v>
      </c>
      <c r="W441">
        <v>1.01</v>
      </c>
      <c r="X441" t="s">
        <v>70</v>
      </c>
      <c r="Y441" t="s">
        <v>2318</v>
      </c>
      <c r="Z441">
        <v>691.71</v>
      </c>
      <c r="AA441">
        <v>7892.7</v>
      </c>
      <c r="AB441">
        <v>5459488</v>
      </c>
      <c r="AC441" t="b">
        <v>1</v>
      </c>
      <c r="AD441" t="b">
        <v>1</v>
      </c>
      <c r="AE441" t="b">
        <v>0</v>
      </c>
      <c r="AF441" t="b">
        <v>0</v>
      </c>
      <c r="AG441" t="s">
        <v>58</v>
      </c>
      <c r="AH441">
        <v>20</v>
      </c>
      <c r="AI441" t="s">
        <v>59</v>
      </c>
      <c r="AJ441" t="s">
        <v>71</v>
      </c>
      <c r="AL441" t="s">
        <v>72</v>
      </c>
      <c r="AM441" t="s">
        <v>62</v>
      </c>
      <c r="AN441" t="s">
        <v>63</v>
      </c>
      <c r="AO441" t="s">
        <v>2319</v>
      </c>
      <c r="AP441" t="s">
        <v>2351</v>
      </c>
    </row>
    <row r="442" spans="1:42" x14ac:dyDescent="0.45">
      <c r="A442" t="s">
        <v>2017</v>
      </c>
      <c r="B442" t="s">
        <v>2018</v>
      </c>
      <c r="C442" t="s">
        <v>2311</v>
      </c>
      <c r="D442">
        <v>2024</v>
      </c>
      <c r="E442" t="s">
        <v>45</v>
      </c>
      <c r="F442" t="s">
        <v>2020</v>
      </c>
      <c r="G442">
        <v>61</v>
      </c>
      <c r="J442" t="s">
        <v>2355</v>
      </c>
      <c r="K442" t="s">
        <v>2356</v>
      </c>
      <c r="L442" t="s">
        <v>2357</v>
      </c>
      <c r="M442" t="s">
        <v>2358</v>
      </c>
      <c r="N442" t="s">
        <v>2025</v>
      </c>
      <c r="O442" t="s">
        <v>2026</v>
      </c>
      <c r="P442" t="s">
        <v>2027</v>
      </c>
      <c r="Q442" t="s">
        <v>2316</v>
      </c>
      <c r="S442">
        <v>19</v>
      </c>
      <c r="T442" t="s">
        <v>2359</v>
      </c>
      <c r="U442">
        <v>6330</v>
      </c>
      <c r="V442">
        <v>6477</v>
      </c>
      <c r="W442">
        <v>0.97729999999999995</v>
      </c>
      <c r="X442" t="s">
        <v>70</v>
      </c>
      <c r="Y442" t="s">
        <v>2318</v>
      </c>
      <c r="Z442">
        <v>709.73</v>
      </c>
      <c r="AA442">
        <v>19546.060000000001</v>
      </c>
      <c r="AB442">
        <v>13872377</v>
      </c>
      <c r="AC442" t="b">
        <v>1</v>
      </c>
      <c r="AD442" t="b">
        <v>1</v>
      </c>
      <c r="AE442" t="b">
        <v>0</v>
      </c>
      <c r="AF442" t="b">
        <v>0</v>
      </c>
      <c r="AG442" t="s">
        <v>58</v>
      </c>
      <c r="AH442">
        <v>20</v>
      </c>
      <c r="AI442" t="s">
        <v>59</v>
      </c>
      <c r="AJ442" t="s">
        <v>71</v>
      </c>
      <c r="AL442" t="s">
        <v>72</v>
      </c>
      <c r="AM442" t="s">
        <v>62</v>
      </c>
      <c r="AN442" t="s">
        <v>63</v>
      </c>
      <c r="AO442" t="s">
        <v>2319</v>
      </c>
      <c r="AP442" t="s">
        <v>2356</v>
      </c>
    </row>
    <row r="443" spans="1:42" x14ac:dyDescent="0.45">
      <c r="A443" t="s">
        <v>2017</v>
      </c>
      <c r="B443" t="s">
        <v>2018</v>
      </c>
      <c r="C443" t="s">
        <v>2311</v>
      </c>
      <c r="D443">
        <v>2024</v>
      </c>
      <c r="E443" t="s">
        <v>45</v>
      </c>
      <c r="F443" t="s">
        <v>2020</v>
      </c>
      <c r="G443">
        <v>66</v>
      </c>
      <c r="J443" t="s">
        <v>2360</v>
      </c>
      <c r="K443" t="s">
        <v>2361</v>
      </c>
      <c r="L443" t="s">
        <v>2362</v>
      </c>
      <c r="M443" t="s">
        <v>2363</v>
      </c>
      <c r="N443" t="s">
        <v>2025</v>
      </c>
      <c r="O443" t="s">
        <v>2026</v>
      </c>
      <c r="P443" t="s">
        <v>2027</v>
      </c>
      <c r="Q443" t="s">
        <v>2316</v>
      </c>
      <c r="S443">
        <v>14</v>
      </c>
      <c r="T443" t="s">
        <v>2364</v>
      </c>
      <c r="U443">
        <v>6755</v>
      </c>
      <c r="V443">
        <v>6477</v>
      </c>
      <c r="W443">
        <v>1.0428999999999999</v>
      </c>
      <c r="X443" t="s">
        <v>70</v>
      </c>
      <c r="Y443" t="s">
        <v>2318</v>
      </c>
      <c r="Z443">
        <v>674.73</v>
      </c>
      <c r="AA443">
        <v>17449.59</v>
      </c>
      <c r="AB443">
        <v>11773721</v>
      </c>
      <c r="AC443" t="b">
        <v>1</v>
      </c>
      <c r="AD443" t="b">
        <v>1</v>
      </c>
      <c r="AE443" t="b">
        <v>0</v>
      </c>
      <c r="AF443" t="b">
        <v>0</v>
      </c>
      <c r="AG443" t="s">
        <v>58</v>
      </c>
      <c r="AH443">
        <v>20</v>
      </c>
      <c r="AI443" t="s">
        <v>59</v>
      </c>
      <c r="AJ443" t="s">
        <v>71</v>
      </c>
      <c r="AL443" t="s">
        <v>72</v>
      </c>
      <c r="AM443" t="s">
        <v>62</v>
      </c>
      <c r="AN443" t="s">
        <v>63</v>
      </c>
      <c r="AO443" t="s">
        <v>2319</v>
      </c>
      <c r="AP443" t="s">
        <v>2361</v>
      </c>
    </row>
    <row r="444" spans="1:42" x14ac:dyDescent="0.45">
      <c r="A444" t="s">
        <v>2017</v>
      </c>
      <c r="B444" t="s">
        <v>2018</v>
      </c>
      <c r="C444" t="s">
        <v>2311</v>
      </c>
      <c r="D444">
        <v>2024</v>
      </c>
      <c r="E444" t="s">
        <v>45</v>
      </c>
      <c r="F444" t="s">
        <v>2020</v>
      </c>
      <c r="G444">
        <v>74</v>
      </c>
      <c r="J444" t="s">
        <v>2365</v>
      </c>
      <c r="K444" t="s">
        <v>2366</v>
      </c>
      <c r="L444" t="s">
        <v>2367</v>
      </c>
      <c r="M444" t="s">
        <v>2368</v>
      </c>
      <c r="N444" t="s">
        <v>2025</v>
      </c>
      <c r="O444" t="s">
        <v>2026</v>
      </c>
      <c r="P444" t="s">
        <v>2027</v>
      </c>
      <c r="Q444" t="s">
        <v>2316</v>
      </c>
      <c r="S444">
        <v>6</v>
      </c>
      <c r="T444" t="s">
        <v>2369</v>
      </c>
      <c r="U444">
        <v>5529</v>
      </c>
      <c r="V444">
        <v>6477</v>
      </c>
      <c r="W444">
        <v>0.85360000000000003</v>
      </c>
      <c r="X444" t="s">
        <v>70</v>
      </c>
      <c r="Y444" t="s">
        <v>2318</v>
      </c>
      <c r="Z444">
        <v>618.73</v>
      </c>
      <c r="AA444">
        <v>14806.61</v>
      </c>
      <c r="AB444">
        <v>9161260</v>
      </c>
      <c r="AC444" t="b">
        <v>1</v>
      </c>
      <c r="AD444" t="b">
        <v>1</v>
      </c>
      <c r="AE444" t="b">
        <v>0</v>
      </c>
      <c r="AF444" t="b">
        <v>0</v>
      </c>
      <c r="AG444" t="s">
        <v>58</v>
      </c>
      <c r="AH444">
        <v>20</v>
      </c>
      <c r="AI444" t="s">
        <v>59</v>
      </c>
      <c r="AJ444" t="s">
        <v>71</v>
      </c>
      <c r="AL444" t="s">
        <v>72</v>
      </c>
      <c r="AM444" t="s">
        <v>62</v>
      </c>
      <c r="AN444" t="s">
        <v>63</v>
      </c>
      <c r="AO444" t="s">
        <v>2319</v>
      </c>
      <c r="AP444" t="s">
        <v>2366</v>
      </c>
    </row>
    <row r="445" spans="1:42" x14ac:dyDescent="0.45">
      <c r="A445" t="s">
        <v>2017</v>
      </c>
      <c r="B445" t="s">
        <v>2018</v>
      </c>
      <c r="C445" t="s">
        <v>2311</v>
      </c>
      <c r="D445">
        <v>2024</v>
      </c>
      <c r="E445" t="s">
        <v>45</v>
      </c>
      <c r="F445" t="s">
        <v>2020</v>
      </c>
      <c r="G445">
        <v>52</v>
      </c>
      <c r="J445" t="s">
        <v>2370</v>
      </c>
      <c r="K445" t="s">
        <v>2371</v>
      </c>
      <c r="L445" t="s">
        <v>2372</v>
      </c>
      <c r="M445" t="s">
        <v>2373</v>
      </c>
      <c r="N445" t="s">
        <v>2025</v>
      </c>
      <c r="O445" t="s">
        <v>2026</v>
      </c>
      <c r="P445" t="s">
        <v>2027</v>
      </c>
      <c r="Q445" t="s">
        <v>2316</v>
      </c>
      <c r="S445">
        <v>28</v>
      </c>
      <c r="T445" t="s">
        <v>2374</v>
      </c>
      <c r="U445">
        <v>5419</v>
      </c>
      <c r="V445">
        <v>6477</v>
      </c>
      <c r="W445">
        <v>0.8367</v>
      </c>
      <c r="X445" t="s">
        <v>70</v>
      </c>
      <c r="Y445" t="s">
        <v>2318</v>
      </c>
      <c r="Z445">
        <v>775.73</v>
      </c>
      <c r="AA445">
        <v>4754.83</v>
      </c>
      <c r="AB445">
        <v>3688482</v>
      </c>
      <c r="AC445" t="b">
        <v>1</v>
      </c>
      <c r="AD445" t="b">
        <v>1</v>
      </c>
      <c r="AE445" t="b">
        <v>0</v>
      </c>
      <c r="AF445" t="b">
        <v>0</v>
      </c>
      <c r="AG445" t="s">
        <v>58</v>
      </c>
      <c r="AH445">
        <v>20</v>
      </c>
      <c r="AI445" t="s">
        <v>59</v>
      </c>
      <c r="AJ445" t="s">
        <v>71</v>
      </c>
      <c r="AL445" t="s">
        <v>72</v>
      </c>
      <c r="AM445" t="s">
        <v>62</v>
      </c>
      <c r="AN445" t="s">
        <v>63</v>
      </c>
      <c r="AO445" t="s">
        <v>2319</v>
      </c>
      <c r="AP445" t="s">
        <v>2371</v>
      </c>
    </row>
    <row r="446" spans="1:42" x14ac:dyDescent="0.45">
      <c r="A446" t="s">
        <v>2017</v>
      </c>
      <c r="B446" t="s">
        <v>2018</v>
      </c>
      <c r="C446" t="s">
        <v>2311</v>
      </c>
      <c r="D446">
        <v>2024</v>
      </c>
      <c r="E446" t="s">
        <v>45</v>
      </c>
      <c r="F446" t="s">
        <v>2020</v>
      </c>
      <c r="G446">
        <v>54</v>
      </c>
      <c r="J446" t="s">
        <v>2375</v>
      </c>
      <c r="K446" t="s">
        <v>2376</v>
      </c>
      <c r="L446" t="s">
        <v>2377</v>
      </c>
      <c r="M446" t="s">
        <v>2378</v>
      </c>
      <c r="N446" t="s">
        <v>2025</v>
      </c>
      <c r="O446" t="s">
        <v>2026</v>
      </c>
      <c r="P446" t="s">
        <v>2027</v>
      </c>
      <c r="Q446" t="s">
        <v>2316</v>
      </c>
      <c r="S446">
        <v>26</v>
      </c>
      <c r="T446" t="s">
        <v>2379</v>
      </c>
      <c r="U446">
        <v>6746</v>
      </c>
      <c r="V446">
        <v>6477</v>
      </c>
      <c r="W446">
        <v>1.0415000000000001</v>
      </c>
      <c r="X446" t="s">
        <v>70</v>
      </c>
      <c r="Y446" t="s">
        <v>2318</v>
      </c>
      <c r="Z446">
        <v>765.73</v>
      </c>
      <c r="AA446">
        <v>17602.5</v>
      </c>
      <c r="AB446">
        <v>13478722</v>
      </c>
      <c r="AC446" t="b">
        <v>1</v>
      </c>
      <c r="AD446" t="b">
        <v>1</v>
      </c>
      <c r="AE446" t="b">
        <v>0</v>
      </c>
      <c r="AF446" t="b">
        <v>0</v>
      </c>
      <c r="AG446" t="s">
        <v>58</v>
      </c>
      <c r="AH446">
        <v>20</v>
      </c>
      <c r="AI446" t="s">
        <v>59</v>
      </c>
      <c r="AJ446" t="s">
        <v>71</v>
      </c>
      <c r="AL446" t="s">
        <v>72</v>
      </c>
      <c r="AM446" t="s">
        <v>62</v>
      </c>
      <c r="AN446" t="s">
        <v>63</v>
      </c>
      <c r="AO446" t="s">
        <v>2319</v>
      </c>
      <c r="AP446" t="s">
        <v>2376</v>
      </c>
    </row>
    <row r="447" spans="1:42" x14ac:dyDescent="0.45">
      <c r="A447" t="s">
        <v>2017</v>
      </c>
      <c r="B447" t="s">
        <v>2018</v>
      </c>
      <c r="C447" t="s">
        <v>2311</v>
      </c>
      <c r="D447">
        <v>2024</v>
      </c>
      <c r="E447" t="s">
        <v>45</v>
      </c>
      <c r="F447" t="s">
        <v>2020</v>
      </c>
      <c r="G447">
        <v>75</v>
      </c>
      <c r="J447" t="s">
        <v>2380</v>
      </c>
      <c r="K447" t="s">
        <v>2381</v>
      </c>
      <c r="L447" t="s">
        <v>2382</v>
      </c>
      <c r="M447" t="s">
        <v>2383</v>
      </c>
      <c r="N447" t="s">
        <v>2025</v>
      </c>
      <c r="O447" t="s">
        <v>2026</v>
      </c>
      <c r="P447" t="s">
        <v>2027</v>
      </c>
      <c r="Q447" t="s">
        <v>2316</v>
      </c>
      <c r="S447">
        <v>5</v>
      </c>
      <c r="T447" t="s">
        <v>2384</v>
      </c>
      <c r="U447">
        <v>5666</v>
      </c>
      <c r="V447">
        <v>6477</v>
      </c>
      <c r="W447">
        <v>0.87480000000000002</v>
      </c>
      <c r="X447" t="s">
        <v>70</v>
      </c>
      <c r="Y447" t="s">
        <v>2318</v>
      </c>
      <c r="Z447">
        <v>607.73</v>
      </c>
      <c r="AA447">
        <v>3141.58</v>
      </c>
      <c r="AB447">
        <v>1909245</v>
      </c>
      <c r="AC447" t="b">
        <v>1</v>
      </c>
      <c r="AD447" t="b">
        <v>1</v>
      </c>
      <c r="AE447" t="b">
        <v>0</v>
      </c>
      <c r="AF447" t="b">
        <v>0</v>
      </c>
      <c r="AG447" t="s">
        <v>58</v>
      </c>
      <c r="AH447">
        <v>20</v>
      </c>
      <c r="AI447" t="s">
        <v>59</v>
      </c>
      <c r="AJ447" t="s">
        <v>71</v>
      </c>
      <c r="AL447" t="s">
        <v>72</v>
      </c>
      <c r="AM447" t="s">
        <v>62</v>
      </c>
      <c r="AN447" t="s">
        <v>63</v>
      </c>
      <c r="AO447" t="s">
        <v>2319</v>
      </c>
      <c r="AP447" t="s">
        <v>2381</v>
      </c>
    </row>
    <row r="448" spans="1:42" x14ac:dyDescent="0.45">
      <c r="A448" t="s">
        <v>2017</v>
      </c>
      <c r="B448" t="s">
        <v>2018</v>
      </c>
      <c r="C448" t="s">
        <v>2311</v>
      </c>
      <c r="D448">
        <v>2024</v>
      </c>
      <c r="E448" t="s">
        <v>45</v>
      </c>
      <c r="F448" t="s">
        <v>2020</v>
      </c>
      <c r="G448">
        <v>59</v>
      </c>
      <c r="J448" t="s">
        <v>2385</v>
      </c>
      <c r="K448" t="s">
        <v>2386</v>
      </c>
      <c r="L448" t="s">
        <v>2387</v>
      </c>
      <c r="M448" t="s">
        <v>2388</v>
      </c>
      <c r="N448" t="s">
        <v>2025</v>
      </c>
      <c r="O448" t="s">
        <v>2026</v>
      </c>
      <c r="P448" t="s">
        <v>2027</v>
      </c>
      <c r="Q448" t="s">
        <v>2316</v>
      </c>
      <c r="S448">
        <v>21</v>
      </c>
      <c r="T448" t="s">
        <v>2389</v>
      </c>
      <c r="U448">
        <v>7405</v>
      </c>
      <c r="V448">
        <v>6477</v>
      </c>
      <c r="W448">
        <v>1.1433</v>
      </c>
      <c r="X448" t="s">
        <v>70</v>
      </c>
      <c r="Y448" t="s">
        <v>2318</v>
      </c>
      <c r="Z448">
        <v>723.73</v>
      </c>
      <c r="AA448">
        <v>17736.080000000002</v>
      </c>
      <c r="AB448">
        <v>12836087</v>
      </c>
      <c r="AC448" t="b">
        <v>1</v>
      </c>
      <c r="AD448" t="b">
        <v>1</v>
      </c>
      <c r="AE448" t="b">
        <v>0</v>
      </c>
      <c r="AF448" t="b">
        <v>0</v>
      </c>
      <c r="AG448" t="s">
        <v>58</v>
      </c>
      <c r="AH448">
        <v>20</v>
      </c>
      <c r="AI448" t="s">
        <v>59</v>
      </c>
      <c r="AJ448" t="s">
        <v>71</v>
      </c>
      <c r="AL448" t="s">
        <v>72</v>
      </c>
      <c r="AM448" t="s">
        <v>62</v>
      </c>
      <c r="AN448" t="s">
        <v>63</v>
      </c>
      <c r="AO448" t="s">
        <v>2319</v>
      </c>
      <c r="AP448" t="s">
        <v>2386</v>
      </c>
    </row>
    <row r="449" spans="1:42" x14ac:dyDescent="0.45">
      <c r="A449" t="s">
        <v>2017</v>
      </c>
      <c r="B449" t="s">
        <v>2018</v>
      </c>
      <c r="C449" t="s">
        <v>2311</v>
      </c>
      <c r="D449">
        <v>2024</v>
      </c>
      <c r="E449" t="s">
        <v>45</v>
      </c>
      <c r="F449" t="s">
        <v>2020</v>
      </c>
      <c r="G449">
        <v>76</v>
      </c>
      <c r="J449" t="s">
        <v>2390</v>
      </c>
      <c r="K449" t="s">
        <v>2391</v>
      </c>
      <c r="L449" t="s">
        <v>2392</v>
      </c>
      <c r="M449" t="s">
        <v>2393</v>
      </c>
      <c r="N449" t="s">
        <v>2025</v>
      </c>
      <c r="O449" t="s">
        <v>2026</v>
      </c>
      <c r="P449" t="s">
        <v>2027</v>
      </c>
      <c r="Q449" t="s">
        <v>2316</v>
      </c>
      <c r="S449">
        <v>4</v>
      </c>
      <c r="T449" t="s">
        <v>2394</v>
      </c>
      <c r="U449">
        <v>5869</v>
      </c>
      <c r="V449">
        <v>6477</v>
      </c>
      <c r="W449">
        <v>0.90610000000000002</v>
      </c>
      <c r="X449" t="s">
        <v>70</v>
      </c>
      <c r="Y449" t="s">
        <v>2318</v>
      </c>
      <c r="Z449">
        <v>600.73</v>
      </c>
      <c r="AA449">
        <v>3091.09</v>
      </c>
      <c r="AB449">
        <v>1856925</v>
      </c>
      <c r="AC449" t="b">
        <v>1</v>
      </c>
      <c r="AD449" t="b">
        <v>1</v>
      </c>
      <c r="AE449" t="b">
        <v>0</v>
      </c>
      <c r="AF449" t="b">
        <v>0</v>
      </c>
      <c r="AG449" t="s">
        <v>58</v>
      </c>
      <c r="AH449">
        <v>20</v>
      </c>
      <c r="AI449" t="s">
        <v>59</v>
      </c>
      <c r="AJ449" t="s">
        <v>71</v>
      </c>
      <c r="AL449" t="s">
        <v>72</v>
      </c>
      <c r="AM449" t="s">
        <v>62</v>
      </c>
      <c r="AN449" t="s">
        <v>63</v>
      </c>
      <c r="AO449" t="s">
        <v>2319</v>
      </c>
      <c r="AP449" t="s">
        <v>2391</v>
      </c>
    </row>
    <row r="450" spans="1:42" x14ac:dyDescent="0.45">
      <c r="A450" t="s">
        <v>2017</v>
      </c>
      <c r="B450" t="s">
        <v>2018</v>
      </c>
      <c r="C450" t="s">
        <v>2311</v>
      </c>
      <c r="D450">
        <v>2024</v>
      </c>
      <c r="E450" t="s">
        <v>45</v>
      </c>
      <c r="F450" t="s">
        <v>2020</v>
      </c>
      <c r="G450">
        <v>78</v>
      </c>
      <c r="J450" t="s">
        <v>2395</v>
      </c>
      <c r="K450" t="s">
        <v>2396</v>
      </c>
      <c r="L450" t="s">
        <v>2397</v>
      </c>
      <c r="M450" t="s">
        <v>2398</v>
      </c>
      <c r="N450" t="s">
        <v>2025</v>
      </c>
      <c r="O450" t="s">
        <v>2026</v>
      </c>
      <c r="P450" t="s">
        <v>2027</v>
      </c>
      <c r="Q450" t="s">
        <v>2316</v>
      </c>
      <c r="S450">
        <v>2</v>
      </c>
      <c r="T450" t="s">
        <v>2399</v>
      </c>
      <c r="U450">
        <v>6072</v>
      </c>
      <c r="V450">
        <v>6477</v>
      </c>
      <c r="W450">
        <v>0.9375</v>
      </c>
      <c r="X450" t="s">
        <v>70</v>
      </c>
      <c r="Y450" t="s">
        <v>2318</v>
      </c>
      <c r="Z450">
        <v>590.73</v>
      </c>
      <c r="AA450">
        <v>15831.19</v>
      </c>
      <c r="AB450">
        <v>9351921</v>
      </c>
      <c r="AC450" t="b">
        <v>1</v>
      </c>
      <c r="AD450" t="b">
        <v>1</v>
      </c>
      <c r="AE450" t="b">
        <v>0</v>
      </c>
      <c r="AF450" t="b">
        <v>0</v>
      </c>
      <c r="AG450" t="s">
        <v>58</v>
      </c>
      <c r="AH450">
        <v>20</v>
      </c>
      <c r="AI450" t="s">
        <v>59</v>
      </c>
      <c r="AJ450" t="s">
        <v>71</v>
      </c>
      <c r="AL450" t="s">
        <v>72</v>
      </c>
      <c r="AM450" t="s">
        <v>62</v>
      </c>
      <c r="AN450" t="s">
        <v>63</v>
      </c>
      <c r="AO450" t="s">
        <v>2319</v>
      </c>
      <c r="AP450" t="s">
        <v>2396</v>
      </c>
    </row>
    <row r="451" spans="1:42" x14ac:dyDescent="0.45">
      <c r="A451" t="s">
        <v>2017</v>
      </c>
      <c r="B451" t="s">
        <v>2018</v>
      </c>
      <c r="C451" t="s">
        <v>2311</v>
      </c>
      <c r="D451">
        <v>2024</v>
      </c>
      <c r="E451" t="s">
        <v>45</v>
      </c>
      <c r="F451" t="s">
        <v>2020</v>
      </c>
      <c r="G451">
        <v>77</v>
      </c>
      <c r="J451" t="s">
        <v>2400</v>
      </c>
      <c r="K451" t="s">
        <v>2401</v>
      </c>
      <c r="L451" t="s">
        <v>2402</v>
      </c>
      <c r="M451" t="s">
        <v>2403</v>
      </c>
      <c r="N451" t="s">
        <v>2025</v>
      </c>
      <c r="O451" t="s">
        <v>2026</v>
      </c>
      <c r="P451" t="s">
        <v>2027</v>
      </c>
      <c r="Q451" t="s">
        <v>2316</v>
      </c>
      <c r="S451">
        <v>3</v>
      </c>
      <c r="T451" t="s">
        <v>2404</v>
      </c>
      <c r="U451">
        <v>6418</v>
      </c>
      <c r="V451">
        <v>6477</v>
      </c>
      <c r="W451">
        <v>0.9909</v>
      </c>
      <c r="X451" t="s">
        <v>70</v>
      </c>
      <c r="Y451" t="s">
        <v>2318</v>
      </c>
      <c r="Z451">
        <v>593.73</v>
      </c>
      <c r="AA451">
        <v>2269.69</v>
      </c>
      <c r="AB451">
        <v>1347593</v>
      </c>
      <c r="AC451" t="b">
        <v>1</v>
      </c>
      <c r="AD451" t="b">
        <v>1</v>
      </c>
      <c r="AE451" t="b">
        <v>0</v>
      </c>
      <c r="AF451" t="b">
        <v>0</v>
      </c>
      <c r="AG451" t="s">
        <v>58</v>
      </c>
      <c r="AH451">
        <v>20</v>
      </c>
      <c r="AI451" t="s">
        <v>59</v>
      </c>
      <c r="AJ451" t="s">
        <v>71</v>
      </c>
      <c r="AL451" t="s">
        <v>72</v>
      </c>
      <c r="AM451" t="s">
        <v>62</v>
      </c>
      <c r="AN451" t="s">
        <v>63</v>
      </c>
      <c r="AO451" t="s">
        <v>2319</v>
      </c>
      <c r="AP451" t="s">
        <v>2401</v>
      </c>
    </row>
    <row r="452" spans="1:42" x14ac:dyDescent="0.45">
      <c r="A452" t="s">
        <v>2017</v>
      </c>
      <c r="B452" t="s">
        <v>2018</v>
      </c>
      <c r="C452" t="s">
        <v>2311</v>
      </c>
      <c r="D452">
        <v>2024</v>
      </c>
      <c r="E452" t="s">
        <v>45</v>
      </c>
      <c r="F452" t="s">
        <v>2020</v>
      </c>
      <c r="G452">
        <v>53</v>
      </c>
      <c r="J452" t="s">
        <v>2405</v>
      </c>
      <c r="K452" t="s">
        <v>2406</v>
      </c>
      <c r="L452" t="s">
        <v>2407</v>
      </c>
      <c r="M452" t="s">
        <v>2408</v>
      </c>
      <c r="N452" t="s">
        <v>2025</v>
      </c>
      <c r="O452" t="s">
        <v>2026</v>
      </c>
      <c r="P452" t="s">
        <v>2027</v>
      </c>
      <c r="Q452" t="s">
        <v>2316</v>
      </c>
      <c r="S452">
        <v>27</v>
      </c>
      <c r="T452" t="s">
        <v>2409</v>
      </c>
      <c r="U452">
        <v>6682</v>
      </c>
      <c r="V452">
        <v>6477</v>
      </c>
      <c r="W452">
        <v>1.0317000000000001</v>
      </c>
      <c r="X452" t="s">
        <v>70</v>
      </c>
      <c r="Y452" t="s">
        <v>2318</v>
      </c>
      <c r="Z452">
        <v>768.73</v>
      </c>
      <c r="AA452">
        <v>5387.06</v>
      </c>
      <c r="AB452">
        <v>4141215</v>
      </c>
      <c r="AC452" t="b">
        <v>1</v>
      </c>
      <c r="AD452" t="b">
        <v>1</v>
      </c>
      <c r="AE452" t="b">
        <v>0</v>
      </c>
      <c r="AF452" t="b">
        <v>0</v>
      </c>
      <c r="AG452" t="s">
        <v>58</v>
      </c>
      <c r="AH452">
        <v>20</v>
      </c>
      <c r="AI452" t="s">
        <v>59</v>
      </c>
      <c r="AJ452" t="s">
        <v>71</v>
      </c>
      <c r="AL452" t="s">
        <v>72</v>
      </c>
      <c r="AM452" t="s">
        <v>62</v>
      </c>
      <c r="AN452" t="s">
        <v>63</v>
      </c>
      <c r="AO452" t="s">
        <v>2319</v>
      </c>
      <c r="AP452" t="s">
        <v>2406</v>
      </c>
    </row>
    <row r="453" spans="1:42" x14ac:dyDescent="0.45">
      <c r="A453" t="s">
        <v>2017</v>
      </c>
      <c r="B453" t="s">
        <v>2018</v>
      </c>
      <c r="C453" t="s">
        <v>2311</v>
      </c>
      <c r="D453">
        <v>2024</v>
      </c>
      <c r="E453" t="s">
        <v>45</v>
      </c>
      <c r="F453" t="s">
        <v>2020</v>
      </c>
      <c r="G453">
        <v>68</v>
      </c>
      <c r="J453" t="s">
        <v>2410</v>
      </c>
      <c r="K453" t="s">
        <v>2411</v>
      </c>
      <c r="L453" t="s">
        <v>2412</v>
      </c>
      <c r="M453" t="s">
        <v>2413</v>
      </c>
      <c r="N453" t="s">
        <v>2025</v>
      </c>
      <c r="O453" t="s">
        <v>2026</v>
      </c>
      <c r="P453" t="s">
        <v>2027</v>
      </c>
      <c r="Q453" t="s">
        <v>2316</v>
      </c>
      <c r="S453">
        <v>12</v>
      </c>
      <c r="T453" t="s">
        <v>2414</v>
      </c>
      <c r="U453">
        <v>5262</v>
      </c>
      <c r="V453">
        <v>6477</v>
      </c>
      <c r="W453">
        <v>0.81240000000000001</v>
      </c>
      <c r="X453" t="s">
        <v>70</v>
      </c>
      <c r="Y453" t="s">
        <v>2318</v>
      </c>
      <c r="Z453">
        <v>660.73</v>
      </c>
      <c r="AA453">
        <v>13489.99</v>
      </c>
      <c r="AB453">
        <v>8913205</v>
      </c>
      <c r="AC453" t="b">
        <v>1</v>
      </c>
      <c r="AD453" t="b">
        <v>1</v>
      </c>
      <c r="AE453" t="b">
        <v>0</v>
      </c>
      <c r="AF453" t="b">
        <v>0</v>
      </c>
      <c r="AG453" t="s">
        <v>58</v>
      </c>
      <c r="AH453">
        <v>20</v>
      </c>
      <c r="AI453" t="s">
        <v>59</v>
      </c>
      <c r="AJ453" t="s">
        <v>71</v>
      </c>
      <c r="AL453" t="s">
        <v>72</v>
      </c>
      <c r="AM453" t="s">
        <v>62</v>
      </c>
      <c r="AN453" t="s">
        <v>63</v>
      </c>
      <c r="AO453" t="s">
        <v>2319</v>
      </c>
      <c r="AP453" t="s">
        <v>2411</v>
      </c>
    </row>
    <row r="454" spans="1:42" x14ac:dyDescent="0.45">
      <c r="A454" t="s">
        <v>2017</v>
      </c>
      <c r="B454" t="s">
        <v>2018</v>
      </c>
      <c r="C454" t="s">
        <v>2311</v>
      </c>
      <c r="D454">
        <v>2024</v>
      </c>
      <c r="E454" t="s">
        <v>45</v>
      </c>
      <c r="F454" t="s">
        <v>2020</v>
      </c>
      <c r="G454">
        <v>60</v>
      </c>
      <c r="J454" t="s">
        <v>2415</v>
      </c>
      <c r="K454" t="s">
        <v>2416</v>
      </c>
      <c r="L454" t="s">
        <v>2417</v>
      </c>
      <c r="M454" t="s">
        <v>2418</v>
      </c>
      <c r="N454" t="s">
        <v>2025</v>
      </c>
      <c r="O454" t="s">
        <v>2026</v>
      </c>
      <c r="P454" t="s">
        <v>2027</v>
      </c>
      <c r="Q454" t="s">
        <v>2316</v>
      </c>
      <c r="S454">
        <v>20</v>
      </c>
      <c r="T454" t="s">
        <v>2419</v>
      </c>
      <c r="U454">
        <v>7092</v>
      </c>
      <c r="V454">
        <v>6477</v>
      </c>
      <c r="W454">
        <v>1.095</v>
      </c>
      <c r="X454" t="s">
        <v>70</v>
      </c>
      <c r="Y454" t="s">
        <v>2318</v>
      </c>
      <c r="Z454">
        <v>716.73</v>
      </c>
      <c r="AA454">
        <v>16376.62</v>
      </c>
      <c r="AB454">
        <v>11737574</v>
      </c>
      <c r="AC454" t="b">
        <v>1</v>
      </c>
      <c r="AD454" t="b">
        <v>1</v>
      </c>
      <c r="AE454" t="b">
        <v>0</v>
      </c>
      <c r="AF454" t="b">
        <v>0</v>
      </c>
      <c r="AG454" t="s">
        <v>58</v>
      </c>
      <c r="AH454">
        <v>20</v>
      </c>
      <c r="AI454" t="s">
        <v>59</v>
      </c>
      <c r="AJ454" t="s">
        <v>71</v>
      </c>
      <c r="AL454" t="s">
        <v>72</v>
      </c>
      <c r="AM454" t="s">
        <v>62</v>
      </c>
      <c r="AN454" t="s">
        <v>63</v>
      </c>
      <c r="AO454" t="s">
        <v>2319</v>
      </c>
      <c r="AP454" t="s">
        <v>2416</v>
      </c>
    </row>
    <row r="455" spans="1:42" x14ac:dyDescent="0.45">
      <c r="A455" t="s">
        <v>2017</v>
      </c>
      <c r="B455" t="s">
        <v>2018</v>
      </c>
      <c r="C455" t="s">
        <v>2311</v>
      </c>
      <c r="D455">
        <v>2024</v>
      </c>
      <c r="E455" t="s">
        <v>45</v>
      </c>
      <c r="F455" t="s">
        <v>2020</v>
      </c>
      <c r="G455">
        <v>79</v>
      </c>
      <c r="J455" t="s">
        <v>2420</v>
      </c>
      <c r="K455" t="s">
        <v>2421</v>
      </c>
      <c r="L455" t="s">
        <v>2422</v>
      </c>
      <c r="M455" t="s">
        <v>2423</v>
      </c>
      <c r="N455" t="s">
        <v>2025</v>
      </c>
      <c r="O455" t="s">
        <v>2026</v>
      </c>
      <c r="P455" t="s">
        <v>2027</v>
      </c>
      <c r="Q455" t="s">
        <v>2316</v>
      </c>
      <c r="S455">
        <v>1</v>
      </c>
      <c r="T455" t="s">
        <v>2424</v>
      </c>
      <c r="U455">
        <v>6208</v>
      </c>
      <c r="V455">
        <v>6477</v>
      </c>
      <c r="W455">
        <v>0.95850000000000002</v>
      </c>
      <c r="X455" t="s">
        <v>70</v>
      </c>
      <c r="Y455" t="s">
        <v>2318</v>
      </c>
      <c r="Z455">
        <v>583.73</v>
      </c>
      <c r="AA455">
        <v>13120.7</v>
      </c>
      <c r="AB455">
        <v>7658916</v>
      </c>
      <c r="AC455" t="b">
        <v>1</v>
      </c>
      <c r="AD455" t="b">
        <v>1</v>
      </c>
      <c r="AE455" t="b">
        <v>0</v>
      </c>
      <c r="AF455" t="b">
        <v>0</v>
      </c>
      <c r="AG455" t="s">
        <v>58</v>
      </c>
      <c r="AH455">
        <v>20</v>
      </c>
      <c r="AI455" t="s">
        <v>59</v>
      </c>
      <c r="AJ455" t="s">
        <v>71</v>
      </c>
      <c r="AL455" t="s">
        <v>72</v>
      </c>
      <c r="AM455" t="s">
        <v>62</v>
      </c>
      <c r="AN455" t="s">
        <v>63</v>
      </c>
      <c r="AO455" t="s">
        <v>2319</v>
      </c>
      <c r="AP455" t="s">
        <v>2421</v>
      </c>
    </row>
    <row r="456" spans="1:42" x14ac:dyDescent="0.45">
      <c r="A456" t="s">
        <v>2017</v>
      </c>
      <c r="B456" t="s">
        <v>2018</v>
      </c>
      <c r="C456" t="s">
        <v>2311</v>
      </c>
      <c r="D456">
        <v>2024</v>
      </c>
      <c r="E456" t="s">
        <v>45</v>
      </c>
      <c r="F456" t="s">
        <v>2020</v>
      </c>
      <c r="G456">
        <v>80</v>
      </c>
      <c r="J456" t="s">
        <v>2425</v>
      </c>
      <c r="K456" t="s">
        <v>2426</v>
      </c>
      <c r="L456" t="s">
        <v>2427</v>
      </c>
      <c r="M456" t="s">
        <v>2428</v>
      </c>
      <c r="N456" t="s">
        <v>2025</v>
      </c>
      <c r="O456" t="s">
        <v>2026</v>
      </c>
      <c r="P456" t="s">
        <v>2027</v>
      </c>
      <c r="Q456" t="s">
        <v>2316</v>
      </c>
      <c r="S456">
        <v>0</v>
      </c>
      <c r="T456" t="s">
        <v>2429</v>
      </c>
      <c r="U456">
        <v>5492</v>
      </c>
      <c r="V456">
        <v>6477</v>
      </c>
      <c r="W456">
        <v>0.84789999999999999</v>
      </c>
      <c r="X456" t="s">
        <v>70</v>
      </c>
      <c r="Y456" t="s">
        <v>2318</v>
      </c>
      <c r="Z456">
        <v>576.73</v>
      </c>
      <c r="AA456">
        <v>11655.67</v>
      </c>
      <c r="AB456">
        <v>6722147</v>
      </c>
      <c r="AC456" t="b">
        <v>1</v>
      </c>
      <c r="AD456" t="b">
        <v>1</v>
      </c>
      <c r="AE456" t="b">
        <v>0</v>
      </c>
      <c r="AF456" t="b">
        <v>0</v>
      </c>
      <c r="AG456" t="s">
        <v>58</v>
      </c>
      <c r="AH456">
        <v>20</v>
      </c>
      <c r="AI456" t="s">
        <v>59</v>
      </c>
      <c r="AJ456" t="s">
        <v>71</v>
      </c>
      <c r="AL456" t="s">
        <v>72</v>
      </c>
      <c r="AM456" t="s">
        <v>62</v>
      </c>
      <c r="AN456" t="s">
        <v>63</v>
      </c>
      <c r="AO456" t="s">
        <v>2319</v>
      </c>
      <c r="AP456" t="s">
        <v>2426</v>
      </c>
    </row>
    <row r="457" spans="1:42" x14ac:dyDescent="0.45">
      <c r="A457" t="s">
        <v>2017</v>
      </c>
      <c r="B457" t="s">
        <v>2018</v>
      </c>
      <c r="C457" t="s">
        <v>2311</v>
      </c>
      <c r="D457">
        <v>2024</v>
      </c>
      <c r="E457" t="s">
        <v>45</v>
      </c>
      <c r="F457" t="s">
        <v>2020</v>
      </c>
      <c r="G457">
        <v>71</v>
      </c>
      <c r="J457" t="s">
        <v>2430</v>
      </c>
      <c r="K457" t="s">
        <v>2431</v>
      </c>
      <c r="L457" t="s">
        <v>2432</v>
      </c>
      <c r="M457" t="s">
        <v>2433</v>
      </c>
      <c r="N457" t="s">
        <v>2025</v>
      </c>
      <c r="O457" t="s">
        <v>2026</v>
      </c>
      <c r="P457" t="s">
        <v>2027</v>
      </c>
      <c r="Q457" t="s">
        <v>2316</v>
      </c>
      <c r="S457">
        <v>9</v>
      </c>
      <c r="T457" t="s">
        <v>2434</v>
      </c>
      <c r="U457">
        <v>6708</v>
      </c>
      <c r="V457">
        <v>6477</v>
      </c>
      <c r="W457">
        <v>1.0357000000000001</v>
      </c>
      <c r="X457" t="s">
        <v>70</v>
      </c>
      <c r="Y457" t="s">
        <v>2318</v>
      </c>
      <c r="Z457">
        <v>639.73</v>
      </c>
      <c r="AA457">
        <v>23556.25</v>
      </c>
      <c r="AB457">
        <v>15069580</v>
      </c>
      <c r="AC457" t="b">
        <v>1</v>
      </c>
      <c r="AD457" t="b">
        <v>1</v>
      </c>
      <c r="AE457" t="b">
        <v>0</v>
      </c>
      <c r="AF457" t="b">
        <v>0</v>
      </c>
      <c r="AG457" t="s">
        <v>58</v>
      </c>
      <c r="AH457">
        <v>20</v>
      </c>
      <c r="AI457" t="s">
        <v>59</v>
      </c>
      <c r="AJ457" t="s">
        <v>71</v>
      </c>
      <c r="AL457" t="s">
        <v>72</v>
      </c>
      <c r="AM457" t="s">
        <v>62</v>
      </c>
      <c r="AN457" t="s">
        <v>63</v>
      </c>
      <c r="AO457" t="s">
        <v>2319</v>
      </c>
      <c r="AP457" t="s">
        <v>2431</v>
      </c>
    </row>
    <row r="458" spans="1:42" x14ac:dyDescent="0.45">
      <c r="A458" t="s">
        <v>2017</v>
      </c>
      <c r="B458" t="s">
        <v>2018</v>
      </c>
      <c r="C458" t="s">
        <v>2311</v>
      </c>
      <c r="D458">
        <v>2024</v>
      </c>
      <c r="E458" t="s">
        <v>45</v>
      </c>
      <c r="F458" t="s">
        <v>2020</v>
      </c>
      <c r="G458">
        <v>57</v>
      </c>
      <c r="J458" t="s">
        <v>2435</v>
      </c>
      <c r="K458" t="s">
        <v>2436</v>
      </c>
      <c r="L458" t="s">
        <v>2437</v>
      </c>
      <c r="M458" t="s">
        <v>2438</v>
      </c>
      <c r="N458" t="s">
        <v>2025</v>
      </c>
      <c r="O458" t="s">
        <v>2026</v>
      </c>
      <c r="P458" t="s">
        <v>2027</v>
      </c>
      <c r="Q458" t="s">
        <v>2316</v>
      </c>
      <c r="S458">
        <v>23</v>
      </c>
      <c r="T458" t="s">
        <v>2439</v>
      </c>
      <c r="U458">
        <v>6519</v>
      </c>
      <c r="V458">
        <v>6477</v>
      </c>
      <c r="W458">
        <v>1.0065</v>
      </c>
      <c r="X458" t="s">
        <v>70</v>
      </c>
      <c r="Y458" t="s">
        <v>2318</v>
      </c>
      <c r="Z458">
        <v>733.73</v>
      </c>
      <c r="AA458">
        <v>1995.23</v>
      </c>
      <c r="AB458">
        <v>1463969</v>
      </c>
      <c r="AC458" t="b">
        <v>1</v>
      </c>
      <c r="AD458" t="b">
        <v>1</v>
      </c>
      <c r="AE458" t="b">
        <v>0</v>
      </c>
      <c r="AF458" t="b">
        <v>0</v>
      </c>
      <c r="AG458" t="s">
        <v>58</v>
      </c>
      <c r="AH458">
        <v>20</v>
      </c>
      <c r="AI458" t="s">
        <v>59</v>
      </c>
      <c r="AJ458" t="s">
        <v>71</v>
      </c>
      <c r="AL458" t="s">
        <v>72</v>
      </c>
      <c r="AM458" t="s">
        <v>62</v>
      </c>
      <c r="AN458" t="s">
        <v>63</v>
      </c>
      <c r="AO458" t="s">
        <v>2319</v>
      </c>
      <c r="AP458" t="s">
        <v>2436</v>
      </c>
    </row>
    <row r="459" spans="1:42" x14ac:dyDescent="0.45">
      <c r="A459" t="s">
        <v>2017</v>
      </c>
      <c r="B459" t="s">
        <v>2018</v>
      </c>
      <c r="C459" t="s">
        <v>2311</v>
      </c>
      <c r="D459">
        <v>2024</v>
      </c>
      <c r="E459" t="s">
        <v>45</v>
      </c>
      <c r="F459" t="s">
        <v>2020</v>
      </c>
      <c r="G459">
        <v>58</v>
      </c>
      <c r="J459" t="s">
        <v>2440</v>
      </c>
      <c r="K459" t="s">
        <v>2441</v>
      </c>
      <c r="L459" t="s">
        <v>2442</v>
      </c>
      <c r="M459" t="s">
        <v>2443</v>
      </c>
      <c r="N459" t="s">
        <v>2025</v>
      </c>
      <c r="O459" t="s">
        <v>2026</v>
      </c>
      <c r="P459" t="s">
        <v>2027</v>
      </c>
      <c r="Q459" t="s">
        <v>2316</v>
      </c>
      <c r="S459">
        <v>22</v>
      </c>
      <c r="T459" t="s">
        <v>2444</v>
      </c>
      <c r="U459">
        <v>7490</v>
      </c>
      <c r="V459">
        <v>6477</v>
      </c>
      <c r="W459">
        <v>1.1564000000000001</v>
      </c>
      <c r="X459" t="s">
        <v>70</v>
      </c>
      <c r="Y459" t="s">
        <v>2318</v>
      </c>
      <c r="Z459">
        <v>726.73</v>
      </c>
      <c r="AA459">
        <v>3104.97</v>
      </c>
      <c r="AB459">
        <v>2256487</v>
      </c>
      <c r="AC459" t="b">
        <v>1</v>
      </c>
      <c r="AD459" t="b">
        <v>1</v>
      </c>
      <c r="AE459" t="b">
        <v>0</v>
      </c>
      <c r="AF459" t="b">
        <v>0</v>
      </c>
      <c r="AG459" t="s">
        <v>58</v>
      </c>
      <c r="AH459">
        <v>20</v>
      </c>
      <c r="AI459" t="s">
        <v>59</v>
      </c>
      <c r="AJ459" t="s">
        <v>71</v>
      </c>
      <c r="AL459" t="s">
        <v>72</v>
      </c>
      <c r="AM459" t="s">
        <v>62</v>
      </c>
      <c r="AN459" t="s">
        <v>63</v>
      </c>
      <c r="AO459" t="s">
        <v>2319</v>
      </c>
      <c r="AP459" t="s">
        <v>2441</v>
      </c>
    </row>
    <row r="460" spans="1:42" x14ac:dyDescent="0.45">
      <c r="A460" t="s">
        <v>2017</v>
      </c>
      <c r="B460" t="s">
        <v>2018</v>
      </c>
      <c r="C460" t="s">
        <v>2311</v>
      </c>
      <c r="D460">
        <v>2024</v>
      </c>
      <c r="E460" t="s">
        <v>45</v>
      </c>
      <c r="F460" t="s">
        <v>2020</v>
      </c>
      <c r="G460">
        <v>70</v>
      </c>
      <c r="J460" t="s">
        <v>2445</v>
      </c>
      <c r="K460" t="s">
        <v>2446</v>
      </c>
      <c r="L460" t="s">
        <v>2447</v>
      </c>
      <c r="M460" t="s">
        <v>2448</v>
      </c>
      <c r="N460" t="s">
        <v>2025</v>
      </c>
      <c r="O460" t="s">
        <v>2026</v>
      </c>
      <c r="P460" t="s">
        <v>2027</v>
      </c>
      <c r="Q460" t="s">
        <v>2316</v>
      </c>
      <c r="S460">
        <v>10</v>
      </c>
      <c r="T460" t="s">
        <v>2449</v>
      </c>
      <c r="U460">
        <v>7719</v>
      </c>
      <c r="V460">
        <v>6477</v>
      </c>
      <c r="W460">
        <v>1.1918</v>
      </c>
      <c r="X460" t="s">
        <v>70</v>
      </c>
      <c r="Y460" t="s">
        <v>2318</v>
      </c>
      <c r="Z460">
        <v>642.73</v>
      </c>
      <c r="AA460">
        <v>6459.55</v>
      </c>
      <c r="AB460">
        <v>4151773</v>
      </c>
      <c r="AC460" t="b">
        <v>1</v>
      </c>
      <c r="AD460" t="b">
        <v>1</v>
      </c>
      <c r="AE460" t="b">
        <v>0</v>
      </c>
      <c r="AF460" t="b">
        <v>0</v>
      </c>
      <c r="AG460" t="s">
        <v>58</v>
      </c>
      <c r="AH460">
        <v>20</v>
      </c>
      <c r="AI460" t="s">
        <v>59</v>
      </c>
      <c r="AJ460" t="s">
        <v>71</v>
      </c>
      <c r="AL460" t="s">
        <v>72</v>
      </c>
      <c r="AM460" t="s">
        <v>62</v>
      </c>
      <c r="AN460" t="s">
        <v>63</v>
      </c>
      <c r="AO460" t="s">
        <v>2319</v>
      </c>
      <c r="AP460" t="s">
        <v>2446</v>
      </c>
    </row>
    <row r="461" spans="1:42" x14ac:dyDescent="0.45">
      <c r="A461" t="s">
        <v>2017</v>
      </c>
      <c r="B461" t="s">
        <v>2018</v>
      </c>
      <c r="C461" t="s">
        <v>2311</v>
      </c>
      <c r="D461">
        <v>2024</v>
      </c>
      <c r="E461" t="s">
        <v>45</v>
      </c>
      <c r="F461" t="s">
        <v>2020</v>
      </c>
      <c r="G461">
        <v>51</v>
      </c>
      <c r="J461" t="s">
        <v>2450</v>
      </c>
      <c r="K461" t="s">
        <v>2451</v>
      </c>
      <c r="L461" t="s">
        <v>2452</v>
      </c>
      <c r="M461" t="s">
        <v>2453</v>
      </c>
      <c r="N461" t="s">
        <v>2025</v>
      </c>
      <c r="O461" t="s">
        <v>2026</v>
      </c>
      <c r="P461" t="s">
        <v>2027</v>
      </c>
      <c r="Q461" t="s">
        <v>2316</v>
      </c>
      <c r="S461">
        <v>29</v>
      </c>
      <c r="T461" t="s">
        <v>2454</v>
      </c>
      <c r="U461">
        <v>5373</v>
      </c>
      <c r="V461">
        <v>6477</v>
      </c>
      <c r="W461">
        <v>0.8296</v>
      </c>
      <c r="X461" t="s">
        <v>70</v>
      </c>
      <c r="Y461" t="s">
        <v>2318</v>
      </c>
      <c r="Z461">
        <v>782.73</v>
      </c>
      <c r="AA461">
        <v>2670.67</v>
      </c>
      <c r="AB461">
        <v>2090429</v>
      </c>
      <c r="AC461" t="b">
        <v>1</v>
      </c>
      <c r="AD461" t="b">
        <v>1</v>
      </c>
      <c r="AE461" t="b">
        <v>0</v>
      </c>
      <c r="AF461" t="b">
        <v>0</v>
      </c>
      <c r="AG461" t="s">
        <v>58</v>
      </c>
      <c r="AH461">
        <v>20</v>
      </c>
      <c r="AI461" t="s">
        <v>59</v>
      </c>
      <c r="AJ461" t="s">
        <v>71</v>
      </c>
      <c r="AL461" t="s">
        <v>72</v>
      </c>
      <c r="AM461" t="s">
        <v>62</v>
      </c>
      <c r="AN461" t="s">
        <v>63</v>
      </c>
      <c r="AO461" t="s">
        <v>2319</v>
      </c>
      <c r="AP461" t="s">
        <v>2451</v>
      </c>
    </row>
    <row r="462" spans="1:42" x14ac:dyDescent="0.45">
      <c r="A462" t="s">
        <v>2017</v>
      </c>
      <c r="B462" t="s">
        <v>2018</v>
      </c>
      <c r="C462" t="s">
        <v>2311</v>
      </c>
      <c r="D462">
        <v>2024</v>
      </c>
      <c r="E462" t="s">
        <v>45</v>
      </c>
      <c r="F462" t="s">
        <v>2020</v>
      </c>
      <c r="G462">
        <v>56</v>
      </c>
      <c r="J462" t="s">
        <v>2455</v>
      </c>
      <c r="K462" t="s">
        <v>2456</v>
      </c>
      <c r="L462" t="s">
        <v>2457</v>
      </c>
      <c r="M462" t="s">
        <v>2458</v>
      </c>
      <c r="N462" t="s">
        <v>2025</v>
      </c>
      <c r="O462" t="s">
        <v>2026</v>
      </c>
      <c r="P462" t="s">
        <v>2027</v>
      </c>
      <c r="Q462" t="s">
        <v>2316</v>
      </c>
      <c r="S462">
        <v>24</v>
      </c>
      <c r="T462" t="s">
        <v>2459</v>
      </c>
      <c r="U462">
        <v>6566</v>
      </c>
      <c r="V462">
        <v>6477</v>
      </c>
      <c r="W462">
        <v>1.0137</v>
      </c>
      <c r="X462" t="s">
        <v>70</v>
      </c>
      <c r="Y462" t="s">
        <v>2318</v>
      </c>
      <c r="Z462">
        <v>740.73</v>
      </c>
      <c r="AA462">
        <v>2802.56</v>
      </c>
      <c r="AB462">
        <v>2075951</v>
      </c>
      <c r="AC462" t="b">
        <v>1</v>
      </c>
      <c r="AD462" t="b">
        <v>1</v>
      </c>
      <c r="AE462" t="b">
        <v>0</v>
      </c>
      <c r="AF462" t="b">
        <v>0</v>
      </c>
      <c r="AG462" t="s">
        <v>58</v>
      </c>
      <c r="AH462">
        <v>20</v>
      </c>
      <c r="AI462" t="s">
        <v>59</v>
      </c>
      <c r="AJ462" t="s">
        <v>71</v>
      </c>
      <c r="AL462" t="s">
        <v>72</v>
      </c>
      <c r="AM462" t="s">
        <v>62</v>
      </c>
      <c r="AN462" t="s">
        <v>63</v>
      </c>
      <c r="AO462" t="s">
        <v>2319</v>
      </c>
      <c r="AP462" t="s">
        <v>2456</v>
      </c>
    </row>
    <row r="463" spans="1:42" x14ac:dyDescent="0.45">
      <c r="A463" t="s">
        <v>2017</v>
      </c>
      <c r="B463" t="s">
        <v>2018</v>
      </c>
      <c r="C463" t="s">
        <v>2311</v>
      </c>
      <c r="D463">
        <v>2024</v>
      </c>
      <c r="E463" t="s">
        <v>45</v>
      </c>
      <c r="F463" t="s">
        <v>2020</v>
      </c>
      <c r="G463">
        <v>69</v>
      </c>
      <c r="J463" t="s">
        <v>2460</v>
      </c>
      <c r="K463" t="s">
        <v>2461</v>
      </c>
      <c r="L463" t="s">
        <v>2462</v>
      </c>
      <c r="M463" t="s">
        <v>2463</v>
      </c>
      <c r="N463" t="s">
        <v>2025</v>
      </c>
      <c r="O463" t="s">
        <v>2026</v>
      </c>
      <c r="P463" t="s">
        <v>2027</v>
      </c>
      <c r="Q463" t="s">
        <v>2316</v>
      </c>
      <c r="S463">
        <v>11</v>
      </c>
      <c r="T463" t="s">
        <v>2464</v>
      </c>
      <c r="U463">
        <v>7613</v>
      </c>
      <c r="V463">
        <v>6477</v>
      </c>
      <c r="W463">
        <v>1.1754</v>
      </c>
      <c r="X463" t="s">
        <v>70</v>
      </c>
      <c r="Y463" t="s">
        <v>2318</v>
      </c>
      <c r="Z463">
        <v>649.73</v>
      </c>
      <c r="AA463">
        <v>4861.91</v>
      </c>
      <c r="AB463">
        <v>3158948</v>
      </c>
      <c r="AC463" t="b">
        <v>1</v>
      </c>
      <c r="AD463" t="b">
        <v>1</v>
      </c>
      <c r="AE463" t="b">
        <v>0</v>
      </c>
      <c r="AF463" t="b">
        <v>0</v>
      </c>
      <c r="AG463" t="s">
        <v>58</v>
      </c>
      <c r="AH463">
        <v>20</v>
      </c>
      <c r="AI463" t="s">
        <v>59</v>
      </c>
      <c r="AJ463" t="s">
        <v>71</v>
      </c>
      <c r="AL463" t="s">
        <v>72</v>
      </c>
      <c r="AM463" t="s">
        <v>62</v>
      </c>
      <c r="AN463" t="s">
        <v>63</v>
      </c>
      <c r="AO463" t="s">
        <v>2319</v>
      </c>
      <c r="AP463" t="s">
        <v>2461</v>
      </c>
    </row>
    <row r="464" spans="1:42" x14ac:dyDescent="0.45">
      <c r="A464" t="s">
        <v>2017</v>
      </c>
      <c r="B464" t="s">
        <v>2018</v>
      </c>
      <c r="C464" t="s">
        <v>2465</v>
      </c>
      <c r="D464">
        <v>2025</v>
      </c>
      <c r="E464" t="s">
        <v>45</v>
      </c>
      <c r="F464" t="s">
        <v>2020</v>
      </c>
      <c r="G464">
        <v>94</v>
      </c>
      <c r="J464" t="s">
        <v>2466</v>
      </c>
      <c r="K464" t="s">
        <v>2467</v>
      </c>
      <c r="L464" t="s">
        <v>2468</v>
      </c>
      <c r="M464" t="s">
        <v>2469</v>
      </c>
      <c r="N464" t="s">
        <v>2025</v>
      </c>
      <c r="O464" t="s">
        <v>2026</v>
      </c>
      <c r="P464" t="s">
        <v>2027</v>
      </c>
      <c r="Q464" t="s">
        <v>2470</v>
      </c>
      <c r="S464">
        <v>4</v>
      </c>
      <c r="T464" t="s">
        <v>2471</v>
      </c>
      <c r="U464">
        <v>10128</v>
      </c>
      <c r="V464">
        <v>8372</v>
      </c>
      <c r="W464">
        <v>1.2097</v>
      </c>
      <c r="X464" t="s">
        <v>70</v>
      </c>
      <c r="Y464" t="s">
        <v>2472</v>
      </c>
      <c r="Z464">
        <v>229.73</v>
      </c>
      <c r="AA464">
        <v>9255.92</v>
      </c>
      <c r="AB464">
        <v>2126404</v>
      </c>
      <c r="AC464" t="b">
        <v>1</v>
      </c>
      <c r="AD464" t="b">
        <v>1</v>
      </c>
      <c r="AE464" t="b">
        <v>0</v>
      </c>
      <c r="AF464" t="b">
        <v>0</v>
      </c>
      <c r="AG464" t="s">
        <v>58</v>
      </c>
      <c r="AH464">
        <v>14</v>
      </c>
      <c r="AI464" t="s">
        <v>59</v>
      </c>
      <c r="AJ464" t="s">
        <v>71</v>
      </c>
      <c r="AL464" t="s">
        <v>244</v>
      </c>
      <c r="AM464" t="s">
        <v>245</v>
      </c>
      <c r="AN464" t="s">
        <v>63</v>
      </c>
      <c r="AO464" t="s">
        <v>2473</v>
      </c>
      <c r="AP464" t="s">
        <v>2467</v>
      </c>
    </row>
    <row r="465" spans="1:42" x14ac:dyDescent="0.45">
      <c r="A465" t="s">
        <v>2017</v>
      </c>
      <c r="B465" t="s">
        <v>2018</v>
      </c>
      <c r="C465" t="s">
        <v>2465</v>
      </c>
      <c r="D465">
        <v>2025</v>
      </c>
      <c r="E465" t="s">
        <v>45</v>
      </c>
      <c r="F465" t="s">
        <v>2020</v>
      </c>
      <c r="J465" t="s">
        <v>2474</v>
      </c>
      <c r="K465" t="s">
        <v>2475</v>
      </c>
      <c r="L465" t="s">
        <v>2476</v>
      </c>
      <c r="M465" t="s">
        <v>2477</v>
      </c>
      <c r="N465" t="s">
        <v>2025</v>
      </c>
      <c r="O465" t="s">
        <v>2026</v>
      </c>
      <c r="P465" t="s">
        <v>2027</v>
      </c>
      <c r="Q465" t="s">
        <v>2470</v>
      </c>
      <c r="S465">
        <v>9</v>
      </c>
      <c r="T465" t="s">
        <v>2478</v>
      </c>
      <c r="U465">
        <v>486</v>
      </c>
      <c r="V465">
        <v>8372</v>
      </c>
      <c r="W465">
        <v>5.8099999999999999E-2</v>
      </c>
      <c r="X465" t="s">
        <v>56</v>
      </c>
      <c r="Y465" t="s">
        <v>2472</v>
      </c>
      <c r="Z465">
        <v>264.8</v>
      </c>
      <c r="AA465">
        <v>129.76</v>
      </c>
      <c r="AB465">
        <v>34360</v>
      </c>
      <c r="AC465" t="b">
        <v>0</v>
      </c>
      <c r="AD465" t="b">
        <v>0</v>
      </c>
      <c r="AE465" t="b">
        <v>0</v>
      </c>
      <c r="AF465" t="b">
        <v>0</v>
      </c>
      <c r="AG465" t="s">
        <v>58</v>
      </c>
      <c r="AH465">
        <v>-15</v>
      </c>
      <c r="AI465" t="s">
        <v>59</v>
      </c>
      <c r="AJ465" t="s">
        <v>60</v>
      </c>
      <c r="AK465" t="s">
        <v>78</v>
      </c>
      <c r="AL465" t="s">
        <v>79</v>
      </c>
      <c r="AM465" t="s">
        <v>245</v>
      </c>
      <c r="AN465" t="s">
        <v>63</v>
      </c>
      <c r="AO465" t="s">
        <v>2473</v>
      </c>
      <c r="AP465" t="s">
        <v>2475</v>
      </c>
    </row>
    <row r="466" spans="1:42" x14ac:dyDescent="0.45">
      <c r="A466" t="s">
        <v>2017</v>
      </c>
      <c r="B466" t="s">
        <v>2018</v>
      </c>
      <c r="C466" t="s">
        <v>2465</v>
      </c>
      <c r="D466">
        <v>2025</v>
      </c>
      <c r="E466" t="s">
        <v>45</v>
      </c>
      <c r="F466" t="s">
        <v>2020</v>
      </c>
      <c r="G466">
        <v>88</v>
      </c>
      <c r="J466" t="s">
        <v>2479</v>
      </c>
      <c r="K466" t="s">
        <v>2480</v>
      </c>
      <c r="L466" t="s">
        <v>2481</v>
      </c>
      <c r="M466" t="s">
        <v>2482</v>
      </c>
      <c r="N466" t="s">
        <v>2025</v>
      </c>
      <c r="O466" t="s">
        <v>2026</v>
      </c>
      <c r="P466" t="s">
        <v>2027</v>
      </c>
      <c r="Q466" t="s">
        <v>2470</v>
      </c>
      <c r="S466">
        <v>11</v>
      </c>
      <c r="T466" t="s">
        <v>2483</v>
      </c>
      <c r="U466">
        <v>7878</v>
      </c>
      <c r="V466">
        <v>8372</v>
      </c>
      <c r="W466">
        <v>0.94099999999999995</v>
      </c>
      <c r="X466" t="s">
        <v>70</v>
      </c>
      <c r="Y466" t="s">
        <v>2472</v>
      </c>
      <c r="Z466">
        <v>271.73</v>
      </c>
      <c r="AA466">
        <v>3849.04</v>
      </c>
      <c r="AB466">
        <v>1045919</v>
      </c>
      <c r="AC466" t="b">
        <v>1</v>
      </c>
      <c r="AD466" t="b">
        <v>1</v>
      </c>
      <c r="AE466" t="b">
        <v>0</v>
      </c>
      <c r="AF466" t="b">
        <v>0</v>
      </c>
      <c r="AG466" t="s">
        <v>58</v>
      </c>
      <c r="AH466">
        <v>14</v>
      </c>
      <c r="AI466" t="s">
        <v>59</v>
      </c>
      <c r="AJ466" t="s">
        <v>71</v>
      </c>
      <c r="AL466" t="s">
        <v>244</v>
      </c>
      <c r="AM466" t="s">
        <v>245</v>
      </c>
      <c r="AN466" t="s">
        <v>63</v>
      </c>
      <c r="AO466" t="s">
        <v>2473</v>
      </c>
      <c r="AP466" t="s">
        <v>2480</v>
      </c>
    </row>
    <row r="467" spans="1:42" x14ac:dyDescent="0.45">
      <c r="A467" t="s">
        <v>2017</v>
      </c>
      <c r="B467" t="s">
        <v>2018</v>
      </c>
      <c r="C467" t="s">
        <v>2465</v>
      </c>
      <c r="D467">
        <v>2025</v>
      </c>
      <c r="E467" t="s">
        <v>45</v>
      </c>
      <c r="F467" t="s">
        <v>2020</v>
      </c>
      <c r="G467">
        <v>81</v>
      </c>
      <c r="J467" t="s">
        <v>2484</v>
      </c>
      <c r="K467" t="s">
        <v>2485</v>
      </c>
      <c r="L467" t="s">
        <v>2486</v>
      </c>
      <c r="M467" t="s">
        <v>2487</v>
      </c>
      <c r="N467" t="s">
        <v>2025</v>
      </c>
      <c r="O467" t="s">
        <v>2026</v>
      </c>
      <c r="P467" t="s">
        <v>2027</v>
      </c>
      <c r="Q467" t="s">
        <v>2470</v>
      </c>
      <c r="S467">
        <v>17</v>
      </c>
      <c r="T467" t="s">
        <v>2488</v>
      </c>
      <c r="U467">
        <v>10045</v>
      </c>
      <c r="V467">
        <v>8372</v>
      </c>
      <c r="W467">
        <v>1.1998</v>
      </c>
      <c r="X467" t="s">
        <v>70</v>
      </c>
      <c r="Y467" t="s">
        <v>2472</v>
      </c>
      <c r="Z467">
        <v>320.73</v>
      </c>
      <c r="AA467">
        <v>8486.27</v>
      </c>
      <c r="AB467">
        <v>2721838</v>
      </c>
      <c r="AC467" t="b">
        <v>1</v>
      </c>
      <c r="AD467" t="b">
        <v>1</v>
      </c>
      <c r="AE467" t="b">
        <v>0</v>
      </c>
      <c r="AF467" t="b">
        <v>0</v>
      </c>
      <c r="AG467" t="s">
        <v>58</v>
      </c>
      <c r="AH467">
        <v>14</v>
      </c>
      <c r="AI467" t="s">
        <v>59</v>
      </c>
      <c r="AJ467" t="s">
        <v>71</v>
      </c>
      <c r="AL467" t="s">
        <v>244</v>
      </c>
      <c r="AM467" t="s">
        <v>245</v>
      </c>
      <c r="AN467" t="s">
        <v>63</v>
      </c>
      <c r="AO467" t="s">
        <v>2473</v>
      </c>
      <c r="AP467" t="s">
        <v>2485</v>
      </c>
    </row>
    <row r="468" spans="1:42" x14ac:dyDescent="0.45">
      <c r="A468" t="s">
        <v>2017</v>
      </c>
      <c r="B468" t="s">
        <v>2018</v>
      </c>
      <c r="C468" t="s">
        <v>2465</v>
      </c>
      <c r="D468">
        <v>2025</v>
      </c>
      <c r="E468" t="s">
        <v>45</v>
      </c>
      <c r="F468" t="s">
        <v>2020</v>
      </c>
      <c r="G468">
        <v>93</v>
      </c>
      <c r="J468" t="s">
        <v>2489</v>
      </c>
      <c r="K468" t="s">
        <v>2490</v>
      </c>
      <c r="L468" t="s">
        <v>2491</v>
      </c>
      <c r="M468" t="s">
        <v>2492</v>
      </c>
      <c r="N468" t="s">
        <v>2025</v>
      </c>
      <c r="O468" t="s">
        <v>2026</v>
      </c>
      <c r="P468" t="s">
        <v>2027</v>
      </c>
      <c r="Q468" t="s">
        <v>2470</v>
      </c>
      <c r="S468">
        <v>5</v>
      </c>
      <c r="T468" t="s">
        <v>2493</v>
      </c>
      <c r="U468">
        <v>9403</v>
      </c>
      <c r="V468">
        <v>8372</v>
      </c>
      <c r="W468">
        <v>1.1231</v>
      </c>
      <c r="X468" t="s">
        <v>70</v>
      </c>
      <c r="Y468" t="s">
        <v>2472</v>
      </c>
      <c r="Z468">
        <v>236.73</v>
      </c>
      <c r="AA468">
        <v>6436.56</v>
      </c>
      <c r="AB468">
        <v>1523758</v>
      </c>
      <c r="AC468" t="b">
        <v>1</v>
      </c>
      <c r="AD468" t="b">
        <v>1</v>
      </c>
      <c r="AE468" t="b">
        <v>0</v>
      </c>
      <c r="AF468" t="b">
        <v>0</v>
      </c>
      <c r="AG468" t="s">
        <v>58</v>
      </c>
      <c r="AH468">
        <v>14</v>
      </c>
      <c r="AI468" t="s">
        <v>59</v>
      </c>
      <c r="AJ468" t="s">
        <v>71</v>
      </c>
      <c r="AL468" t="s">
        <v>244</v>
      </c>
      <c r="AM468" t="s">
        <v>245</v>
      </c>
      <c r="AN468" t="s">
        <v>63</v>
      </c>
      <c r="AO468" t="s">
        <v>2473</v>
      </c>
      <c r="AP468" t="s">
        <v>2490</v>
      </c>
    </row>
    <row r="469" spans="1:42" x14ac:dyDescent="0.45">
      <c r="A469" t="s">
        <v>2017</v>
      </c>
      <c r="B469" t="s">
        <v>2018</v>
      </c>
      <c r="C469" t="s">
        <v>2465</v>
      </c>
      <c r="D469">
        <v>2025</v>
      </c>
      <c r="E469" t="s">
        <v>45</v>
      </c>
      <c r="F469" t="s">
        <v>2020</v>
      </c>
      <c r="G469">
        <v>96</v>
      </c>
      <c r="J469" t="s">
        <v>2494</v>
      </c>
      <c r="K469" t="s">
        <v>2495</v>
      </c>
      <c r="L469" t="s">
        <v>2496</v>
      </c>
      <c r="M469" t="s">
        <v>2497</v>
      </c>
      <c r="N469" t="s">
        <v>2025</v>
      </c>
      <c r="O469" t="s">
        <v>2026</v>
      </c>
      <c r="P469" t="s">
        <v>2027</v>
      </c>
      <c r="Q469" t="s">
        <v>2470</v>
      </c>
      <c r="S469">
        <v>2</v>
      </c>
      <c r="T469" t="s">
        <v>2498</v>
      </c>
      <c r="U469">
        <v>9035</v>
      </c>
      <c r="V469">
        <v>8372</v>
      </c>
      <c r="W469">
        <v>1.0791999999999999</v>
      </c>
      <c r="X469" t="s">
        <v>70</v>
      </c>
      <c r="Y469" t="s">
        <v>2472</v>
      </c>
      <c r="Z469">
        <v>173.73</v>
      </c>
      <c r="AA469">
        <v>7757.6</v>
      </c>
      <c r="AB469">
        <v>1347713</v>
      </c>
      <c r="AC469" t="b">
        <v>1</v>
      </c>
      <c r="AD469" t="b">
        <v>1</v>
      </c>
      <c r="AE469" t="b">
        <v>0</v>
      </c>
      <c r="AF469" t="b">
        <v>0</v>
      </c>
      <c r="AG469" t="s">
        <v>58</v>
      </c>
      <c r="AH469">
        <v>14</v>
      </c>
      <c r="AI469" t="s">
        <v>59</v>
      </c>
      <c r="AJ469" t="s">
        <v>71</v>
      </c>
      <c r="AL469" t="s">
        <v>244</v>
      </c>
      <c r="AM469" t="s">
        <v>245</v>
      </c>
      <c r="AN469" t="s">
        <v>63</v>
      </c>
      <c r="AO469" t="s">
        <v>2473</v>
      </c>
      <c r="AP469" t="s">
        <v>2495</v>
      </c>
    </row>
    <row r="470" spans="1:42" x14ac:dyDescent="0.45">
      <c r="A470" t="s">
        <v>2017</v>
      </c>
      <c r="B470" t="s">
        <v>2018</v>
      </c>
      <c r="C470" t="s">
        <v>2465</v>
      </c>
      <c r="D470">
        <v>2025</v>
      </c>
      <c r="E470" t="s">
        <v>45</v>
      </c>
      <c r="F470" t="s">
        <v>2020</v>
      </c>
      <c r="G470">
        <v>86</v>
      </c>
      <c r="J470" t="s">
        <v>2499</v>
      </c>
      <c r="K470" t="s">
        <v>2500</v>
      </c>
      <c r="L470" t="s">
        <v>2501</v>
      </c>
      <c r="M470" t="s">
        <v>2502</v>
      </c>
      <c r="N470" t="s">
        <v>2025</v>
      </c>
      <c r="O470" t="s">
        <v>2026</v>
      </c>
      <c r="P470" t="s">
        <v>2027</v>
      </c>
      <c r="Q470" t="s">
        <v>2470</v>
      </c>
      <c r="S470">
        <v>13</v>
      </c>
      <c r="T470" t="s">
        <v>2503</v>
      </c>
      <c r="U470">
        <v>6728</v>
      </c>
      <c r="V470">
        <v>8372</v>
      </c>
      <c r="W470">
        <v>0.80359999999999998</v>
      </c>
      <c r="X470" t="s">
        <v>70</v>
      </c>
      <c r="Y470" t="s">
        <v>2472</v>
      </c>
      <c r="Z470">
        <v>285.73</v>
      </c>
      <c r="AA470">
        <v>2539.0300000000002</v>
      </c>
      <c r="AB470">
        <v>725487</v>
      </c>
      <c r="AC470" t="b">
        <v>1</v>
      </c>
      <c r="AD470" t="b">
        <v>1</v>
      </c>
      <c r="AE470" t="b">
        <v>0</v>
      </c>
      <c r="AF470" t="b">
        <v>0</v>
      </c>
      <c r="AG470" t="s">
        <v>58</v>
      </c>
      <c r="AH470">
        <v>14</v>
      </c>
      <c r="AI470" t="s">
        <v>59</v>
      </c>
      <c r="AJ470" t="s">
        <v>71</v>
      </c>
      <c r="AL470" t="s">
        <v>244</v>
      </c>
      <c r="AM470" t="s">
        <v>245</v>
      </c>
      <c r="AN470" t="s">
        <v>63</v>
      </c>
      <c r="AO470" t="s">
        <v>2473</v>
      </c>
      <c r="AP470" t="s">
        <v>2500</v>
      </c>
    </row>
    <row r="471" spans="1:42" x14ac:dyDescent="0.45">
      <c r="A471" t="s">
        <v>2017</v>
      </c>
      <c r="B471" t="s">
        <v>2018</v>
      </c>
      <c r="C471" t="s">
        <v>2465</v>
      </c>
      <c r="D471">
        <v>2025</v>
      </c>
      <c r="E471" t="s">
        <v>45</v>
      </c>
      <c r="F471" t="s">
        <v>2020</v>
      </c>
      <c r="G471">
        <v>97</v>
      </c>
      <c r="J471" t="s">
        <v>2504</v>
      </c>
      <c r="K471" t="s">
        <v>2505</v>
      </c>
      <c r="L471" t="s">
        <v>2506</v>
      </c>
      <c r="M471" t="s">
        <v>2507</v>
      </c>
      <c r="N471" t="s">
        <v>2025</v>
      </c>
      <c r="O471" t="s">
        <v>2026</v>
      </c>
      <c r="P471" t="s">
        <v>2027</v>
      </c>
      <c r="Q471" t="s">
        <v>2470</v>
      </c>
      <c r="S471">
        <v>0</v>
      </c>
      <c r="T471" t="s">
        <v>2508</v>
      </c>
      <c r="U471">
        <v>9584</v>
      </c>
      <c r="V471">
        <v>8372</v>
      </c>
      <c r="W471">
        <v>1.1448</v>
      </c>
      <c r="X471" t="s">
        <v>70</v>
      </c>
      <c r="Y471" t="s">
        <v>2472</v>
      </c>
      <c r="Z471">
        <v>166.73</v>
      </c>
      <c r="AA471">
        <v>9042.35</v>
      </c>
      <c r="AB471">
        <v>1507669</v>
      </c>
      <c r="AC471" t="b">
        <v>1</v>
      </c>
      <c r="AD471" t="b">
        <v>1</v>
      </c>
      <c r="AE471" t="b">
        <v>0</v>
      </c>
      <c r="AF471" t="b">
        <v>0</v>
      </c>
      <c r="AG471" t="s">
        <v>58</v>
      </c>
      <c r="AH471">
        <v>14</v>
      </c>
      <c r="AI471" t="s">
        <v>59</v>
      </c>
      <c r="AJ471" t="s">
        <v>71</v>
      </c>
      <c r="AL471" t="s">
        <v>244</v>
      </c>
      <c r="AM471" t="s">
        <v>245</v>
      </c>
      <c r="AN471" t="s">
        <v>63</v>
      </c>
      <c r="AO471" t="s">
        <v>2473</v>
      </c>
      <c r="AP471" t="s">
        <v>2505</v>
      </c>
    </row>
    <row r="472" spans="1:42" x14ac:dyDescent="0.45">
      <c r="A472" t="s">
        <v>2017</v>
      </c>
      <c r="B472" t="s">
        <v>2018</v>
      </c>
      <c r="C472" t="s">
        <v>2465</v>
      </c>
      <c r="D472">
        <v>2025</v>
      </c>
      <c r="E472" t="s">
        <v>45</v>
      </c>
      <c r="F472" t="s">
        <v>2020</v>
      </c>
      <c r="G472">
        <v>95</v>
      </c>
      <c r="J472" t="s">
        <v>2509</v>
      </c>
      <c r="K472" t="s">
        <v>2510</v>
      </c>
      <c r="L472" t="s">
        <v>2511</v>
      </c>
      <c r="M472" t="s">
        <v>2512</v>
      </c>
      <c r="N472" t="s">
        <v>2025</v>
      </c>
      <c r="O472" t="s">
        <v>2026</v>
      </c>
      <c r="P472" t="s">
        <v>2027</v>
      </c>
      <c r="Q472" t="s">
        <v>2470</v>
      </c>
      <c r="S472">
        <v>3</v>
      </c>
      <c r="T472" t="s">
        <v>2513</v>
      </c>
      <c r="U472">
        <v>6339</v>
      </c>
      <c r="V472">
        <v>8372</v>
      </c>
      <c r="W472">
        <v>0.75719999999999998</v>
      </c>
      <c r="X472" t="s">
        <v>70</v>
      </c>
      <c r="Y472" t="s">
        <v>2472</v>
      </c>
      <c r="Z472">
        <v>180.73</v>
      </c>
      <c r="AA472">
        <v>9560.43</v>
      </c>
      <c r="AB472">
        <v>1727838</v>
      </c>
      <c r="AC472" t="b">
        <v>1</v>
      </c>
      <c r="AD472" t="b">
        <v>1</v>
      </c>
      <c r="AE472" t="b">
        <v>0</v>
      </c>
      <c r="AF472" t="b">
        <v>0</v>
      </c>
      <c r="AG472" t="s">
        <v>58</v>
      </c>
      <c r="AH472">
        <v>14</v>
      </c>
      <c r="AI472" t="s">
        <v>59</v>
      </c>
      <c r="AJ472" t="s">
        <v>71</v>
      </c>
      <c r="AL472" t="s">
        <v>244</v>
      </c>
      <c r="AM472" t="s">
        <v>245</v>
      </c>
      <c r="AN472" t="s">
        <v>63</v>
      </c>
      <c r="AO472" t="s">
        <v>2473</v>
      </c>
      <c r="AP472" t="s">
        <v>2510</v>
      </c>
    </row>
    <row r="473" spans="1:42" x14ac:dyDescent="0.45">
      <c r="A473" t="s">
        <v>2017</v>
      </c>
      <c r="B473" t="s">
        <v>2018</v>
      </c>
      <c r="C473" t="s">
        <v>2465</v>
      </c>
      <c r="D473">
        <v>2025</v>
      </c>
      <c r="E473" t="s">
        <v>45</v>
      </c>
      <c r="F473" t="s">
        <v>2020</v>
      </c>
      <c r="G473">
        <v>85</v>
      </c>
      <c r="J473" t="s">
        <v>2514</v>
      </c>
      <c r="K473" t="s">
        <v>2515</v>
      </c>
      <c r="L473" t="s">
        <v>2516</v>
      </c>
      <c r="M473" t="s">
        <v>2517</v>
      </c>
      <c r="N473" t="s">
        <v>2025</v>
      </c>
      <c r="O473" t="s">
        <v>2026</v>
      </c>
      <c r="P473" t="s">
        <v>2027</v>
      </c>
      <c r="Q473" t="s">
        <v>2470</v>
      </c>
      <c r="S473">
        <v>14</v>
      </c>
      <c r="T473" t="s">
        <v>2518</v>
      </c>
      <c r="U473">
        <v>6897</v>
      </c>
      <c r="V473">
        <v>8372</v>
      </c>
      <c r="W473">
        <v>0.82379999999999998</v>
      </c>
      <c r="X473" t="s">
        <v>70</v>
      </c>
      <c r="Y473" t="s">
        <v>2472</v>
      </c>
      <c r="Z473">
        <v>292.73</v>
      </c>
      <c r="AA473">
        <v>3419.72</v>
      </c>
      <c r="AB473">
        <v>1001070</v>
      </c>
      <c r="AC473" t="b">
        <v>1</v>
      </c>
      <c r="AD473" t="b">
        <v>1</v>
      </c>
      <c r="AE473" t="b">
        <v>0</v>
      </c>
      <c r="AF473" t="b">
        <v>0</v>
      </c>
      <c r="AG473" t="s">
        <v>58</v>
      </c>
      <c r="AH473">
        <v>14</v>
      </c>
      <c r="AI473" t="s">
        <v>59</v>
      </c>
      <c r="AJ473" t="s">
        <v>71</v>
      </c>
      <c r="AL473" t="s">
        <v>244</v>
      </c>
      <c r="AM473" t="s">
        <v>245</v>
      </c>
      <c r="AN473" t="s">
        <v>63</v>
      </c>
      <c r="AO473" t="s">
        <v>2473</v>
      </c>
      <c r="AP473" t="s">
        <v>2515</v>
      </c>
    </row>
    <row r="474" spans="1:42" x14ac:dyDescent="0.45">
      <c r="A474" t="s">
        <v>2017</v>
      </c>
      <c r="B474" t="s">
        <v>2018</v>
      </c>
      <c r="C474" t="s">
        <v>2465</v>
      </c>
      <c r="D474">
        <v>2025</v>
      </c>
      <c r="E474" t="s">
        <v>45</v>
      </c>
      <c r="F474" t="s">
        <v>2020</v>
      </c>
      <c r="G474">
        <v>82</v>
      </c>
      <c r="J474" t="s">
        <v>2519</v>
      </c>
      <c r="K474" t="s">
        <v>2520</v>
      </c>
      <c r="L474" t="s">
        <v>2521</v>
      </c>
      <c r="M474" t="s">
        <v>2522</v>
      </c>
      <c r="N474" t="s">
        <v>2025</v>
      </c>
      <c r="O474" t="s">
        <v>2026</v>
      </c>
      <c r="P474" t="s">
        <v>2027</v>
      </c>
      <c r="Q474" t="s">
        <v>2470</v>
      </c>
      <c r="S474">
        <v>16</v>
      </c>
      <c r="T474" t="s">
        <v>2523</v>
      </c>
      <c r="U474">
        <v>9262</v>
      </c>
      <c r="V474">
        <v>8372</v>
      </c>
      <c r="W474">
        <v>1.1063000000000001</v>
      </c>
      <c r="X474" t="s">
        <v>70</v>
      </c>
      <c r="Y474" t="s">
        <v>2472</v>
      </c>
      <c r="Z474">
        <v>313.73</v>
      </c>
      <c r="AA474">
        <v>5540.01</v>
      </c>
      <c r="AB474">
        <v>1738091</v>
      </c>
      <c r="AC474" t="b">
        <v>1</v>
      </c>
      <c r="AD474" t="b">
        <v>1</v>
      </c>
      <c r="AE474" t="b">
        <v>0</v>
      </c>
      <c r="AF474" t="b">
        <v>0</v>
      </c>
      <c r="AG474" t="s">
        <v>58</v>
      </c>
      <c r="AH474">
        <v>14</v>
      </c>
      <c r="AI474" t="s">
        <v>59</v>
      </c>
      <c r="AJ474" t="s">
        <v>71</v>
      </c>
      <c r="AL474" t="s">
        <v>244</v>
      </c>
      <c r="AM474" t="s">
        <v>245</v>
      </c>
      <c r="AN474" t="s">
        <v>63</v>
      </c>
      <c r="AO474" t="s">
        <v>2473</v>
      </c>
      <c r="AP474" t="s">
        <v>2520</v>
      </c>
    </row>
    <row r="475" spans="1:42" x14ac:dyDescent="0.45">
      <c r="A475" t="s">
        <v>2017</v>
      </c>
      <c r="B475" t="s">
        <v>2018</v>
      </c>
      <c r="C475" t="s">
        <v>2465</v>
      </c>
      <c r="D475">
        <v>2025</v>
      </c>
      <c r="E475" t="s">
        <v>45</v>
      </c>
      <c r="F475" t="s">
        <v>2020</v>
      </c>
      <c r="G475">
        <v>92</v>
      </c>
      <c r="J475" t="s">
        <v>2524</v>
      </c>
      <c r="K475" t="s">
        <v>2525</v>
      </c>
      <c r="L475" t="s">
        <v>2526</v>
      </c>
      <c r="M475" t="s">
        <v>2527</v>
      </c>
      <c r="N475" t="s">
        <v>2025</v>
      </c>
      <c r="O475" t="s">
        <v>2026</v>
      </c>
      <c r="P475" t="s">
        <v>2027</v>
      </c>
      <c r="Q475" t="s">
        <v>2470</v>
      </c>
      <c r="S475">
        <v>6</v>
      </c>
      <c r="T475" t="s">
        <v>2528</v>
      </c>
      <c r="U475">
        <v>7516</v>
      </c>
      <c r="V475">
        <v>8372</v>
      </c>
      <c r="W475">
        <v>0.89780000000000004</v>
      </c>
      <c r="X475" t="s">
        <v>70</v>
      </c>
      <c r="Y475" t="s">
        <v>2472</v>
      </c>
      <c r="Z475">
        <v>243.73</v>
      </c>
      <c r="AA475">
        <v>4073.84</v>
      </c>
      <c r="AB475">
        <v>992938</v>
      </c>
      <c r="AC475" t="b">
        <v>1</v>
      </c>
      <c r="AD475" t="b">
        <v>1</v>
      </c>
      <c r="AE475" t="b">
        <v>0</v>
      </c>
      <c r="AF475" t="b">
        <v>0</v>
      </c>
      <c r="AG475" t="s">
        <v>58</v>
      </c>
      <c r="AH475">
        <v>14</v>
      </c>
      <c r="AI475" t="s">
        <v>59</v>
      </c>
      <c r="AJ475" t="s">
        <v>71</v>
      </c>
      <c r="AL475" t="s">
        <v>244</v>
      </c>
      <c r="AM475" t="s">
        <v>245</v>
      </c>
      <c r="AN475" t="s">
        <v>63</v>
      </c>
      <c r="AO475" t="s">
        <v>2473</v>
      </c>
      <c r="AP475" t="s">
        <v>2525</v>
      </c>
    </row>
    <row r="476" spans="1:42" x14ac:dyDescent="0.45">
      <c r="A476" t="s">
        <v>2017</v>
      </c>
      <c r="B476" t="s">
        <v>2018</v>
      </c>
      <c r="C476" t="s">
        <v>2465</v>
      </c>
      <c r="D476">
        <v>2025</v>
      </c>
      <c r="E476" t="s">
        <v>45</v>
      </c>
      <c r="F476" t="s">
        <v>2020</v>
      </c>
      <c r="G476">
        <v>89</v>
      </c>
      <c r="J476" t="s">
        <v>2529</v>
      </c>
      <c r="K476" t="s">
        <v>2530</v>
      </c>
      <c r="L476" t="s">
        <v>2531</v>
      </c>
      <c r="M476" t="s">
        <v>2532</v>
      </c>
      <c r="N476" t="s">
        <v>2025</v>
      </c>
      <c r="O476" t="s">
        <v>2026</v>
      </c>
      <c r="P476" t="s">
        <v>2027</v>
      </c>
      <c r="Q476" t="s">
        <v>2470</v>
      </c>
      <c r="S476">
        <v>10</v>
      </c>
      <c r="T476" t="s">
        <v>2533</v>
      </c>
      <c r="U476">
        <v>8384</v>
      </c>
      <c r="V476">
        <v>8372</v>
      </c>
      <c r="W476">
        <v>1.0014000000000001</v>
      </c>
      <c r="X476" t="s">
        <v>70</v>
      </c>
      <c r="Y476" t="s">
        <v>2472</v>
      </c>
      <c r="Z476">
        <v>264.73</v>
      </c>
      <c r="AA476">
        <v>4328.4799999999996</v>
      </c>
      <c r="AB476">
        <v>1145899</v>
      </c>
      <c r="AC476" t="b">
        <v>1</v>
      </c>
      <c r="AD476" t="b">
        <v>1</v>
      </c>
      <c r="AE476" t="b">
        <v>0</v>
      </c>
      <c r="AF476" t="b">
        <v>0</v>
      </c>
      <c r="AG476" t="s">
        <v>58</v>
      </c>
      <c r="AH476">
        <v>14</v>
      </c>
      <c r="AI476" t="s">
        <v>59</v>
      </c>
      <c r="AJ476" t="s">
        <v>71</v>
      </c>
      <c r="AL476" t="s">
        <v>244</v>
      </c>
      <c r="AM476" t="s">
        <v>245</v>
      </c>
      <c r="AN476" t="s">
        <v>63</v>
      </c>
      <c r="AO476" t="s">
        <v>2473</v>
      </c>
      <c r="AP476" t="s">
        <v>2530</v>
      </c>
    </row>
    <row r="477" spans="1:42" x14ac:dyDescent="0.45">
      <c r="A477" t="s">
        <v>2017</v>
      </c>
      <c r="B477" t="s">
        <v>2018</v>
      </c>
      <c r="C477" t="s">
        <v>2465</v>
      </c>
      <c r="D477">
        <v>2025</v>
      </c>
      <c r="E477" t="s">
        <v>45</v>
      </c>
      <c r="F477" t="s">
        <v>2020</v>
      </c>
      <c r="G477">
        <v>84</v>
      </c>
      <c r="J477" t="s">
        <v>2534</v>
      </c>
      <c r="K477" t="s">
        <v>2535</v>
      </c>
      <c r="L477" t="s">
        <v>2536</v>
      </c>
      <c r="M477" t="s">
        <v>2537</v>
      </c>
      <c r="N477" t="s">
        <v>2025</v>
      </c>
      <c r="O477" t="s">
        <v>2026</v>
      </c>
      <c r="P477" t="s">
        <v>2027</v>
      </c>
      <c r="Q477" t="s">
        <v>2470</v>
      </c>
      <c r="S477">
        <v>15</v>
      </c>
      <c r="T477" t="s">
        <v>2538</v>
      </c>
      <c r="U477">
        <v>8360</v>
      </c>
      <c r="V477">
        <v>8372</v>
      </c>
      <c r="W477">
        <v>0.99860000000000004</v>
      </c>
      <c r="X477" t="s">
        <v>70</v>
      </c>
      <c r="Y477" t="s">
        <v>2472</v>
      </c>
      <c r="Z477">
        <v>299.73</v>
      </c>
      <c r="AA477">
        <v>3507.78</v>
      </c>
      <c r="AB477">
        <v>1051404</v>
      </c>
      <c r="AC477" t="b">
        <v>1</v>
      </c>
      <c r="AD477" t="b">
        <v>1</v>
      </c>
      <c r="AE477" t="b">
        <v>0</v>
      </c>
      <c r="AF477" t="b">
        <v>0</v>
      </c>
      <c r="AG477" t="s">
        <v>58</v>
      </c>
      <c r="AH477">
        <v>14</v>
      </c>
      <c r="AI477" t="s">
        <v>59</v>
      </c>
      <c r="AJ477" t="s">
        <v>71</v>
      </c>
      <c r="AL477" t="s">
        <v>244</v>
      </c>
      <c r="AM477" t="s">
        <v>245</v>
      </c>
      <c r="AN477" t="s">
        <v>63</v>
      </c>
      <c r="AO477" t="s">
        <v>2473</v>
      </c>
      <c r="AP477" t="s">
        <v>2535</v>
      </c>
    </row>
    <row r="478" spans="1:42" x14ac:dyDescent="0.45">
      <c r="A478" t="s">
        <v>2017</v>
      </c>
      <c r="B478" t="s">
        <v>2018</v>
      </c>
      <c r="C478" t="s">
        <v>2465</v>
      </c>
      <c r="D478">
        <v>2025</v>
      </c>
      <c r="E478" t="s">
        <v>45</v>
      </c>
      <c r="F478" t="s">
        <v>2020</v>
      </c>
      <c r="G478">
        <v>87</v>
      </c>
      <c r="J478" t="s">
        <v>2539</v>
      </c>
      <c r="K478" t="s">
        <v>2540</v>
      </c>
      <c r="L478" t="s">
        <v>2541</v>
      </c>
      <c r="M478" t="s">
        <v>2542</v>
      </c>
      <c r="N478" t="s">
        <v>2025</v>
      </c>
      <c r="O478" t="s">
        <v>2026</v>
      </c>
      <c r="P478" t="s">
        <v>2027</v>
      </c>
      <c r="Q478" t="s">
        <v>2470</v>
      </c>
      <c r="S478">
        <v>12</v>
      </c>
      <c r="T478" t="s">
        <v>2543</v>
      </c>
      <c r="U478">
        <v>7898</v>
      </c>
      <c r="V478">
        <v>8372</v>
      </c>
      <c r="W478">
        <v>0.94340000000000002</v>
      </c>
      <c r="X478" t="s">
        <v>70</v>
      </c>
      <c r="Y478" t="s">
        <v>2472</v>
      </c>
      <c r="Z478">
        <v>278.73</v>
      </c>
      <c r="AA478">
        <v>4048.62</v>
      </c>
      <c r="AB478">
        <v>1128490</v>
      </c>
      <c r="AC478" t="b">
        <v>1</v>
      </c>
      <c r="AD478" t="b">
        <v>1</v>
      </c>
      <c r="AE478" t="b">
        <v>0</v>
      </c>
      <c r="AF478" t="b">
        <v>0</v>
      </c>
      <c r="AG478" t="s">
        <v>58</v>
      </c>
      <c r="AH478">
        <v>14</v>
      </c>
      <c r="AI478" t="s">
        <v>59</v>
      </c>
      <c r="AJ478" t="s">
        <v>71</v>
      </c>
      <c r="AL478" t="s">
        <v>244</v>
      </c>
      <c r="AM478" t="s">
        <v>245</v>
      </c>
      <c r="AN478" t="s">
        <v>63</v>
      </c>
      <c r="AO478" t="s">
        <v>2473</v>
      </c>
      <c r="AP478" t="s">
        <v>2540</v>
      </c>
    </row>
    <row r="479" spans="1:42" x14ac:dyDescent="0.45">
      <c r="A479" t="s">
        <v>2017</v>
      </c>
      <c r="B479" t="s">
        <v>2018</v>
      </c>
      <c r="C479" t="s">
        <v>2465</v>
      </c>
      <c r="D479">
        <v>2025</v>
      </c>
      <c r="E479" t="s">
        <v>45</v>
      </c>
      <c r="F479" t="s">
        <v>2020</v>
      </c>
      <c r="G479">
        <v>3</v>
      </c>
      <c r="J479" t="s">
        <v>217</v>
      </c>
      <c r="K479" t="s">
        <v>2544</v>
      </c>
      <c r="L479" t="s">
        <v>219</v>
      </c>
      <c r="M479" t="s">
        <v>220</v>
      </c>
      <c r="N479" t="s">
        <v>221</v>
      </c>
      <c r="O479" t="s">
        <v>222</v>
      </c>
      <c r="P479" t="s">
        <v>223</v>
      </c>
      <c r="Q479" t="s">
        <v>2470</v>
      </c>
      <c r="S479">
        <v>1</v>
      </c>
      <c r="T479" t="s">
        <v>224</v>
      </c>
      <c r="U479">
        <v>6389</v>
      </c>
      <c r="V479">
        <v>8372</v>
      </c>
      <c r="W479">
        <v>0.7631</v>
      </c>
      <c r="X479" t="s">
        <v>70</v>
      </c>
      <c r="Y479" t="s">
        <v>2472</v>
      </c>
      <c r="Z479">
        <v>51.76</v>
      </c>
      <c r="AA479">
        <v>45965.97</v>
      </c>
      <c r="AB479">
        <v>2379001</v>
      </c>
      <c r="AC479" t="b">
        <v>0</v>
      </c>
      <c r="AD479" t="b">
        <v>0</v>
      </c>
      <c r="AE479" t="b">
        <v>0</v>
      </c>
      <c r="AF479" t="b">
        <v>0</v>
      </c>
      <c r="AG479" t="s">
        <v>58</v>
      </c>
      <c r="AH479">
        <v>10</v>
      </c>
      <c r="AI479" t="s">
        <v>59</v>
      </c>
      <c r="AJ479" t="s">
        <v>60</v>
      </c>
      <c r="AL479" t="s">
        <v>281</v>
      </c>
      <c r="AM479" t="s">
        <v>245</v>
      </c>
      <c r="AN479" t="s">
        <v>63</v>
      </c>
      <c r="AO479" t="s">
        <v>2473</v>
      </c>
      <c r="AP479" t="s">
        <v>2544</v>
      </c>
    </row>
    <row r="480" spans="1:42" x14ac:dyDescent="0.45">
      <c r="A480" t="s">
        <v>2017</v>
      </c>
      <c r="B480" t="s">
        <v>2018</v>
      </c>
      <c r="C480" t="s">
        <v>2465</v>
      </c>
      <c r="D480">
        <v>2025</v>
      </c>
      <c r="E480" t="s">
        <v>45</v>
      </c>
      <c r="F480" t="s">
        <v>2020</v>
      </c>
      <c r="G480">
        <v>91</v>
      </c>
      <c r="J480" t="s">
        <v>2545</v>
      </c>
      <c r="K480" t="s">
        <v>2546</v>
      </c>
      <c r="L480" t="s">
        <v>2547</v>
      </c>
      <c r="M480" t="s">
        <v>2548</v>
      </c>
      <c r="N480" t="s">
        <v>2025</v>
      </c>
      <c r="O480" t="s">
        <v>2026</v>
      </c>
      <c r="P480" t="s">
        <v>2027</v>
      </c>
      <c r="Q480" t="s">
        <v>2470</v>
      </c>
      <c r="S480">
        <v>7</v>
      </c>
      <c r="T480" t="s">
        <v>2549</v>
      </c>
      <c r="U480">
        <v>7729</v>
      </c>
      <c r="V480">
        <v>8372</v>
      </c>
      <c r="W480">
        <v>0.92320000000000002</v>
      </c>
      <c r="X480" t="s">
        <v>70</v>
      </c>
      <c r="Y480" t="s">
        <v>2472</v>
      </c>
      <c r="Z480">
        <v>250.73</v>
      </c>
      <c r="AA480">
        <v>8803.2900000000009</v>
      </c>
      <c r="AB480">
        <v>2207292</v>
      </c>
      <c r="AC480" t="b">
        <v>1</v>
      </c>
      <c r="AD480" t="b">
        <v>1</v>
      </c>
      <c r="AE480" t="b">
        <v>0</v>
      </c>
      <c r="AF480" t="b">
        <v>0</v>
      </c>
      <c r="AG480" t="s">
        <v>58</v>
      </c>
      <c r="AH480">
        <v>14</v>
      </c>
      <c r="AI480" t="s">
        <v>59</v>
      </c>
      <c r="AJ480" t="s">
        <v>71</v>
      </c>
      <c r="AL480" t="s">
        <v>244</v>
      </c>
      <c r="AM480" t="s">
        <v>245</v>
      </c>
      <c r="AN480" t="s">
        <v>63</v>
      </c>
      <c r="AO480" t="s">
        <v>2473</v>
      </c>
      <c r="AP480" t="s">
        <v>2546</v>
      </c>
    </row>
    <row r="481" spans="1:42" x14ac:dyDescent="0.45">
      <c r="A481" t="s">
        <v>2017</v>
      </c>
      <c r="B481" t="s">
        <v>2018</v>
      </c>
      <c r="C481" t="s">
        <v>2465</v>
      </c>
      <c r="D481">
        <v>2025</v>
      </c>
      <c r="E481" t="s">
        <v>45</v>
      </c>
      <c r="F481" t="s">
        <v>2020</v>
      </c>
      <c r="G481">
        <v>90</v>
      </c>
      <c r="J481" t="s">
        <v>2550</v>
      </c>
      <c r="K481" t="s">
        <v>2551</v>
      </c>
      <c r="L481" t="s">
        <v>2552</v>
      </c>
      <c r="M481" t="s">
        <v>2553</v>
      </c>
      <c r="N481" t="s">
        <v>2025</v>
      </c>
      <c r="O481" t="s">
        <v>2026</v>
      </c>
      <c r="P481" t="s">
        <v>2027</v>
      </c>
      <c r="Q481" t="s">
        <v>2470</v>
      </c>
      <c r="S481">
        <v>8</v>
      </c>
      <c r="T481" t="s">
        <v>2554</v>
      </c>
      <c r="U481">
        <v>10212</v>
      </c>
      <c r="V481">
        <v>8372</v>
      </c>
      <c r="W481">
        <v>1.2198</v>
      </c>
      <c r="X481" t="s">
        <v>70</v>
      </c>
      <c r="Y481" t="s">
        <v>2472</v>
      </c>
      <c r="Z481">
        <v>257.70999999999998</v>
      </c>
      <c r="AA481">
        <v>6266.92</v>
      </c>
      <c r="AB481">
        <v>1615068</v>
      </c>
      <c r="AC481" t="b">
        <v>1</v>
      </c>
      <c r="AD481" t="b">
        <v>1</v>
      </c>
      <c r="AE481" t="b">
        <v>0</v>
      </c>
      <c r="AF481" t="b">
        <v>0</v>
      </c>
      <c r="AG481" t="s">
        <v>58</v>
      </c>
      <c r="AH481">
        <v>14</v>
      </c>
      <c r="AI481" t="s">
        <v>59</v>
      </c>
      <c r="AJ481" t="s">
        <v>71</v>
      </c>
      <c r="AL481" t="s">
        <v>244</v>
      </c>
      <c r="AM481" t="s">
        <v>245</v>
      </c>
      <c r="AN481" t="s">
        <v>63</v>
      </c>
      <c r="AO481" t="s">
        <v>2473</v>
      </c>
      <c r="AP481" t="s">
        <v>2551</v>
      </c>
    </row>
    <row r="482" spans="1:42" x14ac:dyDescent="0.45">
      <c r="A482" t="s">
        <v>2555</v>
      </c>
      <c r="B482" t="s">
        <v>2556</v>
      </c>
      <c r="C482" t="s">
        <v>2557</v>
      </c>
      <c r="D482">
        <v>2021</v>
      </c>
      <c r="E482" t="s">
        <v>45</v>
      </c>
      <c r="F482" t="s">
        <v>2020</v>
      </c>
      <c r="G482">
        <v>13</v>
      </c>
      <c r="J482" t="s">
        <v>2558</v>
      </c>
      <c r="K482" t="s">
        <v>2559</v>
      </c>
      <c r="L482" t="s">
        <v>2560</v>
      </c>
      <c r="M482" t="s">
        <v>2561</v>
      </c>
      <c r="N482" t="s">
        <v>2562</v>
      </c>
      <c r="O482" t="s">
        <v>2563</v>
      </c>
      <c r="P482" t="s">
        <v>2027</v>
      </c>
      <c r="Q482" t="s">
        <v>2564</v>
      </c>
      <c r="S482">
        <v>8</v>
      </c>
      <c r="T482" t="s">
        <v>2565</v>
      </c>
      <c r="U482">
        <v>4668</v>
      </c>
      <c r="V482">
        <v>4658</v>
      </c>
      <c r="W482">
        <v>1.0021</v>
      </c>
      <c r="X482" t="s">
        <v>70</v>
      </c>
      <c r="Y482" t="s">
        <v>2566</v>
      </c>
      <c r="Z482">
        <v>1703.69</v>
      </c>
      <c r="AA482">
        <v>5856.16</v>
      </c>
      <c r="AB482">
        <v>9977083</v>
      </c>
      <c r="AC482" t="b">
        <v>1</v>
      </c>
      <c r="AD482" t="b">
        <v>1</v>
      </c>
      <c r="AE482" t="b">
        <v>0</v>
      </c>
      <c r="AF482" t="b">
        <v>0</v>
      </c>
      <c r="AG482" t="s">
        <v>58</v>
      </c>
      <c r="AH482">
        <v>20</v>
      </c>
      <c r="AI482" t="s">
        <v>59</v>
      </c>
      <c r="AJ482" t="s">
        <v>71</v>
      </c>
      <c r="AL482" t="s">
        <v>72</v>
      </c>
      <c r="AM482" t="s">
        <v>62</v>
      </c>
      <c r="AN482" t="s">
        <v>63</v>
      </c>
      <c r="AO482" t="s">
        <v>2567</v>
      </c>
      <c r="AP482" t="s">
        <v>2559</v>
      </c>
    </row>
    <row r="483" spans="1:42" x14ac:dyDescent="0.45">
      <c r="A483" t="s">
        <v>2555</v>
      </c>
      <c r="B483" t="s">
        <v>2556</v>
      </c>
      <c r="C483" t="s">
        <v>2557</v>
      </c>
      <c r="D483">
        <v>2021</v>
      </c>
      <c r="E483" t="s">
        <v>45</v>
      </c>
      <c r="F483" t="s">
        <v>2020</v>
      </c>
      <c r="G483">
        <v>7</v>
      </c>
      <c r="J483" t="s">
        <v>2568</v>
      </c>
      <c r="K483" t="s">
        <v>2569</v>
      </c>
      <c r="L483" t="s">
        <v>2570</v>
      </c>
      <c r="M483" t="s">
        <v>2571</v>
      </c>
      <c r="N483" t="s">
        <v>2562</v>
      </c>
      <c r="O483" t="s">
        <v>2563</v>
      </c>
      <c r="P483" t="s">
        <v>2027</v>
      </c>
      <c r="Q483" t="s">
        <v>2564</v>
      </c>
      <c r="S483">
        <v>22</v>
      </c>
      <c r="T483" t="s">
        <v>2572</v>
      </c>
      <c r="U483">
        <v>4788</v>
      </c>
      <c r="V483">
        <v>4658</v>
      </c>
      <c r="W483">
        <v>1.0279</v>
      </c>
      <c r="X483" t="s">
        <v>70</v>
      </c>
      <c r="Y483" t="s">
        <v>2566</v>
      </c>
      <c r="Z483">
        <v>1745.69</v>
      </c>
      <c r="AA483">
        <v>4652.79</v>
      </c>
      <c r="AB483">
        <v>8122335</v>
      </c>
      <c r="AC483" t="b">
        <v>1</v>
      </c>
      <c r="AD483" t="b">
        <v>1</v>
      </c>
      <c r="AE483" t="b">
        <v>0</v>
      </c>
      <c r="AF483" t="b">
        <v>0</v>
      </c>
      <c r="AG483" t="s">
        <v>58</v>
      </c>
      <c r="AH483">
        <v>20</v>
      </c>
      <c r="AI483" t="s">
        <v>59</v>
      </c>
      <c r="AJ483" t="s">
        <v>71</v>
      </c>
      <c r="AL483" t="s">
        <v>72</v>
      </c>
      <c r="AM483" t="s">
        <v>62</v>
      </c>
      <c r="AN483" t="s">
        <v>63</v>
      </c>
      <c r="AO483" t="s">
        <v>2567</v>
      </c>
      <c r="AP483" t="s">
        <v>2569</v>
      </c>
    </row>
    <row r="484" spans="1:42" x14ac:dyDescent="0.45">
      <c r="A484" t="s">
        <v>2555</v>
      </c>
      <c r="B484" t="s">
        <v>2556</v>
      </c>
      <c r="C484" t="s">
        <v>2557</v>
      </c>
      <c r="D484">
        <v>2021</v>
      </c>
      <c r="E484" t="s">
        <v>45</v>
      </c>
      <c r="F484" t="s">
        <v>2020</v>
      </c>
      <c r="G484">
        <v>13</v>
      </c>
      <c r="J484" t="s">
        <v>2573</v>
      </c>
      <c r="K484" t="s">
        <v>2574</v>
      </c>
      <c r="L484" t="s">
        <v>2575</v>
      </c>
      <c r="M484" t="s">
        <v>2576</v>
      </c>
      <c r="N484" t="s">
        <v>2562</v>
      </c>
      <c r="O484" t="s">
        <v>2563</v>
      </c>
      <c r="P484" t="s">
        <v>2027</v>
      </c>
      <c r="Q484" t="s">
        <v>2564</v>
      </c>
      <c r="S484">
        <v>9</v>
      </c>
      <c r="T484" t="s">
        <v>2577</v>
      </c>
      <c r="U484">
        <v>70</v>
      </c>
      <c r="V484">
        <v>4658</v>
      </c>
      <c r="W484">
        <v>1.4999999999999999E-2</v>
      </c>
      <c r="X484" t="s">
        <v>56</v>
      </c>
      <c r="Y484" t="s">
        <v>2566</v>
      </c>
      <c r="Z484">
        <v>1705.12</v>
      </c>
      <c r="AA484">
        <v>456.54</v>
      </c>
      <c r="AB484">
        <v>778451</v>
      </c>
      <c r="AC484" t="b">
        <v>0</v>
      </c>
      <c r="AD484" t="b">
        <v>0</v>
      </c>
      <c r="AE484" t="b">
        <v>0</v>
      </c>
      <c r="AF484" t="b">
        <v>0</v>
      </c>
      <c r="AG484" t="s">
        <v>58</v>
      </c>
      <c r="AH484">
        <v>-15</v>
      </c>
      <c r="AI484" t="s">
        <v>59</v>
      </c>
      <c r="AJ484" t="s">
        <v>60</v>
      </c>
      <c r="AK484" t="s">
        <v>140</v>
      </c>
      <c r="AL484" t="s">
        <v>141</v>
      </c>
      <c r="AM484" t="s">
        <v>62</v>
      </c>
      <c r="AN484" t="s">
        <v>63</v>
      </c>
      <c r="AO484" t="s">
        <v>2567</v>
      </c>
      <c r="AP484" t="s">
        <v>2574</v>
      </c>
    </row>
    <row r="485" spans="1:42" x14ac:dyDescent="0.45">
      <c r="A485" t="s">
        <v>2555</v>
      </c>
      <c r="B485" t="s">
        <v>2556</v>
      </c>
      <c r="C485" t="s">
        <v>2557</v>
      </c>
      <c r="D485">
        <v>2021</v>
      </c>
      <c r="E485" t="s">
        <v>45</v>
      </c>
      <c r="F485" t="s">
        <v>2020</v>
      </c>
      <c r="G485">
        <v>9</v>
      </c>
      <c r="J485" t="s">
        <v>2578</v>
      </c>
      <c r="K485" t="s">
        <v>2579</v>
      </c>
      <c r="L485" t="s">
        <v>2580</v>
      </c>
      <c r="M485" t="s">
        <v>2581</v>
      </c>
      <c r="N485" t="s">
        <v>2562</v>
      </c>
      <c r="O485" t="s">
        <v>2563</v>
      </c>
      <c r="P485" t="s">
        <v>2027</v>
      </c>
      <c r="Q485" t="s">
        <v>2564</v>
      </c>
      <c r="S485">
        <v>17</v>
      </c>
      <c r="T485" t="s">
        <v>2582</v>
      </c>
      <c r="U485">
        <v>4736</v>
      </c>
      <c r="V485">
        <v>4658</v>
      </c>
      <c r="W485">
        <v>1.0166999999999999</v>
      </c>
      <c r="X485" t="s">
        <v>70</v>
      </c>
      <c r="Y485" t="s">
        <v>2566</v>
      </c>
      <c r="Z485">
        <v>1731.69</v>
      </c>
      <c r="AA485">
        <v>5683.07</v>
      </c>
      <c r="AB485">
        <v>9841302</v>
      </c>
      <c r="AC485" t="b">
        <v>1</v>
      </c>
      <c r="AD485" t="b">
        <v>1</v>
      </c>
      <c r="AE485" t="b">
        <v>0</v>
      </c>
      <c r="AF485" t="b">
        <v>0</v>
      </c>
      <c r="AG485" t="s">
        <v>58</v>
      </c>
      <c r="AH485">
        <v>20</v>
      </c>
      <c r="AI485" t="s">
        <v>59</v>
      </c>
      <c r="AJ485" t="s">
        <v>71</v>
      </c>
      <c r="AL485" t="s">
        <v>72</v>
      </c>
      <c r="AM485" t="s">
        <v>62</v>
      </c>
      <c r="AN485" t="s">
        <v>63</v>
      </c>
      <c r="AO485" t="s">
        <v>2567</v>
      </c>
      <c r="AP485" t="s">
        <v>2579</v>
      </c>
    </row>
    <row r="486" spans="1:42" x14ac:dyDescent="0.45">
      <c r="A486" t="s">
        <v>2555</v>
      </c>
      <c r="B486" t="s">
        <v>2556</v>
      </c>
      <c r="C486" t="s">
        <v>2557</v>
      </c>
      <c r="D486">
        <v>2021</v>
      </c>
      <c r="E486" t="s">
        <v>45</v>
      </c>
      <c r="F486" t="s">
        <v>2020</v>
      </c>
      <c r="G486">
        <v>4</v>
      </c>
      <c r="J486" t="s">
        <v>2583</v>
      </c>
      <c r="K486" t="s">
        <v>2584</v>
      </c>
      <c r="L486" t="s">
        <v>2585</v>
      </c>
      <c r="M486" t="s">
        <v>2586</v>
      </c>
      <c r="N486" t="s">
        <v>2562</v>
      </c>
      <c r="O486" t="s">
        <v>2563</v>
      </c>
      <c r="P486" t="s">
        <v>2027</v>
      </c>
      <c r="Q486" t="s">
        <v>2564</v>
      </c>
      <c r="S486">
        <v>21</v>
      </c>
      <c r="T486" t="s">
        <v>2587</v>
      </c>
      <c r="U486">
        <v>4635</v>
      </c>
      <c r="V486">
        <v>4658</v>
      </c>
      <c r="W486">
        <v>0.99509999999999998</v>
      </c>
      <c r="X486" t="s">
        <v>70</v>
      </c>
      <c r="Y486" t="s">
        <v>2566</v>
      </c>
      <c r="Z486">
        <v>1741</v>
      </c>
      <c r="AA486">
        <v>1701.64</v>
      </c>
      <c r="AB486">
        <v>2962562</v>
      </c>
      <c r="AC486" t="b">
        <v>1</v>
      </c>
      <c r="AD486" t="b">
        <v>1</v>
      </c>
      <c r="AE486" t="b">
        <v>0</v>
      </c>
      <c r="AF486" t="b">
        <v>0</v>
      </c>
      <c r="AG486" t="s">
        <v>58</v>
      </c>
      <c r="AH486">
        <v>20</v>
      </c>
      <c r="AI486" t="s">
        <v>59</v>
      </c>
      <c r="AJ486" t="s">
        <v>71</v>
      </c>
      <c r="AL486" t="s">
        <v>72</v>
      </c>
      <c r="AM486" t="s">
        <v>62</v>
      </c>
      <c r="AN486" t="s">
        <v>63</v>
      </c>
      <c r="AO486" t="s">
        <v>2567</v>
      </c>
      <c r="AP486" t="s">
        <v>2584</v>
      </c>
    </row>
    <row r="487" spans="1:42" x14ac:dyDescent="0.45">
      <c r="A487" t="s">
        <v>2555</v>
      </c>
      <c r="B487" t="s">
        <v>2556</v>
      </c>
      <c r="C487" t="s">
        <v>2557</v>
      </c>
      <c r="D487">
        <v>2021</v>
      </c>
      <c r="E487" t="s">
        <v>45</v>
      </c>
      <c r="F487" t="s">
        <v>2020</v>
      </c>
      <c r="G487">
        <v>6</v>
      </c>
      <c r="J487" t="s">
        <v>2588</v>
      </c>
      <c r="K487" t="s">
        <v>2589</v>
      </c>
      <c r="L487" t="s">
        <v>2590</v>
      </c>
      <c r="M487" t="s">
        <v>2591</v>
      </c>
      <c r="N487" t="s">
        <v>2562</v>
      </c>
      <c r="O487" t="s">
        <v>2563</v>
      </c>
      <c r="P487" t="s">
        <v>2027</v>
      </c>
      <c r="Q487" t="s">
        <v>2564</v>
      </c>
      <c r="S487">
        <v>16</v>
      </c>
      <c r="T487" t="s">
        <v>2592</v>
      </c>
      <c r="U487">
        <v>4481</v>
      </c>
      <c r="V487">
        <v>4658</v>
      </c>
      <c r="W487">
        <v>0.96199999999999997</v>
      </c>
      <c r="X487" t="s">
        <v>70</v>
      </c>
      <c r="Y487" t="s">
        <v>2566</v>
      </c>
      <c r="Z487">
        <v>1727.74</v>
      </c>
      <c r="AA487">
        <v>1473.13</v>
      </c>
      <c r="AB487">
        <v>2545178</v>
      </c>
      <c r="AC487" t="b">
        <v>1</v>
      </c>
      <c r="AD487" t="b">
        <v>1</v>
      </c>
      <c r="AE487" t="b">
        <v>0</v>
      </c>
      <c r="AF487" t="b">
        <v>0</v>
      </c>
      <c r="AG487" t="s">
        <v>58</v>
      </c>
      <c r="AH487">
        <v>20</v>
      </c>
      <c r="AI487" t="s">
        <v>59</v>
      </c>
      <c r="AJ487" t="s">
        <v>71</v>
      </c>
      <c r="AL487" t="s">
        <v>72</v>
      </c>
      <c r="AM487" t="s">
        <v>62</v>
      </c>
      <c r="AN487" t="s">
        <v>63</v>
      </c>
      <c r="AO487" t="s">
        <v>2567</v>
      </c>
      <c r="AP487" t="s">
        <v>2589</v>
      </c>
    </row>
    <row r="488" spans="1:42" x14ac:dyDescent="0.45">
      <c r="A488" t="s">
        <v>2555</v>
      </c>
      <c r="B488" t="s">
        <v>2556</v>
      </c>
      <c r="C488" t="s">
        <v>2557</v>
      </c>
      <c r="D488">
        <v>2021</v>
      </c>
      <c r="E488" t="s">
        <v>45</v>
      </c>
      <c r="F488" t="s">
        <v>2020</v>
      </c>
      <c r="G488">
        <v>12</v>
      </c>
      <c r="J488" t="e">
        <v>#NAME?</v>
      </c>
      <c r="K488" t="s">
        <v>2593</v>
      </c>
      <c r="L488" t="s">
        <v>2594</v>
      </c>
      <c r="M488" t="s">
        <v>2595</v>
      </c>
      <c r="N488" t="s">
        <v>2562</v>
      </c>
      <c r="O488" t="s">
        <v>2563</v>
      </c>
      <c r="P488" t="s">
        <v>2027</v>
      </c>
      <c r="Q488" t="s">
        <v>2564</v>
      </c>
      <c r="S488">
        <v>11</v>
      </c>
      <c r="T488" t="s">
        <v>2596</v>
      </c>
      <c r="U488">
        <v>81</v>
      </c>
      <c r="V488">
        <v>4658</v>
      </c>
      <c r="W488">
        <v>1.7399999999999999E-2</v>
      </c>
      <c r="X488" t="s">
        <v>56</v>
      </c>
      <c r="Y488" t="s">
        <v>2566</v>
      </c>
      <c r="Z488">
        <v>1712.13</v>
      </c>
      <c r="AA488">
        <v>406.15</v>
      </c>
      <c r="AB488">
        <v>695386</v>
      </c>
      <c r="AC488" t="b">
        <v>0</v>
      </c>
      <c r="AD488" t="b">
        <v>0</v>
      </c>
      <c r="AE488" t="b">
        <v>0</v>
      </c>
      <c r="AF488" t="b">
        <v>0</v>
      </c>
      <c r="AG488" t="s">
        <v>58</v>
      </c>
      <c r="AH488">
        <v>-15</v>
      </c>
      <c r="AI488" t="s">
        <v>59</v>
      </c>
      <c r="AJ488" t="s">
        <v>60</v>
      </c>
      <c r="AK488" t="s">
        <v>140</v>
      </c>
      <c r="AL488" t="s">
        <v>141</v>
      </c>
      <c r="AM488" t="s">
        <v>62</v>
      </c>
      <c r="AN488" t="s">
        <v>63</v>
      </c>
      <c r="AO488" t="s">
        <v>2567</v>
      </c>
      <c r="AP488" t="s">
        <v>2593</v>
      </c>
    </row>
    <row r="489" spans="1:42" x14ac:dyDescent="0.45">
      <c r="A489" t="s">
        <v>2555</v>
      </c>
      <c r="B489" t="s">
        <v>2556</v>
      </c>
      <c r="C489" t="s">
        <v>2557</v>
      </c>
      <c r="D489">
        <v>2021</v>
      </c>
      <c r="E489" t="s">
        <v>45</v>
      </c>
      <c r="F489" t="s">
        <v>2020</v>
      </c>
      <c r="G489">
        <v>11</v>
      </c>
      <c r="J489" t="s">
        <v>2597</v>
      </c>
      <c r="K489" t="s">
        <v>2598</v>
      </c>
      <c r="L489" t="s">
        <v>2599</v>
      </c>
      <c r="M489" t="s">
        <v>2600</v>
      </c>
      <c r="N489" t="s">
        <v>2562</v>
      </c>
      <c r="O489" t="s">
        <v>2563</v>
      </c>
      <c r="P489" t="s">
        <v>2027</v>
      </c>
      <c r="Q489" t="s">
        <v>2564</v>
      </c>
      <c r="S489">
        <v>12</v>
      </c>
      <c r="T489" t="s">
        <v>2601</v>
      </c>
      <c r="U489">
        <v>4513</v>
      </c>
      <c r="V489">
        <v>4658</v>
      </c>
      <c r="W489">
        <v>0.96889999999999998</v>
      </c>
      <c r="X489" t="s">
        <v>70</v>
      </c>
      <c r="Y489" t="s">
        <v>2566</v>
      </c>
      <c r="Z489">
        <v>1717.69</v>
      </c>
      <c r="AA489">
        <v>3559.13</v>
      </c>
      <c r="AB489">
        <v>6113491</v>
      </c>
      <c r="AC489" t="b">
        <v>1</v>
      </c>
      <c r="AD489" t="b">
        <v>1</v>
      </c>
      <c r="AE489" t="b">
        <v>0</v>
      </c>
      <c r="AF489" t="b">
        <v>0</v>
      </c>
      <c r="AG489" t="s">
        <v>58</v>
      </c>
      <c r="AH489">
        <v>20</v>
      </c>
      <c r="AI489" t="s">
        <v>59</v>
      </c>
      <c r="AJ489" t="s">
        <v>71</v>
      </c>
      <c r="AL489" t="s">
        <v>72</v>
      </c>
      <c r="AM489" t="s">
        <v>62</v>
      </c>
      <c r="AN489" t="s">
        <v>63</v>
      </c>
      <c r="AO489" t="s">
        <v>2567</v>
      </c>
      <c r="AP489" t="s">
        <v>2598</v>
      </c>
    </row>
    <row r="490" spans="1:42" x14ac:dyDescent="0.45">
      <c r="A490" t="s">
        <v>2555</v>
      </c>
      <c r="B490" t="s">
        <v>2556</v>
      </c>
      <c r="C490" t="s">
        <v>2557</v>
      </c>
      <c r="D490">
        <v>2021</v>
      </c>
      <c r="E490" t="s">
        <v>45</v>
      </c>
      <c r="F490" t="s">
        <v>2020</v>
      </c>
      <c r="G490">
        <v>3</v>
      </c>
      <c r="J490" t="s">
        <v>2602</v>
      </c>
      <c r="K490" t="s">
        <v>2603</v>
      </c>
      <c r="L490" t="s">
        <v>2604</v>
      </c>
      <c r="M490" t="s">
        <v>2605</v>
      </c>
      <c r="N490" t="s">
        <v>2562</v>
      </c>
      <c r="O490" t="s">
        <v>2563</v>
      </c>
      <c r="P490" t="s">
        <v>2027</v>
      </c>
      <c r="Q490" t="s">
        <v>2564</v>
      </c>
      <c r="S490">
        <v>24</v>
      </c>
      <c r="T490" t="s">
        <v>2606</v>
      </c>
      <c r="U490">
        <v>4389</v>
      </c>
      <c r="V490">
        <v>4658</v>
      </c>
      <c r="W490">
        <v>0.94220000000000004</v>
      </c>
      <c r="X490" t="s">
        <v>70</v>
      </c>
      <c r="Y490" t="s">
        <v>2566</v>
      </c>
      <c r="Z490">
        <v>1748.74</v>
      </c>
      <c r="AA490">
        <v>1789.91</v>
      </c>
      <c r="AB490">
        <v>3130086</v>
      </c>
      <c r="AC490" t="b">
        <v>1</v>
      </c>
      <c r="AD490" t="b">
        <v>1</v>
      </c>
      <c r="AE490" t="b">
        <v>0</v>
      </c>
      <c r="AF490" t="b">
        <v>0</v>
      </c>
      <c r="AG490" t="s">
        <v>58</v>
      </c>
      <c r="AH490">
        <v>20</v>
      </c>
      <c r="AI490" t="s">
        <v>59</v>
      </c>
      <c r="AJ490" t="s">
        <v>71</v>
      </c>
      <c r="AL490" t="s">
        <v>72</v>
      </c>
      <c r="AM490" t="s">
        <v>62</v>
      </c>
      <c r="AN490" t="s">
        <v>63</v>
      </c>
      <c r="AO490" t="s">
        <v>2567</v>
      </c>
      <c r="AP490" t="s">
        <v>2603</v>
      </c>
    </row>
    <row r="491" spans="1:42" x14ac:dyDescent="0.45">
      <c r="A491" t="s">
        <v>2555</v>
      </c>
      <c r="B491" t="s">
        <v>2556</v>
      </c>
      <c r="C491" t="s">
        <v>2557</v>
      </c>
      <c r="D491">
        <v>2021</v>
      </c>
      <c r="E491" t="s">
        <v>45</v>
      </c>
      <c r="F491" t="s">
        <v>2020</v>
      </c>
      <c r="G491">
        <v>14</v>
      </c>
      <c r="J491" t="s">
        <v>2607</v>
      </c>
      <c r="K491" t="s">
        <v>2608</v>
      </c>
      <c r="L491" t="s">
        <v>2609</v>
      </c>
      <c r="M491" t="s">
        <v>2610</v>
      </c>
      <c r="N491" t="s">
        <v>2562</v>
      </c>
      <c r="O491" t="s">
        <v>2563</v>
      </c>
      <c r="P491" t="s">
        <v>2027</v>
      </c>
      <c r="Q491" t="s">
        <v>2564</v>
      </c>
      <c r="S491">
        <v>6</v>
      </c>
      <c r="T491" t="s">
        <v>2611</v>
      </c>
      <c r="U491">
        <v>4658</v>
      </c>
      <c r="V491">
        <v>4658</v>
      </c>
      <c r="W491">
        <v>1</v>
      </c>
      <c r="X491" t="s">
        <v>70</v>
      </c>
      <c r="Y491" t="s">
        <v>2566</v>
      </c>
      <c r="Z491">
        <v>1696.69</v>
      </c>
      <c r="AA491">
        <v>4538.6499999999996</v>
      </c>
      <c r="AB491">
        <v>7700688</v>
      </c>
      <c r="AC491" t="b">
        <v>1</v>
      </c>
      <c r="AD491" t="b">
        <v>1</v>
      </c>
      <c r="AE491" t="b">
        <v>0</v>
      </c>
      <c r="AF491" t="b">
        <v>0</v>
      </c>
      <c r="AG491" t="s">
        <v>58</v>
      </c>
      <c r="AH491">
        <v>20</v>
      </c>
      <c r="AI491" t="s">
        <v>59</v>
      </c>
      <c r="AJ491" t="s">
        <v>71</v>
      </c>
      <c r="AL491" t="s">
        <v>72</v>
      </c>
      <c r="AM491" t="s">
        <v>62</v>
      </c>
      <c r="AN491" t="s">
        <v>63</v>
      </c>
      <c r="AO491" t="s">
        <v>2567</v>
      </c>
      <c r="AP491" t="s">
        <v>2608</v>
      </c>
    </row>
    <row r="492" spans="1:42" x14ac:dyDescent="0.45">
      <c r="A492" t="s">
        <v>2555</v>
      </c>
      <c r="B492" t="s">
        <v>2556</v>
      </c>
      <c r="C492" t="s">
        <v>2557</v>
      </c>
      <c r="D492">
        <v>2021</v>
      </c>
      <c r="E492" t="s">
        <v>45</v>
      </c>
      <c r="F492" t="s">
        <v>2020</v>
      </c>
      <c r="G492">
        <v>8</v>
      </c>
      <c r="J492" t="s">
        <v>2612</v>
      </c>
      <c r="K492" t="s">
        <v>2613</v>
      </c>
      <c r="L492" t="s">
        <v>2614</v>
      </c>
      <c r="M492" t="s">
        <v>2615</v>
      </c>
      <c r="N492" t="s">
        <v>2562</v>
      </c>
      <c r="O492" t="s">
        <v>2563</v>
      </c>
      <c r="P492" t="s">
        <v>2027</v>
      </c>
      <c r="Q492" t="s">
        <v>2564</v>
      </c>
      <c r="S492">
        <v>19</v>
      </c>
      <c r="T492" t="s">
        <v>2616</v>
      </c>
      <c r="U492">
        <v>4697</v>
      </c>
      <c r="V492">
        <v>4658</v>
      </c>
      <c r="W492">
        <v>1.0084</v>
      </c>
      <c r="X492" t="s">
        <v>70</v>
      </c>
      <c r="Y492" t="s">
        <v>2566</v>
      </c>
      <c r="Z492">
        <v>1738.69</v>
      </c>
      <c r="AA492">
        <v>5482.1</v>
      </c>
      <c r="AB492">
        <v>9531674</v>
      </c>
      <c r="AC492" t="b">
        <v>1</v>
      </c>
      <c r="AD492" t="b">
        <v>1</v>
      </c>
      <c r="AE492" t="b">
        <v>0</v>
      </c>
      <c r="AF492" t="b">
        <v>0</v>
      </c>
      <c r="AG492" t="s">
        <v>58</v>
      </c>
      <c r="AH492">
        <v>20</v>
      </c>
      <c r="AI492" t="s">
        <v>59</v>
      </c>
      <c r="AJ492" t="s">
        <v>71</v>
      </c>
      <c r="AL492" t="s">
        <v>72</v>
      </c>
      <c r="AM492" t="s">
        <v>62</v>
      </c>
      <c r="AN492" t="s">
        <v>63</v>
      </c>
      <c r="AO492" t="s">
        <v>2567</v>
      </c>
      <c r="AP492" t="s">
        <v>2613</v>
      </c>
    </row>
    <row r="493" spans="1:42" x14ac:dyDescent="0.45">
      <c r="A493" t="s">
        <v>2555</v>
      </c>
      <c r="B493" t="s">
        <v>2556</v>
      </c>
      <c r="C493" t="s">
        <v>2557</v>
      </c>
      <c r="D493">
        <v>2021</v>
      </c>
      <c r="E493" t="s">
        <v>45</v>
      </c>
      <c r="F493" t="s">
        <v>2020</v>
      </c>
      <c r="G493">
        <v>5</v>
      </c>
      <c r="J493" t="s">
        <v>2617</v>
      </c>
      <c r="K493" t="s">
        <v>2618</v>
      </c>
      <c r="L493" t="s">
        <v>2619</v>
      </c>
      <c r="M493" t="s">
        <v>2620</v>
      </c>
      <c r="N493" t="s">
        <v>2562</v>
      </c>
      <c r="O493" t="s">
        <v>2563</v>
      </c>
      <c r="P493" t="s">
        <v>2027</v>
      </c>
      <c r="Q493" t="s">
        <v>2564</v>
      </c>
      <c r="S493">
        <v>26</v>
      </c>
      <c r="T493" t="s">
        <v>2621</v>
      </c>
      <c r="U493">
        <v>4717</v>
      </c>
      <c r="V493">
        <v>4658</v>
      </c>
      <c r="W493">
        <v>1.0126999999999999</v>
      </c>
      <c r="X493" t="s">
        <v>70</v>
      </c>
      <c r="Y493" t="s">
        <v>2566</v>
      </c>
      <c r="Z493">
        <v>1758.84</v>
      </c>
      <c r="AA493">
        <v>3228.04</v>
      </c>
      <c r="AB493">
        <v>5677625</v>
      </c>
      <c r="AC493" t="b">
        <v>1</v>
      </c>
      <c r="AD493" t="b">
        <v>1</v>
      </c>
      <c r="AE493" t="b">
        <v>0</v>
      </c>
      <c r="AF493" t="b">
        <v>0</v>
      </c>
      <c r="AG493" t="s">
        <v>58</v>
      </c>
      <c r="AH493">
        <v>20</v>
      </c>
      <c r="AI493" t="s">
        <v>59</v>
      </c>
      <c r="AJ493" t="s">
        <v>71</v>
      </c>
      <c r="AL493" t="s">
        <v>72</v>
      </c>
      <c r="AM493" t="s">
        <v>62</v>
      </c>
      <c r="AN493" t="s">
        <v>63</v>
      </c>
      <c r="AO493" t="s">
        <v>2567</v>
      </c>
      <c r="AP493" t="s">
        <v>2618</v>
      </c>
    </row>
    <row r="494" spans="1:42" x14ac:dyDescent="0.45">
      <c r="A494" t="s">
        <v>2555</v>
      </c>
      <c r="B494" t="s">
        <v>2556</v>
      </c>
      <c r="C494" t="s">
        <v>2557</v>
      </c>
      <c r="D494">
        <v>2021</v>
      </c>
      <c r="E494" t="s">
        <v>45</v>
      </c>
      <c r="F494" t="s">
        <v>2020</v>
      </c>
      <c r="G494">
        <v>14</v>
      </c>
      <c r="J494" t="s">
        <v>2622</v>
      </c>
      <c r="K494" t="s">
        <v>2623</v>
      </c>
      <c r="L494" t="s">
        <v>2624</v>
      </c>
      <c r="M494" t="s">
        <v>2625</v>
      </c>
      <c r="N494" t="s">
        <v>2562</v>
      </c>
      <c r="O494" t="s">
        <v>2563</v>
      </c>
      <c r="P494" t="s">
        <v>2027</v>
      </c>
      <c r="Q494" t="s">
        <v>2564</v>
      </c>
      <c r="S494">
        <v>7</v>
      </c>
      <c r="T494" t="s">
        <v>2626</v>
      </c>
      <c r="U494">
        <v>71</v>
      </c>
      <c r="V494">
        <v>4658</v>
      </c>
      <c r="W494">
        <v>1.52E-2</v>
      </c>
      <c r="X494" t="s">
        <v>56</v>
      </c>
      <c r="Y494" t="s">
        <v>2566</v>
      </c>
      <c r="Z494">
        <v>1698.13</v>
      </c>
      <c r="AA494">
        <v>429.08</v>
      </c>
      <c r="AB494">
        <v>728638</v>
      </c>
      <c r="AC494" t="b">
        <v>0</v>
      </c>
      <c r="AD494" t="b">
        <v>0</v>
      </c>
      <c r="AE494" t="b">
        <v>0</v>
      </c>
      <c r="AF494" t="b">
        <v>0</v>
      </c>
      <c r="AG494" t="s">
        <v>58</v>
      </c>
      <c r="AH494">
        <v>-15</v>
      </c>
      <c r="AI494" t="s">
        <v>59</v>
      </c>
      <c r="AJ494" t="s">
        <v>60</v>
      </c>
      <c r="AK494" t="s">
        <v>140</v>
      </c>
      <c r="AL494" t="s">
        <v>141</v>
      </c>
      <c r="AM494" t="s">
        <v>62</v>
      </c>
      <c r="AN494" t="s">
        <v>63</v>
      </c>
      <c r="AO494" t="s">
        <v>2567</v>
      </c>
      <c r="AP494" t="s">
        <v>2623</v>
      </c>
    </row>
    <row r="495" spans="1:42" x14ac:dyDescent="0.45">
      <c r="A495" t="s">
        <v>2555</v>
      </c>
      <c r="B495" t="s">
        <v>2556</v>
      </c>
      <c r="C495" t="s">
        <v>2557</v>
      </c>
      <c r="D495">
        <v>2021</v>
      </c>
      <c r="E495" t="s">
        <v>45</v>
      </c>
      <c r="F495" t="s">
        <v>2020</v>
      </c>
      <c r="G495">
        <v>7</v>
      </c>
      <c r="J495" t="s">
        <v>2627</v>
      </c>
      <c r="K495" t="s">
        <v>2628</v>
      </c>
      <c r="L495" t="s">
        <v>2629</v>
      </c>
      <c r="M495" t="s">
        <v>2630</v>
      </c>
      <c r="N495" t="s">
        <v>2562</v>
      </c>
      <c r="O495" t="s">
        <v>2563</v>
      </c>
      <c r="P495" t="s">
        <v>2027</v>
      </c>
      <c r="Q495" t="s">
        <v>2564</v>
      </c>
      <c r="S495">
        <v>23</v>
      </c>
      <c r="T495" t="s">
        <v>2631</v>
      </c>
      <c r="U495">
        <v>72</v>
      </c>
      <c r="V495">
        <v>4658</v>
      </c>
      <c r="W495">
        <v>1.55E-2</v>
      </c>
      <c r="X495" t="s">
        <v>56</v>
      </c>
      <c r="Y495" t="s">
        <v>2566</v>
      </c>
      <c r="Z495">
        <v>1747.13</v>
      </c>
      <c r="AA495">
        <v>405.23</v>
      </c>
      <c r="AB495">
        <v>707984</v>
      </c>
      <c r="AC495" t="b">
        <v>0</v>
      </c>
      <c r="AD495" t="b">
        <v>0</v>
      </c>
      <c r="AE495" t="b">
        <v>0</v>
      </c>
      <c r="AF495" t="b">
        <v>0</v>
      </c>
      <c r="AG495" t="s">
        <v>58</v>
      </c>
      <c r="AH495">
        <v>-15</v>
      </c>
      <c r="AI495" t="s">
        <v>59</v>
      </c>
      <c r="AJ495" t="s">
        <v>60</v>
      </c>
      <c r="AK495" t="s">
        <v>140</v>
      </c>
      <c r="AL495" t="s">
        <v>141</v>
      </c>
      <c r="AM495" t="s">
        <v>62</v>
      </c>
      <c r="AN495" t="s">
        <v>63</v>
      </c>
      <c r="AO495" t="s">
        <v>2567</v>
      </c>
      <c r="AP495" t="s">
        <v>2628</v>
      </c>
    </row>
    <row r="496" spans="1:42" x14ac:dyDescent="0.45">
      <c r="A496" t="s">
        <v>2555</v>
      </c>
      <c r="B496" t="s">
        <v>2556</v>
      </c>
      <c r="C496" t="s">
        <v>2557</v>
      </c>
      <c r="D496">
        <v>2021</v>
      </c>
      <c r="E496" t="s">
        <v>45</v>
      </c>
      <c r="F496" t="s">
        <v>2020</v>
      </c>
      <c r="G496">
        <v>9</v>
      </c>
      <c r="J496" t="s">
        <v>2632</v>
      </c>
      <c r="K496" t="s">
        <v>2633</v>
      </c>
      <c r="L496" t="s">
        <v>2634</v>
      </c>
      <c r="M496" t="s">
        <v>2635</v>
      </c>
      <c r="N496" t="s">
        <v>2562</v>
      </c>
      <c r="O496" t="s">
        <v>2563</v>
      </c>
      <c r="P496" t="s">
        <v>2027</v>
      </c>
      <c r="Q496" t="s">
        <v>2564</v>
      </c>
      <c r="S496">
        <v>18</v>
      </c>
      <c r="T496" t="s">
        <v>2636</v>
      </c>
      <c r="U496">
        <v>70</v>
      </c>
      <c r="V496">
        <v>4658</v>
      </c>
      <c r="W496">
        <v>1.4999999999999999E-2</v>
      </c>
      <c r="X496" t="s">
        <v>56</v>
      </c>
      <c r="Y496" t="s">
        <v>2566</v>
      </c>
      <c r="Z496">
        <v>1733.13</v>
      </c>
      <c r="AA496">
        <v>571.79</v>
      </c>
      <c r="AB496">
        <v>990991</v>
      </c>
      <c r="AC496" t="b">
        <v>0</v>
      </c>
      <c r="AD496" t="b">
        <v>0</v>
      </c>
      <c r="AE496" t="b">
        <v>0</v>
      </c>
      <c r="AF496" t="b">
        <v>0</v>
      </c>
      <c r="AG496" t="s">
        <v>58</v>
      </c>
      <c r="AH496">
        <v>-15</v>
      </c>
      <c r="AI496" t="s">
        <v>59</v>
      </c>
      <c r="AJ496" t="s">
        <v>60</v>
      </c>
      <c r="AK496" t="s">
        <v>140</v>
      </c>
      <c r="AL496" t="s">
        <v>141</v>
      </c>
      <c r="AM496" t="s">
        <v>62</v>
      </c>
      <c r="AN496" t="s">
        <v>63</v>
      </c>
      <c r="AO496" t="s">
        <v>2567</v>
      </c>
      <c r="AP496" t="s">
        <v>2633</v>
      </c>
    </row>
    <row r="497" spans="1:42" x14ac:dyDescent="0.45">
      <c r="A497" t="s">
        <v>2555</v>
      </c>
      <c r="B497" t="s">
        <v>2556</v>
      </c>
      <c r="C497" t="s">
        <v>2557</v>
      </c>
      <c r="D497">
        <v>2021</v>
      </c>
      <c r="E497" t="s">
        <v>45</v>
      </c>
      <c r="F497" t="s">
        <v>2020</v>
      </c>
      <c r="G497">
        <v>11</v>
      </c>
      <c r="J497" t="s">
        <v>2637</v>
      </c>
      <c r="K497" t="s">
        <v>2638</v>
      </c>
      <c r="L497" t="s">
        <v>2639</v>
      </c>
      <c r="M497" t="s">
        <v>2640</v>
      </c>
      <c r="N497" t="s">
        <v>2562</v>
      </c>
      <c r="O497" t="s">
        <v>2563</v>
      </c>
      <c r="P497" t="s">
        <v>2027</v>
      </c>
      <c r="Q497" t="s">
        <v>2564</v>
      </c>
      <c r="S497">
        <v>13</v>
      </c>
      <c r="T497" t="s">
        <v>2641</v>
      </c>
      <c r="U497">
        <v>100</v>
      </c>
      <c r="V497">
        <v>4658</v>
      </c>
      <c r="W497">
        <v>2.1499999999999998E-2</v>
      </c>
      <c r="X497" t="s">
        <v>56</v>
      </c>
      <c r="Y497" t="s">
        <v>2566</v>
      </c>
      <c r="Z497">
        <v>1719.12</v>
      </c>
      <c r="AA497">
        <v>560.62</v>
      </c>
      <c r="AB497">
        <v>963763</v>
      </c>
      <c r="AC497" t="b">
        <v>0</v>
      </c>
      <c r="AD497" t="b">
        <v>0</v>
      </c>
      <c r="AE497" t="b">
        <v>0</v>
      </c>
      <c r="AF497" t="b">
        <v>0</v>
      </c>
      <c r="AG497" t="s">
        <v>58</v>
      </c>
      <c r="AH497">
        <v>-15</v>
      </c>
      <c r="AI497" t="s">
        <v>59</v>
      </c>
      <c r="AJ497" t="s">
        <v>60</v>
      </c>
      <c r="AK497" t="s">
        <v>140</v>
      </c>
      <c r="AL497" t="s">
        <v>141</v>
      </c>
      <c r="AM497" t="s">
        <v>62</v>
      </c>
      <c r="AN497" t="s">
        <v>63</v>
      </c>
      <c r="AO497" t="s">
        <v>2567</v>
      </c>
      <c r="AP497" t="s">
        <v>2638</v>
      </c>
    </row>
    <row r="498" spans="1:42" x14ac:dyDescent="0.45">
      <c r="A498" t="s">
        <v>2555</v>
      </c>
      <c r="B498" t="s">
        <v>2556</v>
      </c>
      <c r="C498" t="s">
        <v>2557</v>
      </c>
      <c r="D498">
        <v>2021</v>
      </c>
      <c r="E498" t="s">
        <v>45</v>
      </c>
      <c r="F498" t="s">
        <v>2020</v>
      </c>
      <c r="G498">
        <v>8</v>
      </c>
      <c r="J498" t="s">
        <v>2642</v>
      </c>
      <c r="K498" t="s">
        <v>2643</v>
      </c>
      <c r="L498" t="s">
        <v>2644</v>
      </c>
      <c r="M498" t="s">
        <v>2645</v>
      </c>
      <c r="N498" t="s">
        <v>2562</v>
      </c>
      <c r="O498" t="s">
        <v>2563</v>
      </c>
      <c r="P498" t="s">
        <v>2027</v>
      </c>
      <c r="Q498" t="s">
        <v>2564</v>
      </c>
      <c r="S498">
        <v>20</v>
      </c>
      <c r="T498" t="s">
        <v>2646</v>
      </c>
      <c r="U498">
        <v>66</v>
      </c>
      <c r="V498">
        <v>4658</v>
      </c>
      <c r="W498">
        <v>1.4200000000000001E-2</v>
      </c>
      <c r="X498" t="s">
        <v>56</v>
      </c>
      <c r="Y498" t="s">
        <v>2566</v>
      </c>
      <c r="Z498">
        <v>1740.13</v>
      </c>
      <c r="AA498">
        <v>478.72</v>
      </c>
      <c r="AB498">
        <v>833043</v>
      </c>
      <c r="AC498" t="b">
        <v>0</v>
      </c>
      <c r="AD498" t="b">
        <v>0</v>
      </c>
      <c r="AE498" t="b">
        <v>0</v>
      </c>
      <c r="AF498" t="b">
        <v>0</v>
      </c>
      <c r="AG498" t="s">
        <v>58</v>
      </c>
      <c r="AH498">
        <v>-15</v>
      </c>
      <c r="AI498" t="s">
        <v>59</v>
      </c>
      <c r="AJ498" t="s">
        <v>60</v>
      </c>
      <c r="AK498" t="s">
        <v>140</v>
      </c>
      <c r="AL498" t="s">
        <v>141</v>
      </c>
      <c r="AM498" t="s">
        <v>62</v>
      </c>
      <c r="AN498" t="s">
        <v>63</v>
      </c>
      <c r="AO498" t="s">
        <v>2567</v>
      </c>
      <c r="AP498" t="s">
        <v>2643</v>
      </c>
    </row>
    <row r="499" spans="1:42" x14ac:dyDescent="0.45">
      <c r="A499" t="s">
        <v>2555</v>
      </c>
      <c r="B499" t="s">
        <v>2556</v>
      </c>
      <c r="C499" t="s">
        <v>2557</v>
      </c>
      <c r="D499">
        <v>2021</v>
      </c>
      <c r="E499" t="s">
        <v>45</v>
      </c>
      <c r="F499" t="s">
        <v>2020</v>
      </c>
      <c r="G499">
        <v>5</v>
      </c>
      <c r="J499" t="s">
        <v>2647</v>
      </c>
      <c r="K499" t="s">
        <v>2648</v>
      </c>
      <c r="L499" t="s">
        <v>2649</v>
      </c>
      <c r="M499" t="s">
        <v>2650</v>
      </c>
      <c r="N499" t="s">
        <v>2562</v>
      </c>
      <c r="O499" t="s">
        <v>2563</v>
      </c>
      <c r="P499" t="s">
        <v>2027</v>
      </c>
      <c r="Q499" t="s">
        <v>2564</v>
      </c>
      <c r="S499">
        <v>27</v>
      </c>
      <c r="T499" t="s">
        <v>2651</v>
      </c>
      <c r="U499">
        <v>69</v>
      </c>
      <c r="V499">
        <v>4658</v>
      </c>
      <c r="W499">
        <v>1.4800000000000001E-2</v>
      </c>
      <c r="X499" t="s">
        <v>56</v>
      </c>
      <c r="Y499" t="s">
        <v>2566</v>
      </c>
      <c r="Z499">
        <v>1761.13</v>
      </c>
      <c r="AA499">
        <v>480.83</v>
      </c>
      <c r="AB499">
        <v>846797</v>
      </c>
      <c r="AC499" t="b">
        <v>0</v>
      </c>
      <c r="AD499" t="b">
        <v>0</v>
      </c>
      <c r="AE499" t="b">
        <v>0</v>
      </c>
      <c r="AF499" t="b">
        <v>0</v>
      </c>
      <c r="AG499" t="s">
        <v>58</v>
      </c>
      <c r="AH499">
        <v>-15</v>
      </c>
      <c r="AI499" t="s">
        <v>59</v>
      </c>
      <c r="AJ499" t="s">
        <v>60</v>
      </c>
      <c r="AK499" t="s">
        <v>140</v>
      </c>
      <c r="AL499" t="s">
        <v>141</v>
      </c>
      <c r="AM499" t="s">
        <v>62</v>
      </c>
      <c r="AN499" t="s">
        <v>63</v>
      </c>
      <c r="AO499" t="s">
        <v>2567</v>
      </c>
      <c r="AP499" t="s">
        <v>2648</v>
      </c>
    </row>
    <row r="500" spans="1:42" x14ac:dyDescent="0.45">
      <c r="A500" t="s">
        <v>2555</v>
      </c>
      <c r="B500" t="s">
        <v>2556</v>
      </c>
      <c r="C500" t="s">
        <v>2557</v>
      </c>
      <c r="D500">
        <v>2021</v>
      </c>
      <c r="E500" t="s">
        <v>45</v>
      </c>
      <c r="F500" t="s">
        <v>2020</v>
      </c>
      <c r="J500" t="s">
        <v>2652</v>
      </c>
      <c r="K500" t="s">
        <v>2653</v>
      </c>
      <c r="L500" t="s">
        <v>2654</v>
      </c>
      <c r="M500" t="s">
        <v>2655</v>
      </c>
      <c r="N500" t="s">
        <v>2562</v>
      </c>
      <c r="O500" t="s">
        <v>2563</v>
      </c>
      <c r="P500" t="s">
        <v>2027</v>
      </c>
      <c r="Q500" t="s">
        <v>2564</v>
      </c>
      <c r="S500">
        <v>0</v>
      </c>
      <c r="T500" t="s">
        <v>2656</v>
      </c>
      <c r="U500">
        <v>723</v>
      </c>
      <c r="V500">
        <v>4658</v>
      </c>
      <c r="W500">
        <v>0.1552</v>
      </c>
      <c r="X500" t="s">
        <v>56</v>
      </c>
      <c r="Y500" t="s">
        <v>2566</v>
      </c>
      <c r="Z500">
        <v>1498.81</v>
      </c>
      <c r="AA500">
        <v>37.229999999999997</v>
      </c>
      <c r="AB500">
        <v>55800</v>
      </c>
      <c r="AC500" t="b">
        <v>0</v>
      </c>
      <c r="AD500" t="b">
        <v>0</v>
      </c>
      <c r="AE500" t="b">
        <v>0</v>
      </c>
      <c r="AF500" t="b">
        <v>0</v>
      </c>
      <c r="AG500" t="s">
        <v>58</v>
      </c>
      <c r="AH500">
        <v>10</v>
      </c>
      <c r="AI500" t="s">
        <v>59</v>
      </c>
      <c r="AJ500" t="s">
        <v>60</v>
      </c>
      <c r="AL500" t="s">
        <v>61</v>
      </c>
      <c r="AM500" t="s">
        <v>62</v>
      </c>
      <c r="AN500" t="s">
        <v>63</v>
      </c>
      <c r="AO500" t="s">
        <v>2567</v>
      </c>
      <c r="AP500" t="s">
        <v>2653</v>
      </c>
    </row>
    <row r="501" spans="1:42" x14ac:dyDescent="0.45">
      <c r="A501" t="s">
        <v>2555</v>
      </c>
      <c r="B501" t="s">
        <v>2556</v>
      </c>
      <c r="C501" t="s">
        <v>2557</v>
      </c>
      <c r="D501">
        <v>2021</v>
      </c>
      <c r="E501" t="s">
        <v>45</v>
      </c>
      <c r="F501" t="s">
        <v>2020</v>
      </c>
      <c r="G501">
        <v>15</v>
      </c>
      <c r="J501" t="s">
        <v>2657</v>
      </c>
      <c r="K501" t="s">
        <v>2658</v>
      </c>
      <c r="L501" t="s">
        <v>2659</v>
      </c>
      <c r="M501" t="s">
        <v>2660</v>
      </c>
      <c r="N501" t="s">
        <v>2562</v>
      </c>
      <c r="O501" t="s">
        <v>2563</v>
      </c>
      <c r="P501" t="s">
        <v>2027</v>
      </c>
      <c r="Q501" t="s">
        <v>2564</v>
      </c>
      <c r="S501">
        <v>4</v>
      </c>
      <c r="T501" t="s">
        <v>2661</v>
      </c>
      <c r="U501">
        <v>4403</v>
      </c>
      <c r="V501">
        <v>4658</v>
      </c>
      <c r="W501">
        <v>0.94530000000000003</v>
      </c>
      <c r="X501" t="s">
        <v>70</v>
      </c>
      <c r="Y501" t="s">
        <v>2566</v>
      </c>
      <c r="Z501">
        <v>1689.69</v>
      </c>
      <c r="AA501">
        <v>5107.59</v>
      </c>
      <c r="AB501">
        <v>8630253</v>
      </c>
      <c r="AC501" t="b">
        <v>1</v>
      </c>
      <c r="AD501" t="b">
        <v>1</v>
      </c>
      <c r="AE501" t="b">
        <v>0</v>
      </c>
      <c r="AF501" t="b">
        <v>0</v>
      </c>
      <c r="AG501" t="s">
        <v>58</v>
      </c>
      <c r="AH501">
        <v>20</v>
      </c>
      <c r="AI501" t="s">
        <v>59</v>
      </c>
      <c r="AJ501" t="s">
        <v>71</v>
      </c>
      <c r="AL501" t="s">
        <v>72</v>
      </c>
      <c r="AM501" t="s">
        <v>62</v>
      </c>
      <c r="AN501" t="s">
        <v>63</v>
      </c>
      <c r="AO501" t="s">
        <v>2567</v>
      </c>
      <c r="AP501" t="s">
        <v>2658</v>
      </c>
    </row>
    <row r="502" spans="1:42" x14ac:dyDescent="0.45">
      <c r="A502" t="s">
        <v>2555</v>
      </c>
      <c r="B502" t="s">
        <v>2556</v>
      </c>
      <c r="C502" t="s">
        <v>2557</v>
      </c>
      <c r="D502">
        <v>2021</v>
      </c>
      <c r="E502" t="s">
        <v>45</v>
      </c>
      <c r="F502" t="s">
        <v>2020</v>
      </c>
      <c r="G502">
        <v>4</v>
      </c>
      <c r="J502" t="s">
        <v>2662</v>
      </c>
      <c r="K502" t="s">
        <v>2663</v>
      </c>
      <c r="L502" t="s">
        <v>2664</v>
      </c>
      <c r="M502" t="s">
        <v>2665</v>
      </c>
      <c r="N502" t="s">
        <v>2562</v>
      </c>
      <c r="O502" t="s">
        <v>2563</v>
      </c>
      <c r="P502" t="s">
        <v>2027</v>
      </c>
      <c r="Q502" t="s">
        <v>2564</v>
      </c>
      <c r="S502">
        <v>29</v>
      </c>
      <c r="T502" t="s">
        <v>2666</v>
      </c>
      <c r="U502">
        <v>63</v>
      </c>
      <c r="V502">
        <v>4658</v>
      </c>
      <c r="W502">
        <v>1.35E-2</v>
      </c>
      <c r="X502" t="s">
        <v>56</v>
      </c>
      <c r="Y502" t="s">
        <v>2566</v>
      </c>
      <c r="Z502">
        <v>1768.09</v>
      </c>
      <c r="AA502">
        <v>286.61</v>
      </c>
      <c r="AB502">
        <v>506750</v>
      </c>
      <c r="AC502" t="b">
        <v>0</v>
      </c>
      <c r="AD502" t="b">
        <v>0</v>
      </c>
      <c r="AE502" t="b">
        <v>0</v>
      </c>
      <c r="AF502" t="b">
        <v>0</v>
      </c>
      <c r="AG502" t="s">
        <v>58</v>
      </c>
      <c r="AH502">
        <v>-15</v>
      </c>
      <c r="AI502" t="s">
        <v>59</v>
      </c>
      <c r="AJ502" t="s">
        <v>60</v>
      </c>
      <c r="AK502" t="s">
        <v>140</v>
      </c>
      <c r="AL502" t="s">
        <v>141</v>
      </c>
      <c r="AM502" t="s">
        <v>62</v>
      </c>
      <c r="AN502" t="s">
        <v>63</v>
      </c>
      <c r="AO502" t="s">
        <v>2567</v>
      </c>
      <c r="AP502" t="s">
        <v>2663</v>
      </c>
    </row>
    <row r="503" spans="1:42" x14ac:dyDescent="0.45">
      <c r="A503" t="s">
        <v>2555</v>
      </c>
      <c r="B503" t="s">
        <v>2556</v>
      </c>
      <c r="C503" t="s">
        <v>2557</v>
      </c>
      <c r="D503">
        <v>2021</v>
      </c>
      <c r="E503" t="s">
        <v>45</v>
      </c>
      <c r="F503" t="s">
        <v>2020</v>
      </c>
      <c r="G503">
        <v>3</v>
      </c>
      <c r="J503" t="s">
        <v>2667</v>
      </c>
      <c r="K503" t="s">
        <v>2668</v>
      </c>
      <c r="L503" t="s">
        <v>2669</v>
      </c>
      <c r="M503" t="s">
        <v>2670</v>
      </c>
      <c r="N503" t="s">
        <v>2562</v>
      </c>
      <c r="O503" t="s">
        <v>2563</v>
      </c>
      <c r="P503" t="s">
        <v>2027</v>
      </c>
      <c r="Q503" t="s">
        <v>2564</v>
      </c>
      <c r="S503">
        <v>30</v>
      </c>
      <c r="T503" t="s">
        <v>2671</v>
      </c>
      <c r="U503">
        <v>66</v>
      </c>
      <c r="V503">
        <v>4658</v>
      </c>
      <c r="W503">
        <v>1.4200000000000001E-2</v>
      </c>
      <c r="X503" t="s">
        <v>56</v>
      </c>
      <c r="Y503" t="s">
        <v>2566</v>
      </c>
      <c r="Z503">
        <v>1775.07</v>
      </c>
      <c r="AA503">
        <v>207.55</v>
      </c>
      <c r="AB503">
        <v>368409</v>
      </c>
      <c r="AC503" t="b">
        <v>0</v>
      </c>
      <c r="AD503" t="b">
        <v>0</v>
      </c>
      <c r="AE503" t="b">
        <v>0</v>
      </c>
      <c r="AF503" t="b">
        <v>0</v>
      </c>
      <c r="AG503" t="s">
        <v>58</v>
      </c>
      <c r="AH503">
        <v>-15</v>
      </c>
      <c r="AI503" t="s">
        <v>59</v>
      </c>
      <c r="AJ503" t="s">
        <v>60</v>
      </c>
      <c r="AK503" t="s">
        <v>140</v>
      </c>
      <c r="AL503" t="s">
        <v>141</v>
      </c>
      <c r="AM503" t="s">
        <v>62</v>
      </c>
      <c r="AN503" t="s">
        <v>63</v>
      </c>
      <c r="AO503" t="s">
        <v>2567</v>
      </c>
      <c r="AP503" t="s">
        <v>2668</v>
      </c>
    </row>
    <row r="504" spans="1:42" x14ac:dyDescent="0.45">
      <c r="A504" t="s">
        <v>2555</v>
      </c>
      <c r="B504" t="s">
        <v>2556</v>
      </c>
      <c r="C504" t="s">
        <v>2557</v>
      </c>
      <c r="D504">
        <v>2021</v>
      </c>
      <c r="E504" t="s">
        <v>45</v>
      </c>
      <c r="F504" t="s">
        <v>2020</v>
      </c>
      <c r="G504">
        <v>10</v>
      </c>
      <c r="J504" t="s">
        <v>2672</v>
      </c>
      <c r="K504" t="s">
        <v>2673</v>
      </c>
      <c r="L504" t="s">
        <v>2674</v>
      </c>
      <c r="M504" t="s">
        <v>2675</v>
      </c>
      <c r="N504" t="s">
        <v>2562</v>
      </c>
      <c r="O504" t="s">
        <v>2563</v>
      </c>
      <c r="P504" t="s">
        <v>2027</v>
      </c>
      <c r="Q504" t="s">
        <v>2564</v>
      </c>
      <c r="S504">
        <v>15</v>
      </c>
      <c r="T504" t="s">
        <v>2676</v>
      </c>
      <c r="U504">
        <v>72</v>
      </c>
      <c r="V504">
        <v>4658</v>
      </c>
      <c r="W504">
        <v>1.55E-2</v>
      </c>
      <c r="X504" t="s">
        <v>56</v>
      </c>
      <c r="Y504" t="s">
        <v>2566</v>
      </c>
      <c r="Z504">
        <v>1726.12</v>
      </c>
      <c r="AA504">
        <v>785.91</v>
      </c>
      <c r="AB504">
        <v>1356581</v>
      </c>
      <c r="AC504" t="b">
        <v>0</v>
      </c>
      <c r="AD504" t="b">
        <v>0</v>
      </c>
      <c r="AE504" t="b">
        <v>0</v>
      </c>
      <c r="AF504" t="b">
        <v>0</v>
      </c>
      <c r="AG504" t="s">
        <v>58</v>
      </c>
      <c r="AH504">
        <v>-15</v>
      </c>
      <c r="AI504" t="s">
        <v>59</v>
      </c>
      <c r="AJ504" t="s">
        <v>60</v>
      </c>
      <c r="AK504" t="s">
        <v>140</v>
      </c>
      <c r="AL504" t="s">
        <v>141</v>
      </c>
      <c r="AM504" t="s">
        <v>62</v>
      </c>
      <c r="AN504" t="s">
        <v>63</v>
      </c>
      <c r="AO504" t="s">
        <v>2567</v>
      </c>
      <c r="AP504" t="s">
        <v>2673</v>
      </c>
    </row>
    <row r="505" spans="1:42" x14ac:dyDescent="0.45">
      <c r="A505" t="s">
        <v>2555</v>
      </c>
      <c r="B505" t="s">
        <v>2556</v>
      </c>
      <c r="C505" t="s">
        <v>2557</v>
      </c>
      <c r="D505">
        <v>2021</v>
      </c>
      <c r="E505" t="s">
        <v>45</v>
      </c>
      <c r="F505" t="s">
        <v>2020</v>
      </c>
      <c r="G505">
        <v>16</v>
      </c>
      <c r="J505" t="s">
        <v>2677</v>
      </c>
      <c r="K505" t="s">
        <v>2678</v>
      </c>
      <c r="L505" t="s">
        <v>2679</v>
      </c>
      <c r="M505" t="s">
        <v>2680</v>
      </c>
      <c r="N505" t="s">
        <v>2562</v>
      </c>
      <c r="O505" t="s">
        <v>2563</v>
      </c>
      <c r="P505" t="s">
        <v>2027</v>
      </c>
      <c r="Q505" t="s">
        <v>2564</v>
      </c>
      <c r="S505">
        <v>2</v>
      </c>
      <c r="T505" t="s">
        <v>2681</v>
      </c>
      <c r="U505">
        <v>4438</v>
      </c>
      <c r="V505">
        <v>4658</v>
      </c>
      <c r="W505">
        <v>0.95279999999999998</v>
      </c>
      <c r="X505" t="s">
        <v>70</v>
      </c>
      <c r="Y505" t="s">
        <v>2566</v>
      </c>
      <c r="Z505">
        <v>1682.69</v>
      </c>
      <c r="AA505">
        <v>4685.6400000000003</v>
      </c>
      <c r="AB505">
        <v>7884482</v>
      </c>
      <c r="AC505" t="b">
        <v>1</v>
      </c>
      <c r="AD505" t="b">
        <v>1</v>
      </c>
      <c r="AE505" t="b">
        <v>0</v>
      </c>
      <c r="AF505" t="b">
        <v>0</v>
      </c>
      <c r="AG505" t="s">
        <v>58</v>
      </c>
      <c r="AH505">
        <v>20</v>
      </c>
      <c r="AI505" t="s">
        <v>59</v>
      </c>
      <c r="AJ505" t="s">
        <v>71</v>
      </c>
      <c r="AL505" t="s">
        <v>72</v>
      </c>
      <c r="AM505" t="s">
        <v>62</v>
      </c>
      <c r="AN505" t="s">
        <v>63</v>
      </c>
      <c r="AO505" t="s">
        <v>2567</v>
      </c>
      <c r="AP505" t="s">
        <v>2678</v>
      </c>
    </row>
    <row r="506" spans="1:42" x14ac:dyDescent="0.45">
      <c r="A506" t="s">
        <v>2555</v>
      </c>
      <c r="B506" t="s">
        <v>2556</v>
      </c>
      <c r="C506" t="s">
        <v>2557</v>
      </c>
      <c r="D506">
        <v>2021</v>
      </c>
      <c r="E506" t="s">
        <v>45</v>
      </c>
      <c r="F506" t="s">
        <v>2020</v>
      </c>
      <c r="G506">
        <v>2</v>
      </c>
      <c r="J506" t="s">
        <v>2682</v>
      </c>
      <c r="K506" t="s">
        <v>2683</v>
      </c>
      <c r="L506" t="s">
        <v>2684</v>
      </c>
      <c r="M506" t="s">
        <v>2685</v>
      </c>
      <c r="N506" t="s">
        <v>2562</v>
      </c>
      <c r="O506" t="s">
        <v>2563</v>
      </c>
      <c r="P506" t="s">
        <v>2027</v>
      </c>
      <c r="Q506" t="s">
        <v>2564</v>
      </c>
      <c r="S506">
        <v>28</v>
      </c>
      <c r="T506" t="s">
        <v>2686</v>
      </c>
      <c r="U506">
        <v>4538</v>
      </c>
      <c r="V506">
        <v>4658</v>
      </c>
      <c r="W506">
        <v>0.97419999999999995</v>
      </c>
      <c r="X506" t="s">
        <v>70</v>
      </c>
      <c r="Y506" t="s">
        <v>2566</v>
      </c>
      <c r="Z506">
        <v>1765.17</v>
      </c>
      <c r="AA506">
        <v>2497.44</v>
      </c>
      <c r="AB506">
        <v>4408399</v>
      </c>
      <c r="AC506" t="b">
        <v>1</v>
      </c>
      <c r="AD506" t="b">
        <v>1</v>
      </c>
      <c r="AE506" t="b">
        <v>0</v>
      </c>
      <c r="AF506" t="b">
        <v>0</v>
      </c>
      <c r="AG506" t="s">
        <v>58</v>
      </c>
      <c r="AH506">
        <v>20</v>
      </c>
      <c r="AI506" t="s">
        <v>59</v>
      </c>
      <c r="AJ506" t="s">
        <v>71</v>
      </c>
      <c r="AL506" t="s">
        <v>72</v>
      </c>
      <c r="AM506" t="s">
        <v>62</v>
      </c>
      <c r="AN506" t="s">
        <v>63</v>
      </c>
      <c r="AO506" t="s">
        <v>2567</v>
      </c>
      <c r="AP506" t="s">
        <v>2683</v>
      </c>
    </row>
    <row r="507" spans="1:42" x14ac:dyDescent="0.45">
      <c r="A507" t="s">
        <v>2555</v>
      </c>
      <c r="B507" t="s">
        <v>2556</v>
      </c>
      <c r="C507" t="s">
        <v>2557</v>
      </c>
      <c r="D507">
        <v>2021</v>
      </c>
      <c r="E507" t="s">
        <v>45</v>
      </c>
      <c r="F507" t="s">
        <v>2020</v>
      </c>
      <c r="G507">
        <v>16</v>
      </c>
      <c r="J507" t="s">
        <v>2687</v>
      </c>
      <c r="K507" t="s">
        <v>2688</v>
      </c>
      <c r="L507" t="s">
        <v>2689</v>
      </c>
      <c r="M507" t="s">
        <v>2690</v>
      </c>
      <c r="N507" t="s">
        <v>2562</v>
      </c>
      <c r="O507" t="s">
        <v>2563</v>
      </c>
      <c r="P507" t="s">
        <v>2027</v>
      </c>
      <c r="Q507" t="s">
        <v>2564</v>
      </c>
      <c r="S507">
        <v>3</v>
      </c>
      <c r="T507" t="s">
        <v>2691</v>
      </c>
      <c r="U507">
        <v>67</v>
      </c>
      <c r="V507">
        <v>4658</v>
      </c>
      <c r="W507">
        <v>1.44E-2</v>
      </c>
      <c r="X507" t="s">
        <v>56</v>
      </c>
      <c r="Y507" t="s">
        <v>2566</v>
      </c>
      <c r="Z507">
        <v>1684.13</v>
      </c>
      <c r="AA507">
        <v>272.92</v>
      </c>
      <c r="AB507">
        <v>459629</v>
      </c>
      <c r="AC507" t="b">
        <v>0</v>
      </c>
      <c r="AD507" t="b">
        <v>0</v>
      </c>
      <c r="AE507" t="b">
        <v>0</v>
      </c>
      <c r="AF507" t="b">
        <v>0</v>
      </c>
      <c r="AG507" t="s">
        <v>58</v>
      </c>
      <c r="AH507">
        <v>-15</v>
      </c>
      <c r="AI507" t="s">
        <v>59</v>
      </c>
      <c r="AJ507" t="s">
        <v>60</v>
      </c>
      <c r="AK507" t="s">
        <v>140</v>
      </c>
      <c r="AL507" t="s">
        <v>141</v>
      </c>
      <c r="AM507" t="s">
        <v>62</v>
      </c>
      <c r="AN507" t="s">
        <v>63</v>
      </c>
      <c r="AO507" t="s">
        <v>2567</v>
      </c>
      <c r="AP507" t="s">
        <v>2688</v>
      </c>
    </row>
    <row r="508" spans="1:42" x14ac:dyDescent="0.45">
      <c r="A508" t="s">
        <v>2555</v>
      </c>
      <c r="B508" t="s">
        <v>2556</v>
      </c>
      <c r="C508" t="s">
        <v>2557</v>
      </c>
      <c r="D508">
        <v>2021</v>
      </c>
      <c r="E508" t="s">
        <v>45</v>
      </c>
      <c r="F508" t="s">
        <v>2020</v>
      </c>
      <c r="G508">
        <v>10</v>
      </c>
      <c r="J508" t="s">
        <v>2692</v>
      </c>
      <c r="K508" t="s">
        <v>2693</v>
      </c>
      <c r="L508" t="s">
        <v>2694</v>
      </c>
      <c r="M508" t="s">
        <v>2695</v>
      </c>
      <c r="N508" t="s">
        <v>2562</v>
      </c>
      <c r="O508" t="s">
        <v>2563</v>
      </c>
      <c r="P508" t="s">
        <v>2027</v>
      </c>
      <c r="Q508" t="s">
        <v>2564</v>
      </c>
      <c r="S508">
        <v>14</v>
      </c>
      <c r="T508" t="s">
        <v>2696</v>
      </c>
      <c r="U508">
        <v>5484</v>
      </c>
      <c r="V508">
        <v>4658</v>
      </c>
      <c r="W508">
        <v>1.1773</v>
      </c>
      <c r="X508" t="s">
        <v>70</v>
      </c>
      <c r="Y508" t="s">
        <v>2566</v>
      </c>
      <c r="Z508">
        <v>1724.69</v>
      </c>
      <c r="AA508">
        <v>7888.97</v>
      </c>
      <c r="AB508">
        <v>13606035</v>
      </c>
      <c r="AC508" t="b">
        <v>1</v>
      </c>
      <c r="AD508" t="b">
        <v>1</v>
      </c>
      <c r="AE508" t="b">
        <v>0</v>
      </c>
      <c r="AF508" t="b">
        <v>0</v>
      </c>
      <c r="AG508" t="s">
        <v>58</v>
      </c>
      <c r="AH508">
        <v>20</v>
      </c>
      <c r="AI508" t="s">
        <v>59</v>
      </c>
      <c r="AJ508" t="s">
        <v>71</v>
      </c>
      <c r="AL508" t="s">
        <v>72</v>
      </c>
      <c r="AM508" t="s">
        <v>62</v>
      </c>
      <c r="AN508" t="s">
        <v>63</v>
      </c>
      <c r="AO508" t="s">
        <v>2567</v>
      </c>
      <c r="AP508" t="s">
        <v>2693</v>
      </c>
    </row>
    <row r="509" spans="1:42" x14ac:dyDescent="0.45">
      <c r="A509" t="s">
        <v>2555</v>
      </c>
      <c r="B509" t="s">
        <v>2556</v>
      </c>
      <c r="C509" t="s">
        <v>2557</v>
      </c>
      <c r="D509">
        <v>2021</v>
      </c>
      <c r="E509" t="s">
        <v>45</v>
      </c>
      <c r="F509" t="s">
        <v>2020</v>
      </c>
      <c r="G509">
        <v>12</v>
      </c>
      <c r="J509" t="s">
        <v>2697</v>
      </c>
      <c r="K509" t="s">
        <v>2698</v>
      </c>
      <c r="L509" t="s">
        <v>2699</v>
      </c>
      <c r="M509" t="s">
        <v>2700</v>
      </c>
      <c r="N509" t="s">
        <v>2562</v>
      </c>
      <c r="O509" t="s">
        <v>2563</v>
      </c>
      <c r="P509" t="s">
        <v>2027</v>
      </c>
      <c r="Q509" t="s">
        <v>2564</v>
      </c>
      <c r="S509">
        <v>10</v>
      </c>
      <c r="T509" t="s">
        <v>2701</v>
      </c>
      <c r="U509">
        <v>4752</v>
      </c>
      <c r="V509">
        <v>4658</v>
      </c>
      <c r="W509">
        <v>1.0202</v>
      </c>
      <c r="X509" t="s">
        <v>70</v>
      </c>
      <c r="Y509" t="s">
        <v>2566</v>
      </c>
      <c r="Z509">
        <v>1710.69</v>
      </c>
      <c r="AA509">
        <v>6141.41</v>
      </c>
      <c r="AB509">
        <v>10506051</v>
      </c>
      <c r="AC509" t="b">
        <v>1</v>
      </c>
      <c r="AD509" t="b">
        <v>1</v>
      </c>
      <c r="AE509" t="b">
        <v>0</v>
      </c>
      <c r="AF509" t="b">
        <v>0</v>
      </c>
      <c r="AG509" t="s">
        <v>58</v>
      </c>
      <c r="AH509">
        <v>20</v>
      </c>
      <c r="AI509" t="s">
        <v>59</v>
      </c>
      <c r="AJ509" t="s">
        <v>71</v>
      </c>
      <c r="AL509" t="s">
        <v>72</v>
      </c>
      <c r="AM509" t="s">
        <v>62</v>
      </c>
      <c r="AN509" t="s">
        <v>63</v>
      </c>
      <c r="AO509" t="s">
        <v>2567</v>
      </c>
      <c r="AP509" t="s">
        <v>2698</v>
      </c>
    </row>
    <row r="510" spans="1:42" x14ac:dyDescent="0.45">
      <c r="A510" t="s">
        <v>2555</v>
      </c>
      <c r="B510" t="s">
        <v>2556</v>
      </c>
      <c r="C510" t="s">
        <v>2557</v>
      </c>
      <c r="D510">
        <v>2021</v>
      </c>
      <c r="E510" t="s">
        <v>45</v>
      </c>
      <c r="F510" t="s">
        <v>2020</v>
      </c>
      <c r="J510" t="s">
        <v>2702</v>
      </c>
      <c r="K510" t="s">
        <v>2703</v>
      </c>
      <c r="L510" t="s">
        <v>2704</v>
      </c>
      <c r="M510" t="s">
        <v>2705</v>
      </c>
      <c r="N510" t="s">
        <v>2562</v>
      </c>
      <c r="O510" t="s">
        <v>2563</v>
      </c>
      <c r="P510" t="s">
        <v>2027</v>
      </c>
      <c r="Q510" t="s">
        <v>2564</v>
      </c>
      <c r="S510">
        <v>1</v>
      </c>
      <c r="T510" t="s">
        <v>2706</v>
      </c>
      <c r="U510">
        <v>423</v>
      </c>
      <c r="V510">
        <v>4658</v>
      </c>
      <c r="W510">
        <v>9.0800000000000006E-2</v>
      </c>
      <c r="X510" t="s">
        <v>56</v>
      </c>
      <c r="Y510" t="s">
        <v>2566</v>
      </c>
      <c r="Z510">
        <v>1535.76</v>
      </c>
      <c r="AA510">
        <v>71.819999999999993</v>
      </c>
      <c r="AB510">
        <v>110294</v>
      </c>
      <c r="AC510" t="b">
        <v>0</v>
      </c>
      <c r="AD510" t="b">
        <v>0</v>
      </c>
      <c r="AE510" t="b">
        <v>0</v>
      </c>
      <c r="AF510" t="b">
        <v>0</v>
      </c>
      <c r="AG510" t="s">
        <v>58</v>
      </c>
      <c r="AH510">
        <v>-15</v>
      </c>
      <c r="AI510" t="s">
        <v>59</v>
      </c>
      <c r="AJ510" t="s">
        <v>60</v>
      </c>
      <c r="AK510" t="s">
        <v>205</v>
      </c>
      <c r="AL510" t="s">
        <v>206</v>
      </c>
      <c r="AM510" t="s">
        <v>62</v>
      </c>
      <c r="AN510" t="s">
        <v>63</v>
      </c>
      <c r="AO510" t="s">
        <v>2567</v>
      </c>
      <c r="AP510" t="s">
        <v>2703</v>
      </c>
    </row>
    <row r="511" spans="1:42" x14ac:dyDescent="0.45">
      <c r="A511" t="s">
        <v>2555</v>
      </c>
      <c r="B511" t="s">
        <v>2556</v>
      </c>
      <c r="C511" t="s">
        <v>2557</v>
      </c>
      <c r="D511">
        <v>2021</v>
      </c>
      <c r="E511" t="s">
        <v>45</v>
      </c>
      <c r="F511" t="s">
        <v>2020</v>
      </c>
      <c r="G511">
        <v>6</v>
      </c>
      <c r="J511" t="s">
        <v>2707</v>
      </c>
      <c r="K511" t="s">
        <v>2708</v>
      </c>
      <c r="L511" t="s">
        <v>2709</v>
      </c>
      <c r="M511" t="s">
        <v>2710</v>
      </c>
      <c r="N511" t="s">
        <v>2562</v>
      </c>
      <c r="O511" t="s">
        <v>2563</v>
      </c>
      <c r="P511" t="s">
        <v>2027</v>
      </c>
      <c r="Q511" t="s">
        <v>2564</v>
      </c>
      <c r="S511">
        <v>25</v>
      </c>
      <c r="T511" t="s">
        <v>2711</v>
      </c>
      <c r="U511">
        <v>68</v>
      </c>
      <c r="V511">
        <v>4658</v>
      </c>
      <c r="W511">
        <v>1.46E-2</v>
      </c>
      <c r="X511" t="s">
        <v>56</v>
      </c>
      <c r="Y511" t="s">
        <v>2566</v>
      </c>
      <c r="Z511">
        <v>1754.13</v>
      </c>
      <c r="AA511">
        <v>442.54</v>
      </c>
      <c r="AB511">
        <v>776281</v>
      </c>
      <c r="AC511" t="b">
        <v>0</v>
      </c>
      <c r="AD511" t="b">
        <v>0</v>
      </c>
      <c r="AE511" t="b">
        <v>0</v>
      </c>
      <c r="AF511" t="b">
        <v>0</v>
      </c>
      <c r="AG511" t="s">
        <v>58</v>
      </c>
      <c r="AH511">
        <v>-15</v>
      </c>
      <c r="AI511" t="s">
        <v>59</v>
      </c>
      <c r="AJ511" t="s">
        <v>60</v>
      </c>
      <c r="AK511" t="s">
        <v>140</v>
      </c>
      <c r="AL511" t="s">
        <v>141</v>
      </c>
      <c r="AM511" t="s">
        <v>62</v>
      </c>
      <c r="AN511" t="s">
        <v>63</v>
      </c>
      <c r="AO511" t="s">
        <v>2567</v>
      </c>
      <c r="AP511" t="s">
        <v>2708</v>
      </c>
    </row>
    <row r="512" spans="1:42" x14ac:dyDescent="0.45">
      <c r="A512" t="s">
        <v>2555</v>
      </c>
      <c r="B512" t="s">
        <v>2556</v>
      </c>
      <c r="C512" t="s">
        <v>2557</v>
      </c>
      <c r="D512">
        <v>2021</v>
      </c>
      <c r="E512" t="s">
        <v>45</v>
      </c>
      <c r="F512" t="s">
        <v>2020</v>
      </c>
      <c r="G512">
        <v>15</v>
      </c>
      <c r="J512" t="s">
        <v>2712</v>
      </c>
      <c r="K512" t="s">
        <v>2713</v>
      </c>
      <c r="L512" t="s">
        <v>2714</v>
      </c>
      <c r="M512" t="s">
        <v>2715</v>
      </c>
      <c r="N512" t="s">
        <v>2562</v>
      </c>
      <c r="O512" t="s">
        <v>2563</v>
      </c>
      <c r="P512" t="s">
        <v>2027</v>
      </c>
      <c r="Q512" t="s">
        <v>2564</v>
      </c>
      <c r="S512">
        <v>5</v>
      </c>
      <c r="T512" t="s">
        <v>2716</v>
      </c>
      <c r="U512">
        <v>72</v>
      </c>
      <c r="V512">
        <v>4658</v>
      </c>
      <c r="W512">
        <v>1.55E-2</v>
      </c>
      <c r="X512" t="s">
        <v>56</v>
      </c>
      <c r="Y512" t="s">
        <v>2566</v>
      </c>
      <c r="Z512">
        <v>1691.12</v>
      </c>
      <c r="AA512">
        <v>359.68</v>
      </c>
      <c r="AB512">
        <v>608257</v>
      </c>
      <c r="AC512" t="b">
        <v>0</v>
      </c>
      <c r="AD512" t="b">
        <v>0</v>
      </c>
      <c r="AE512" t="b">
        <v>0</v>
      </c>
      <c r="AF512" t="b">
        <v>0</v>
      </c>
      <c r="AG512" t="s">
        <v>58</v>
      </c>
      <c r="AH512">
        <v>-15</v>
      </c>
      <c r="AI512" t="s">
        <v>59</v>
      </c>
      <c r="AJ512" t="s">
        <v>60</v>
      </c>
      <c r="AK512" t="s">
        <v>140</v>
      </c>
      <c r="AL512" t="s">
        <v>141</v>
      </c>
      <c r="AM512" t="s">
        <v>62</v>
      </c>
      <c r="AN512" t="s">
        <v>63</v>
      </c>
      <c r="AO512" t="s">
        <v>2567</v>
      </c>
      <c r="AP512" t="s">
        <v>2713</v>
      </c>
    </row>
    <row r="513" spans="1:42" x14ac:dyDescent="0.45">
      <c r="A513" t="s">
        <v>2555</v>
      </c>
      <c r="B513" t="s">
        <v>2556</v>
      </c>
      <c r="C513" t="s">
        <v>2717</v>
      </c>
      <c r="D513">
        <v>2025</v>
      </c>
      <c r="E513" t="s">
        <v>45</v>
      </c>
      <c r="F513" t="s">
        <v>2020</v>
      </c>
      <c r="G513">
        <v>16</v>
      </c>
      <c r="J513" t="s">
        <v>2718</v>
      </c>
      <c r="K513" t="s">
        <v>2719</v>
      </c>
      <c r="L513" t="s">
        <v>2720</v>
      </c>
      <c r="M513" t="s">
        <v>2721</v>
      </c>
      <c r="N513" t="s">
        <v>2722</v>
      </c>
      <c r="O513" t="s">
        <v>2723</v>
      </c>
      <c r="P513" t="s">
        <v>223</v>
      </c>
      <c r="Q513" t="s">
        <v>2724</v>
      </c>
      <c r="S513">
        <v>17</v>
      </c>
      <c r="T513" t="s">
        <v>2725</v>
      </c>
      <c r="U513">
        <v>9778</v>
      </c>
      <c r="V513">
        <v>8345.5</v>
      </c>
      <c r="W513">
        <v>1.1716</v>
      </c>
      <c r="X513" t="s">
        <v>70</v>
      </c>
      <c r="Y513" t="s">
        <v>2726</v>
      </c>
      <c r="Z513">
        <v>164.77</v>
      </c>
      <c r="AA513">
        <v>74479.039999999994</v>
      </c>
      <c r="AB513">
        <v>12271852</v>
      </c>
      <c r="AC513" t="b">
        <v>1</v>
      </c>
      <c r="AD513" t="b">
        <v>1</v>
      </c>
      <c r="AE513" t="b">
        <v>0</v>
      </c>
      <c r="AF513" t="b">
        <v>0</v>
      </c>
      <c r="AG513" t="s">
        <v>58</v>
      </c>
      <c r="AH513">
        <v>14</v>
      </c>
      <c r="AI513" t="s">
        <v>59</v>
      </c>
      <c r="AJ513" t="s">
        <v>71</v>
      </c>
      <c r="AL513" t="s">
        <v>244</v>
      </c>
      <c r="AM513" t="s">
        <v>245</v>
      </c>
      <c r="AN513" t="s">
        <v>63</v>
      </c>
      <c r="AO513" t="s">
        <v>2727</v>
      </c>
      <c r="AP513" t="s">
        <v>2719</v>
      </c>
    </row>
    <row r="514" spans="1:42" x14ac:dyDescent="0.45">
      <c r="A514" t="s">
        <v>2555</v>
      </c>
      <c r="B514" t="s">
        <v>2556</v>
      </c>
      <c r="C514" t="s">
        <v>2717</v>
      </c>
      <c r="D514">
        <v>2025</v>
      </c>
      <c r="E514" t="s">
        <v>45</v>
      </c>
      <c r="F514" t="s">
        <v>2020</v>
      </c>
      <c r="G514">
        <v>5</v>
      </c>
      <c r="J514" t="s">
        <v>2728</v>
      </c>
      <c r="K514" t="s">
        <v>2729</v>
      </c>
      <c r="L514" t="s">
        <v>2730</v>
      </c>
      <c r="M514" t="s">
        <v>2731</v>
      </c>
      <c r="N514" t="s">
        <v>2722</v>
      </c>
      <c r="O514" t="s">
        <v>2723</v>
      </c>
      <c r="P514" t="s">
        <v>223</v>
      </c>
      <c r="Q514" t="s">
        <v>2724</v>
      </c>
      <c r="S514">
        <v>4</v>
      </c>
      <c r="T514" t="s">
        <v>2732</v>
      </c>
      <c r="U514">
        <v>7796</v>
      </c>
      <c r="V514">
        <v>8345.5</v>
      </c>
      <c r="W514">
        <v>0.93420000000000003</v>
      </c>
      <c r="X514" t="s">
        <v>70</v>
      </c>
      <c r="Y514" t="s">
        <v>2726</v>
      </c>
      <c r="Z514">
        <v>283.77</v>
      </c>
      <c r="AA514">
        <v>46912.26</v>
      </c>
      <c r="AB514">
        <v>13312180</v>
      </c>
      <c r="AC514" t="b">
        <v>1</v>
      </c>
      <c r="AD514" t="b">
        <v>1</v>
      </c>
      <c r="AE514" t="b">
        <v>0</v>
      </c>
      <c r="AF514" t="b">
        <v>0</v>
      </c>
      <c r="AG514" t="s">
        <v>58</v>
      </c>
      <c r="AH514">
        <v>14</v>
      </c>
      <c r="AI514" t="s">
        <v>59</v>
      </c>
      <c r="AJ514" t="s">
        <v>71</v>
      </c>
      <c r="AL514" t="s">
        <v>244</v>
      </c>
      <c r="AM514" t="s">
        <v>245</v>
      </c>
      <c r="AN514" t="s">
        <v>63</v>
      </c>
      <c r="AO514" t="s">
        <v>2727</v>
      </c>
      <c r="AP514" t="s">
        <v>2729</v>
      </c>
    </row>
    <row r="515" spans="1:42" x14ac:dyDescent="0.45">
      <c r="A515" t="s">
        <v>2555</v>
      </c>
      <c r="B515" t="s">
        <v>2556</v>
      </c>
      <c r="C515" t="s">
        <v>2717</v>
      </c>
      <c r="D515">
        <v>2025</v>
      </c>
      <c r="E515" t="s">
        <v>45</v>
      </c>
      <c r="F515" t="s">
        <v>2020</v>
      </c>
      <c r="G515">
        <v>6</v>
      </c>
      <c r="J515" t="e">
        <v>#NAME?</v>
      </c>
      <c r="K515" t="s">
        <v>2733</v>
      </c>
      <c r="L515" t="s">
        <v>2734</v>
      </c>
      <c r="M515" t="s">
        <v>2735</v>
      </c>
      <c r="N515" t="s">
        <v>2722</v>
      </c>
      <c r="O515" t="s">
        <v>2723</v>
      </c>
      <c r="P515" t="s">
        <v>223</v>
      </c>
      <c r="Q515" t="s">
        <v>2724</v>
      </c>
      <c r="S515">
        <v>5</v>
      </c>
      <c r="T515" t="s">
        <v>2736</v>
      </c>
      <c r="U515">
        <v>8440</v>
      </c>
      <c r="V515">
        <v>8345.5</v>
      </c>
      <c r="W515">
        <v>1.0113000000000001</v>
      </c>
      <c r="X515" t="s">
        <v>70</v>
      </c>
      <c r="Y515" t="s">
        <v>2726</v>
      </c>
      <c r="Z515">
        <v>276.77</v>
      </c>
      <c r="AA515">
        <v>48519.37</v>
      </c>
      <c r="AB515">
        <v>13428592</v>
      </c>
      <c r="AC515" t="b">
        <v>1</v>
      </c>
      <c r="AD515" t="b">
        <v>1</v>
      </c>
      <c r="AE515" t="b">
        <v>0</v>
      </c>
      <c r="AF515" t="b">
        <v>0</v>
      </c>
      <c r="AG515" t="s">
        <v>58</v>
      </c>
      <c r="AH515">
        <v>14</v>
      </c>
      <c r="AI515" t="s">
        <v>59</v>
      </c>
      <c r="AJ515" t="s">
        <v>71</v>
      </c>
      <c r="AL515" t="s">
        <v>244</v>
      </c>
      <c r="AM515" t="s">
        <v>245</v>
      </c>
      <c r="AN515" t="s">
        <v>63</v>
      </c>
      <c r="AO515" t="s">
        <v>2727</v>
      </c>
      <c r="AP515" t="s">
        <v>2733</v>
      </c>
    </row>
    <row r="516" spans="1:42" x14ac:dyDescent="0.45">
      <c r="A516" t="s">
        <v>2555</v>
      </c>
      <c r="B516" t="s">
        <v>2556</v>
      </c>
      <c r="C516" t="s">
        <v>2717</v>
      </c>
      <c r="D516">
        <v>2025</v>
      </c>
      <c r="E516" t="s">
        <v>45</v>
      </c>
      <c r="F516" t="s">
        <v>2020</v>
      </c>
      <c r="J516" t="s">
        <v>2737</v>
      </c>
      <c r="K516" t="s">
        <v>2738</v>
      </c>
      <c r="L516" t="s">
        <v>2739</v>
      </c>
      <c r="M516" t="s">
        <v>2740</v>
      </c>
      <c r="N516" t="s">
        <v>2722</v>
      </c>
      <c r="O516" t="s">
        <v>2723</v>
      </c>
      <c r="P516" t="s">
        <v>223</v>
      </c>
      <c r="Q516" t="s">
        <v>2724</v>
      </c>
      <c r="S516">
        <v>9</v>
      </c>
      <c r="T516" t="s">
        <v>2741</v>
      </c>
      <c r="U516">
        <v>68456</v>
      </c>
      <c r="V516">
        <v>8345.5</v>
      </c>
      <c r="W516">
        <v>8.2027000000000001</v>
      </c>
      <c r="X516" t="s">
        <v>242</v>
      </c>
      <c r="Y516" t="s">
        <v>2726</v>
      </c>
      <c r="Z516">
        <v>249.26</v>
      </c>
      <c r="AA516">
        <v>12600.09</v>
      </c>
      <c r="AB516">
        <v>3140684</v>
      </c>
      <c r="AC516" t="b">
        <v>0</v>
      </c>
      <c r="AD516" t="b">
        <v>0</v>
      </c>
      <c r="AE516" t="b">
        <v>0</v>
      </c>
      <c r="AF516" t="b">
        <v>0</v>
      </c>
      <c r="AG516" t="s">
        <v>58</v>
      </c>
      <c r="AH516">
        <v>10</v>
      </c>
      <c r="AI516" t="s">
        <v>386</v>
      </c>
      <c r="AJ516" t="s">
        <v>387</v>
      </c>
      <c r="AL516" t="s">
        <v>983</v>
      </c>
      <c r="AM516" t="s">
        <v>245</v>
      </c>
      <c r="AN516" t="s">
        <v>63</v>
      </c>
      <c r="AO516" t="s">
        <v>2727</v>
      </c>
      <c r="AP516" t="s">
        <v>2738</v>
      </c>
    </row>
    <row r="517" spans="1:42" x14ac:dyDescent="0.45">
      <c r="A517" t="s">
        <v>2555</v>
      </c>
      <c r="B517" t="s">
        <v>2556</v>
      </c>
      <c r="C517" t="s">
        <v>2717</v>
      </c>
      <c r="D517">
        <v>2025</v>
      </c>
      <c r="E517" t="s">
        <v>45</v>
      </c>
      <c r="F517" t="s">
        <v>2020</v>
      </c>
      <c r="J517" t="s">
        <v>2742</v>
      </c>
      <c r="K517" t="s">
        <v>2743</v>
      </c>
      <c r="L517" t="s">
        <v>2744</v>
      </c>
      <c r="M517" t="s">
        <v>2745</v>
      </c>
      <c r="N517" t="s">
        <v>2722</v>
      </c>
      <c r="O517" t="s">
        <v>2723</v>
      </c>
      <c r="P517" t="s">
        <v>223</v>
      </c>
      <c r="Q517" t="s">
        <v>2724</v>
      </c>
      <c r="S517">
        <v>16</v>
      </c>
      <c r="T517" t="s">
        <v>2746</v>
      </c>
      <c r="U517">
        <v>51103</v>
      </c>
      <c r="V517">
        <v>8345.5</v>
      </c>
      <c r="W517">
        <v>6.1234000000000002</v>
      </c>
      <c r="X517" t="s">
        <v>242</v>
      </c>
      <c r="Y517" t="s">
        <v>2726</v>
      </c>
      <c r="Z517">
        <v>193.17</v>
      </c>
      <c r="AA517">
        <v>5033.09</v>
      </c>
      <c r="AB517">
        <v>972263</v>
      </c>
      <c r="AC517" t="b">
        <v>0</v>
      </c>
      <c r="AD517" t="b">
        <v>0</v>
      </c>
      <c r="AE517" t="b">
        <v>0</v>
      </c>
      <c r="AF517" t="b">
        <v>0</v>
      </c>
      <c r="AG517" t="s">
        <v>58</v>
      </c>
      <c r="AH517">
        <v>10</v>
      </c>
      <c r="AI517" t="s">
        <v>386</v>
      </c>
      <c r="AJ517" t="s">
        <v>387</v>
      </c>
      <c r="AL517" t="s">
        <v>983</v>
      </c>
      <c r="AM517" t="s">
        <v>245</v>
      </c>
      <c r="AN517" t="s">
        <v>63</v>
      </c>
      <c r="AO517" t="s">
        <v>2727</v>
      </c>
      <c r="AP517" t="s">
        <v>2743</v>
      </c>
    </row>
    <row r="518" spans="1:42" x14ac:dyDescent="0.45">
      <c r="A518" t="s">
        <v>2555</v>
      </c>
      <c r="B518" t="s">
        <v>2556</v>
      </c>
      <c r="C518" t="s">
        <v>2717</v>
      </c>
      <c r="D518">
        <v>2025</v>
      </c>
      <c r="E518" t="s">
        <v>45</v>
      </c>
      <c r="F518" t="s">
        <v>2020</v>
      </c>
      <c r="G518">
        <v>8</v>
      </c>
      <c r="J518" t="s">
        <v>2747</v>
      </c>
      <c r="K518" t="s">
        <v>2748</v>
      </c>
      <c r="L518" t="s">
        <v>2749</v>
      </c>
      <c r="M518" t="s">
        <v>2750</v>
      </c>
      <c r="N518" t="s">
        <v>2722</v>
      </c>
      <c r="O518" t="s">
        <v>2723</v>
      </c>
      <c r="P518" t="s">
        <v>223</v>
      </c>
      <c r="Q518" t="s">
        <v>2724</v>
      </c>
      <c r="S518">
        <v>7</v>
      </c>
      <c r="T518" t="s">
        <v>2751</v>
      </c>
      <c r="U518">
        <v>8578</v>
      </c>
      <c r="V518">
        <v>8345.5</v>
      </c>
      <c r="W518">
        <v>1.0279</v>
      </c>
      <c r="X518" t="s">
        <v>70</v>
      </c>
      <c r="Y518" t="s">
        <v>2726</v>
      </c>
      <c r="Z518">
        <v>262.72000000000003</v>
      </c>
      <c r="AA518">
        <v>49103.25</v>
      </c>
      <c r="AB518">
        <v>12900195</v>
      </c>
      <c r="AC518" t="b">
        <v>1</v>
      </c>
      <c r="AD518" t="b">
        <v>1</v>
      </c>
      <c r="AE518" t="b">
        <v>0</v>
      </c>
      <c r="AF518" t="b">
        <v>0</v>
      </c>
      <c r="AG518" t="s">
        <v>58</v>
      </c>
      <c r="AH518">
        <v>14</v>
      </c>
      <c r="AI518" t="s">
        <v>59</v>
      </c>
      <c r="AJ518" t="s">
        <v>71</v>
      </c>
      <c r="AL518" t="s">
        <v>244</v>
      </c>
      <c r="AM518" t="s">
        <v>245</v>
      </c>
      <c r="AN518" t="s">
        <v>63</v>
      </c>
      <c r="AO518" t="s">
        <v>2727</v>
      </c>
      <c r="AP518" t="s">
        <v>2748</v>
      </c>
    </row>
    <row r="519" spans="1:42" x14ac:dyDescent="0.45">
      <c r="A519" t="s">
        <v>2555</v>
      </c>
      <c r="B519" t="s">
        <v>2556</v>
      </c>
      <c r="C519" t="s">
        <v>2717</v>
      </c>
      <c r="D519">
        <v>2025</v>
      </c>
      <c r="E519" t="s">
        <v>45</v>
      </c>
      <c r="F519" t="s">
        <v>2020</v>
      </c>
      <c r="G519">
        <v>7</v>
      </c>
      <c r="J519" t="s">
        <v>2752</v>
      </c>
      <c r="K519" t="s">
        <v>2753</v>
      </c>
      <c r="L519" t="s">
        <v>2754</v>
      </c>
      <c r="M519" t="s">
        <v>2755</v>
      </c>
      <c r="N519" t="s">
        <v>2722</v>
      </c>
      <c r="O519" t="s">
        <v>2723</v>
      </c>
      <c r="P519" t="s">
        <v>223</v>
      </c>
      <c r="Q519" t="s">
        <v>2724</v>
      </c>
      <c r="S519">
        <v>6</v>
      </c>
      <c r="T519" t="s">
        <v>2756</v>
      </c>
      <c r="U519">
        <v>7856</v>
      </c>
      <c r="V519">
        <v>8345.5</v>
      </c>
      <c r="W519">
        <v>0.94130000000000003</v>
      </c>
      <c r="X519" t="s">
        <v>70</v>
      </c>
      <c r="Y519" t="s">
        <v>2726</v>
      </c>
      <c r="Z519">
        <v>269.77</v>
      </c>
      <c r="AA519">
        <v>46573.4</v>
      </c>
      <c r="AB519">
        <v>12564070</v>
      </c>
      <c r="AC519" t="b">
        <v>1</v>
      </c>
      <c r="AD519" t="b">
        <v>1</v>
      </c>
      <c r="AE519" t="b">
        <v>0</v>
      </c>
      <c r="AF519" t="b">
        <v>0</v>
      </c>
      <c r="AG519" t="s">
        <v>58</v>
      </c>
      <c r="AH519">
        <v>14</v>
      </c>
      <c r="AI519" t="s">
        <v>59</v>
      </c>
      <c r="AJ519" t="s">
        <v>71</v>
      </c>
      <c r="AL519" t="s">
        <v>244</v>
      </c>
      <c r="AM519" t="s">
        <v>245</v>
      </c>
      <c r="AN519" t="s">
        <v>63</v>
      </c>
      <c r="AO519" t="s">
        <v>2727</v>
      </c>
      <c r="AP519" t="s">
        <v>2753</v>
      </c>
    </row>
    <row r="520" spans="1:42" x14ac:dyDescent="0.45">
      <c r="A520" t="s">
        <v>2555</v>
      </c>
      <c r="B520" t="s">
        <v>2556</v>
      </c>
      <c r="C520" t="s">
        <v>2717</v>
      </c>
      <c r="D520">
        <v>2025</v>
      </c>
      <c r="E520" t="s">
        <v>45</v>
      </c>
      <c r="F520" t="s">
        <v>2020</v>
      </c>
      <c r="G520">
        <v>9</v>
      </c>
      <c r="J520" t="s">
        <v>2757</v>
      </c>
      <c r="K520" t="s">
        <v>2758</v>
      </c>
      <c r="L520" t="s">
        <v>2759</v>
      </c>
      <c r="M520" t="s">
        <v>2760</v>
      </c>
      <c r="N520" t="s">
        <v>2722</v>
      </c>
      <c r="O520" t="s">
        <v>2723</v>
      </c>
      <c r="P520" t="s">
        <v>223</v>
      </c>
      <c r="Q520" t="s">
        <v>2724</v>
      </c>
      <c r="S520">
        <v>8</v>
      </c>
      <c r="T520" t="s">
        <v>2761</v>
      </c>
      <c r="U520">
        <v>8757</v>
      </c>
      <c r="V520">
        <v>8345.5</v>
      </c>
      <c r="W520">
        <v>1.0492999999999999</v>
      </c>
      <c r="X520" t="s">
        <v>70</v>
      </c>
      <c r="Y520" t="s">
        <v>2726</v>
      </c>
      <c r="Z520">
        <v>255.77</v>
      </c>
      <c r="AA520">
        <v>46491.17</v>
      </c>
      <c r="AB520">
        <v>11890944</v>
      </c>
      <c r="AC520" t="b">
        <v>1</v>
      </c>
      <c r="AD520" t="b">
        <v>1</v>
      </c>
      <c r="AE520" t="b">
        <v>0</v>
      </c>
      <c r="AF520" t="b">
        <v>0</v>
      </c>
      <c r="AG520" t="s">
        <v>58</v>
      </c>
      <c r="AH520">
        <v>14</v>
      </c>
      <c r="AI520" t="s">
        <v>59</v>
      </c>
      <c r="AJ520" t="s">
        <v>71</v>
      </c>
      <c r="AL520" t="s">
        <v>244</v>
      </c>
      <c r="AM520" t="s">
        <v>245</v>
      </c>
      <c r="AN520" t="s">
        <v>63</v>
      </c>
      <c r="AO520" t="s">
        <v>2727</v>
      </c>
      <c r="AP520" t="s">
        <v>2758</v>
      </c>
    </row>
    <row r="521" spans="1:42" x14ac:dyDescent="0.45">
      <c r="A521" t="s">
        <v>2555</v>
      </c>
      <c r="B521" t="s">
        <v>2556</v>
      </c>
      <c r="C521" t="s">
        <v>2717</v>
      </c>
      <c r="D521">
        <v>2025</v>
      </c>
      <c r="E521" t="s">
        <v>45</v>
      </c>
      <c r="F521" t="s">
        <v>2020</v>
      </c>
      <c r="G521">
        <v>3</v>
      </c>
      <c r="J521" t="s">
        <v>2762</v>
      </c>
      <c r="K521" t="s">
        <v>2763</v>
      </c>
      <c r="L521" t="s">
        <v>2764</v>
      </c>
      <c r="M521" t="s">
        <v>2765</v>
      </c>
      <c r="N521" t="s">
        <v>2722</v>
      </c>
      <c r="O521" t="s">
        <v>2723</v>
      </c>
      <c r="P521" t="s">
        <v>223</v>
      </c>
      <c r="Q521" t="s">
        <v>2724</v>
      </c>
      <c r="S521">
        <v>2</v>
      </c>
      <c r="T521" t="s">
        <v>2766</v>
      </c>
      <c r="U521">
        <v>7201</v>
      </c>
      <c r="V521">
        <v>8345.5</v>
      </c>
      <c r="W521">
        <v>0.8629</v>
      </c>
      <c r="X521" t="s">
        <v>70</v>
      </c>
      <c r="Y521" t="s">
        <v>2726</v>
      </c>
      <c r="Z521">
        <v>297.77</v>
      </c>
      <c r="AA521">
        <v>46927.96</v>
      </c>
      <c r="AB521">
        <v>13973637</v>
      </c>
      <c r="AC521" t="b">
        <v>1</v>
      </c>
      <c r="AD521" t="b">
        <v>1</v>
      </c>
      <c r="AE521" t="b">
        <v>0</v>
      </c>
      <c r="AF521" t="b">
        <v>0</v>
      </c>
      <c r="AG521" t="s">
        <v>58</v>
      </c>
      <c r="AH521">
        <v>14</v>
      </c>
      <c r="AI521" t="s">
        <v>59</v>
      </c>
      <c r="AJ521" t="s">
        <v>71</v>
      </c>
      <c r="AL521" t="s">
        <v>244</v>
      </c>
      <c r="AM521" t="s">
        <v>245</v>
      </c>
      <c r="AN521" t="s">
        <v>63</v>
      </c>
      <c r="AO521" t="s">
        <v>2727</v>
      </c>
      <c r="AP521" t="s">
        <v>2763</v>
      </c>
    </row>
    <row r="522" spans="1:42" x14ac:dyDescent="0.45">
      <c r="A522" t="s">
        <v>2555</v>
      </c>
      <c r="B522" t="s">
        <v>2556</v>
      </c>
      <c r="C522" t="s">
        <v>2717</v>
      </c>
      <c r="D522">
        <v>2025</v>
      </c>
      <c r="E522" t="s">
        <v>45</v>
      </c>
      <c r="F522" t="s">
        <v>2020</v>
      </c>
      <c r="G522">
        <v>12</v>
      </c>
      <c r="J522" t="s">
        <v>2767</v>
      </c>
      <c r="K522" t="s">
        <v>2768</v>
      </c>
      <c r="L522" t="s">
        <v>2769</v>
      </c>
      <c r="M522" t="s">
        <v>2770</v>
      </c>
      <c r="N522" t="s">
        <v>2722</v>
      </c>
      <c r="O522" t="s">
        <v>2723</v>
      </c>
      <c r="P522" t="s">
        <v>223</v>
      </c>
      <c r="Q522" t="s">
        <v>2724</v>
      </c>
      <c r="S522">
        <v>12</v>
      </c>
      <c r="T522" t="s">
        <v>2771</v>
      </c>
      <c r="U522">
        <v>8403</v>
      </c>
      <c r="V522">
        <v>8345.5</v>
      </c>
      <c r="W522">
        <v>1.0068999999999999</v>
      </c>
      <c r="X522" t="s">
        <v>70</v>
      </c>
      <c r="Y522" t="s">
        <v>2726</v>
      </c>
      <c r="Z522">
        <v>227.77</v>
      </c>
      <c r="AA522">
        <v>60342.55</v>
      </c>
      <c r="AB522">
        <v>13744174</v>
      </c>
      <c r="AC522" t="b">
        <v>1</v>
      </c>
      <c r="AD522" t="b">
        <v>1</v>
      </c>
      <c r="AE522" t="b">
        <v>0</v>
      </c>
      <c r="AF522" t="b">
        <v>0</v>
      </c>
      <c r="AG522" t="s">
        <v>58</v>
      </c>
      <c r="AH522">
        <v>14</v>
      </c>
      <c r="AI522" t="s">
        <v>59</v>
      </c>
      <c r="AJ522" t="s">
        <v>71</v>
      </c>
      <c r="AL522" t="s">
        <v>244</v>
      </c>
      <c r="AM522" t="s">
        <v>245</v>
      </c>
      <c r="AN522" t="s">
        <v>63</v>
      </c>
      <c r="AO522" t="s">
        <v>2727</v>
      </c>
      <c r="AP522" t="s">
        <v>2768</v>
      </c>
    </row>
    <row r="523" spans="1:42" x14ac:dyDescent="0.45">
      <c r="A523" t="s">
        <v>2555</v>
      </c>
      <c r="B523" t="s">
        <v>2556</v>
      </c>
      <c r="C523" t="s">
        <v>2717</v>
      </c>
      <c r="D523">
        <v>2025</v>
      </c>
      <c r="E523" t="s">
        <v>45</v>
      </c>
      <c r="F523" t="s">
        <v>2020</v>
      </c>
      <c r="G523">
        <v>1</v>
      </c>
      <c r="J523" t="s">
        <v>2772</v>
      </c>
      <c r="K523" t="s">
        <v>2773</v>
      </c>
      <c r="L523" t="s">
        <v>2774</v>
      </c>
      <c r="M523" t="s">
        <v>2775</v>
      </c>
      <c r="N523" t="s">
        <v>2722</v>
      </c>
      <c r="O523" t="s">
        <v>2723</v>
      </c>
      <c r="P523" t="s">
        <v>223</v>
      </c>
      <c r="Q523" t="s">
        <v>2724</v>
      </c>
      <c r="S523">
        <v>0</v>
      </c>
      <c r="T523" t="s">
        <v>2776</v>
      </c>
      <c r="U523">
        <v>7666</v>
      </c>
      <c r="V523">
        <v>8345.5</v>
      </c>
      <c r="W523">
        <v>0.91859999999999997</v>
      </c>
      <c r="X523" t="s">
        <v>70</v>
      </c>
      <c r="Y523" t="s">
        <v>2726</v>
      </c>
      <c r="Z523">
        <v>311.77</v>
      </c>
      <c r="AA523">
        <v>57282.6</v>
      </c>
      <c r="AB523">
        <v>17858870</v>
      </c>
      <c r="AC523" t="b">
        <v>1</v>
      </c>
      <c r="AD523" t="b">
        <v>1</v>
      </c>
      <c r="AE523" t="b">
        <v>0</v>
      </c>
      <c r="AF523" t="b">
        <v>0</v>
      </c>
      <c r="AG523" t="s">
        <v>58</v>
      </c>
      <c r="AH523">
        <v>14</v>
      </c>
      <c r="AI523" t="s">
        <v>59</v>
      </c>
      <c r="AJ523" t="s">
        <v>71</v>
      </c>
      <c r="AL523" t="s">
        <v>244</v>
      </c>
      <c r="AM523" t="s">
        <v>245</v>
      </c>
      <c r="AN523" t="s">
        <v>63</v>
      </c>
      <c r="AO523" t="s">
        <v>2727</v>
      </c>
      <c r="AP523" t="s">
        <v>2773</v>
      </c>
    </row>
    <row r="524" spans="1:42" x14ac:dyDescent="0.45">
      <c r="A524" t="s">
        <v>2555</v>
      </c>
      <c r="B524" t="s">
        <v>2556</v>
      </c>
      <c r="C524" t="s">
        <v>2717</v>
      </c>
      <c r="D524">
        <v>2025</v>
      </c>
      <c r="E524" t="s">
        <v>45</v>
      </c>
      <c r="F524" t="s">
        <v>2020</v>
      </c>
      <c r="G524">
        <v>4</v>
      </c>
      <c r="J524" t="s">
        <v>2777</v>
      </c>
      <c r="K524" t="s">
        <v>2778</v>
      </c>
      <c r="L524" t="s">
        <v>2779</v>
      </c>
      <c r="M524" t="s">
        <v>2780</v>
      </c>
      <c r="N524" t="s">
        <v>2722</v>
      </c>
      <c r="O524" t="s">
        <v>2723</v>
      </c>
      <c r="P524" t="s">
        <v>223</v>
      </c>
      <c r="Q524" t="s">
        <v>2724</v>
      </c>
      <c r="S524">
        <v>3</v>
      </c>
      <c r="T524" t="s">
        <v>2781</v>
      </c>
      <c r="U524">
        <v>9333</v>
      </c>
      <c r="V524">
        <v>8345.5</v>
      </c>
      <c r="W524">
        <v>1.1183000000000001</v>
      </c>
      <c r="X524" t="s">
        <v>70</v>
      </c>
      <c r="Y524" t="s">
        <v>2726</v>
      </c>
      <c r="Z524">
        <v>289.74</v>
      </c>
      <c r="AA524">
        <v>55816.27</v>
      </c>
      <c r="AB524">
        <v>16172015</v>
      </c>
      <c r="AC524" t="b">
        <v>1</v>
      </c>
      <c r="AD524" t="b">
        <v>1</v>
      </c>
      <c r="AE524" t="b">
        <v>0</v>
      </c>
      <c r="AF524" t="b">
        <v>0</v>
      </c>
      <c r="AG524" t="s">
        <v>58</v>
      </c>
      <c r="AH524">
        <v>14</v>
      </c>
      <c r="AI524" t="s">
        <v>59</v>
      </c>
      <c r="AJ524" t="s">
        <v>71</v>
      </c>
      <c r="AL524" t="s">
        <v>244</v>
      </c>
      <c r="AM524" t="s">
        <v>245</v>
      </c>
      <c r="AN524" t="s">
        <v>63</v>
      </c>
      <c r="AO524" t="s">
        <v>2727</v>
      </c>
      <c r="AP524" t="s">
        <v>2778</v>
      </c>
    </row>
    <row r="525" spans="1:42" x14ac:dyDescent="0.45">
      <c r="A525" t="s">
        <v>2555</v>
      </c>
      <c r="B525" t="s">
        <v>2556</v>
      </c>
      <c r="C525" t="s">
        <v>2717</v>
      </c>
      <c r="D525">
        <v>2025</v>
      </c>
      <c r="E525" t="s">
        <v>45</v>
      </c>
      <c r="F525" t="s">
        <v>2020</v>
      </c>
      <c r="G525">
        <v>10</v>
      </c>
      <c r="J525" t="s">
        <v>2782</v>
      </c>
      <c r="K525" t="s">
        <v>2783</v>
      </c>
      <c r="L525" t="s">
        <v>2784</v>
      </c>
      <c r="M525" t="s">
        <v>2785</v>
      </c>
      <c r="N525" t="s">
        <v>2722</v>
      </c>
      <c r="O525" t="s">
        <v>2723</v>
      </c>
      <c r="P525" t="s">
        <v>223</v>
      </c>
      <c r="Q525" t="s">
        <v>2724</v>
      </c>
      <c r="S525">
        <v>10</v>
      </c>
      <c r="T525" t="s">
        <v>2786</v>
      </c>
      <c r="U525">
        <v>8288</v>
      </c>
      <c r="V525">
        <v>8345.5</v>
      </c>
      <c r="W525">
        <v>0.99309999999999998</v>
      </c>
      <c r="X525" t="s">
        <v>70</v>
      </c>
      <c r="Y525" t="s">
        <v>2726</v>
      </c>
      <c r="Z525">
        <v>241.77</v>
      </c>
      <c r="AA525">
        <v>49346.54</v>
      </c>
      <c r="AB525">
        <v>11930406</v>
      </c>
      <c r="AC525" t="b">
        <v>1</v>
      </c>
      <c r="AD525" t="b">
        <v>1</v>
      </c>
      <c r="AE525" t="b">
        <v>0</v>
      </c>
      <c r="AF525" t="b">
        <v>0</v>
      </c>
      <c r="AG525" t="s">
        <v>58</v>
      </c>
      <c r="AH525">
        <v>14</v>
      </c>
      <c r="AI525" t="s">
        <v>59</v>
      </c>
      <c r="AJ525" t="s">
        <v>71</v>
      </c>
      <c r="AL525" t="s">
        <v>244</v>
      </c>
      <c r="AM525" t="s">
        <v>245</v>
      </c>
      <c r="AN525" t="s">
        <v>63</v>
      </c>
      <c r="AO525" t="s">
        <v>2727</v>
      </c>
      <c r="AP525" t="s">
        <v>2783</v>
      </c>
    </row>
    <row r="526" spans="1:42" x14ac:dyDescent="0.45">
      <c r="A526" t="s">
        <v>2555</v>
      </c>
      <c r="B526" t="s">
        <v>2556</v>
      </c>
      <c r="C526" t="s">
        <v>2717</v>
      </c>
      <c r="D526">
        <v>2025</v>
      </c>
      <c r="E526" t="s">
        <v>45</v>
      </c>
      <c r="F526" t="s">
        <v>2020</v>
      </c>
      <c r="G526">
        <v>13</v>
      </c>
      <c r="J526" t="s">
        <v>2787</v>
      </c>
      <c r="K526" t="s">
        <v>2788</v>
      </c>
      <c r="L526" t="s">
        <v>2789</v>
      </c>
      <c r="M526" t="s">
        <v>2790</v>
      </c>
      <c r="N526" t="s">
        <v>2722</v>
      </c>
      <c r="O526" t="s">
        <v>2723</v>
      </c>
      <c r="P526" t="s">
        <v>223</v>
      </c>
      <c r="Q526" t="s">
        <v>2724</v>
      </c>
      <c r="S526">
        <v>13</v>
      </c>
      <c r="T526" t="s">
        <v>2791</v>
      </c>
      <c r="U526">
        <v>8172</v>
      </c>
      <c r="V526">
        <v>8345.5</v>
      </c>
      <c r="W526">
        <v>0.97919999999999996</v>
      </c>
      <c r="X526" t="s">
        <v>70</v>
      </c>
      <c r="Y526" t="s">
        <v>2726</v>
      </c>
      <c r="Z526">
        <v>220.77</v>
      </c>
      <c r="AA526">
        <v>58246.01</v>
      </c>
      <c r="AB526">
        <v>12858924</v>
      </c>
      <c r="AC526" t="b">
        <v>1</v>
      </c>
      <c r="AD526" t="b">
        <v>1</v>
      </c>
      <c r="AE526" t="b">
        <v>0</v>
      </c>
      <c r="AF526" t="b">
        <v>0</v>
      </c>
      <c r="AG526" t="s">
        <v>58</v>
      </c>
      <c r="AH526">
        <v>14</v>
      </c>
      <c r="AI526" t="s">
        <v>59</v>
      </c>
      <c r="AJ526" t="s">
        <v>71</v>
      </c>
      <c r="AL526" t="s">
        <v>244</v>
      </c>
      <c r="AM526" t="s">
        <v>245</v>
      </c>
      <c r="AN526" t="s">
        <v>63</v>
      </c>
      <c r="AO526" t="s">
        <v>2727</v>
      </c>
      <c r="AP526" t="s">
        <v>2788</v>
      </c>
    </row>
    <row r="527" spans="1:42" x14ac:dyDescent="0.45">
      <c r="A527" t="s">
        <v>2555</v>
      </c>
      <c r="B527" t="s">
        <v>2556</v>
      </c>
      <c r="C527" t="s">
        <v>2717</v>
      </c>
      <c r="D527">
        <v>2025</v>
      </c>
      <c r="E527" t="s">
        <v>45</v>
      </c>
      <c r="F527" t="s">
        <v>2020</v>
      </c>
      <c r="G527">
        <v>14</v>
      </c>
      <c r="J527" t="s">
        <v>2792</v>
      </c>
      <c r="K527" t="s">
        <v>2793</v>
      </c>
      <c r="L527" t="s">
        <v>2794</v>
      </c>
      <c r="M527" t="s">
        <v>2795</v>
      </c>
      <c r="N527" t="s">
        <v>2722</v>
      </c>
      <c r="O527" t="s">
        <v>2723</v>
      </c>
      <c r="P527" t="s">
        <v>223</v>
      </c>
      <c r="Q527" t="s">
        <v>2724</v>
      </c>
      <c r="S527">
        <v>14</v>
      </c>
      <c r="T527" t="s">
        <v>2796</v>
      </c>
      <c r="U527">
        <v>8260</v>
      </c>
      <c r="V527">
        <v>8345.5</v>
      </c>
      <c r="W527">
        <v>0.98980000000000001</v>
      </c>
      <c r="X527" t="s">
        <v>70</v>
      </c>
      <c r="Y527" t="s">
        <v>2726</v>
      </c>
      <c r="Z527">
        <v>213.77</v>
      </c>
      <c r="AA527">
        <v>62873.5</v>
      </c>
      <c r="AB527">
        <v>13440418</v>
      </c>
      <c r="AC527" t="b">
        <v>1</v>
      </c>
      <c r="AD527" t="b">
        <v>1</v>
      </c>
      <c r="AE527" t="b">
        <v>0</v>
      </c>
      <c r="AF527" t="b">
        <v>0</v>
      </c>
      <c r="AG527" t="s">
        <v>58</v>
      </c>
      <c r="AH527">
        <v>14</v>
      </c>
      <c r="AI527" t="s">
        <v>59</v>
      </c>
      <c r="AJ527" t="s">
        <v>71</v>
      </c>
      <c r="AL527" t="s">
        <v>244</v>
      </c>
      <c r="AM527" t="s">
        <v>245</v>
      </c>
      <c r="AN527" t="s">
        <v>63</v>
      </c>
      <c r="AO527" t="s">
        <v>2727</v>
      </c>
      <c r="AP527" t="s">
        <v>2793</v>
      </c>
    </row>
    <row r="528" spans="1:42" x14ac:dyDescent="0.45">
      <c r="A528" t="s">
        <v>2555</v>
      </c>
      <c r="B528" t="s">
        <v>2556</v>
      </c>
      <c r="C528" t="s">
        <v>2717</v>
      </c>
      <c r="D528">
        <v>2025</v>
      </c>
      <c r="E528" t="s">
        <v>45</v>
      </c>
      <c r="F528" t="s">
        <v>2020</v>
      </c>
      <c r="G528">
        <v>15</v>
      </c>
      <c r="J528" t="s">
        <v>2797</v>
      </c>
      <c r="K528" t="s">
        <v>2798</v>
      </c>
      <c r="L528" t="s">
        <v>2799</v>
      </c>
      <c r="M528" t="s">
        <v>2800</v>
      </c>
      <c r="N528" t="s">
        <v>2722</v>
      </c>
      <c r="O528" t="s">
        <v>2723</v>
      </c>
      <c r="P528" t="s">
        <v>223</v>
      </c>
      <c r="Q528" t="s">
        <v>2724</v>
      </c>
      <c r="S528">
        <v>15</v>
      </c>
      <c r="T528" t="s">
        <v>2801</v>
      </c>
      <c r="U528">
        <v>8728</v>
      </c>
      <c r="V528">
        <v>8345.5</v>
      </c>
      <c r="W528">
        <v>1.0458000000000001</v>
      </c>
      <c r="X528" t="s">
        <v>70</v>
      </c>
      <c r="Y528" t="s">
        <v>2726</v>
      </c>
      <c r="Z528">
        <v>206.74</v>
      </c>
      <c r="AA528">
        <v>68491.37</v>
      </c>
      <c r="AB528">
        <v>14159654</v>
      </c>
      <c r="AC528" t="b">
        <v>1</v>
      </c>
      <c r="AD528" t="b">
        <v>1</v>
      </c>
      <c r="AE528" t="b">
        <v>0</v>
      </c>
      <c r="AF528" t="b">
        <v>0</v>
      </c>
      <c r="AG528" t="s">
        <v>58</v>
      </c>
      <c r="AH528">
        <v>14</v>
      </c>
      <c r="AI528" t="s">
        <v>59</v>
      </c>
      <c r="AJ528" t="s">
        <v>71</v>
      </c>
      <c r="AL528" t="s">
        <v>244</v>
      </c>
      <c r="AM528" t="s">
        <v>245</v>
      </c>
      <c r="AN528" t="s">
        <v>63</v>
      </c>
      <c r="AO528" t="s">
        <v>2727</v>
      </c>
      <c r="AP528" t="s">
        <v>2798</v>
      </c>
    </row>
    <row r="529" spans="1:42" x14ac:dyDescent="0.45">
      <c r="A529" t="s">
        <v>2555</v>
      </c>
      <c r="B529" t="s">
        <v>2556</v>
      </c>
      <c r="C529" t="s">
        <v>2717</v>
      </c>
      <c r="D529">
        <v>2025</v>
      </c>
      <c r="E529" t="s">
        <v>45</v>
      </c>
      <c r="F529" t="s">
        <v>2020</v>
      </c>
      <c r="G529">
        <v>2</v>
      </c>
      <c r="J529" t="s">
        <v>2802</v>
      </c>
      <c r="K529" t="s">
        <v>2803</v>
      </c>
      <c r="L529" t="s">
        <v>2804</v>
      </c>
      <c r="M529" t="s">
        <v>2805</v>
      </c>
      <c r="N529" t="s">
        <v>2722</v>
      </c>
      <c r="O529" t="s">
        <v>2723</v>
      </c>
      <c r="P529" t="s">
        <v>223</v>
      </c>
      <c r="Q529" t="s">
        <v>2724</v>
      </c>
      <c r="S529">
        <v>1</v>
      </c>
      <c r="T529" t="s">
        <v>2806</v>
      </c>
      <c r="U529">
        <v>5808</v>
      </c>
      <c r="V529">
        <v>8345.5</v>
      </c>
      <c r="W529">
        <v>0.69589999999999996</v>
      </c>
      <c r="X529" t="s">
        <v>70</v>
      </c>
      <c r="Y529" t="s">
        <v>2726</v>
      </c>
      <c r="Z529">
        <v>304.77</v>
      </c>
      <c r="AA529">
        <v>40980.92</v>
      </c>
      <c r="AB529">
        <v>12489665</v>
      </c>
      <c r="AC529" t="b">
        <v>1</v>
      </c>
      <c r="AD529" t="b">
        <v>1</v>
      </c>
      <c r="AE529" t="b">
        <v>0</v>
      </c>
      <c r="AF529" t="b">
        <v>0</v>
      </c>
      <c r="AG529" t="s">
        <v>58</v>
      </c>
      <c r="AH529">
        <v>14</v>
      </c>
      <c r="AI529" t="s">
        <v>59</v>
      </c>
      <c r="AJ529" t="s">
        <v>71</v>
      </c>
      <c r="AL529" t="s">
        <v>244</v>
      </c>
      <c r="AM529" t="s">
        <v>245</v>
      </c>
      <c r="AN529" t="s">
        <v>63</v>
      </c>
      <c r="AO529" t="s">
        <v>2727</v>
      </c>
      <c r="AP529" t="s">
        <v>2803</v>
      </c>
    </row>
    <row r="530" spans="1:42" x14ac:dyDescent="0.45">
      <c r="A530" t="s">
        <v>2555</v>
      </c>
      <c r="B530" t="s">
        <v>2556</v>
      </c>
      <c r="C530" t="s">
        <v>2717</v>
      </c>
      <c r="D530">
        <v>2025</v>
      </c>
      <c r="E530" t="s">
        <v>45</v>
      </c>
      <c r="F530" t="s">
        <v>2020</v>
      </c>
      <c r="G530">
        <v>11</v>
      </c>
      <c r="J530" t="s">
        <v>2807</v>
      </c>
      <c r="K530" t="s">
        <v>2808</v>
      </c>
      <c r="L530" t="s">
        <v>2809</v>
      </c>
      <c r="M530" t="s">
        <v>2810</v>
      </c>
      <c r="N530" t="s">
        <v>2722</v>
      </c>
      <c r="O530" t="s">
        <v>2723</v>
      </c>
      <c r="P530" t="s">
        <v>223</v>
      </c>
      <c r="Q530" t="s">
        <v>2724</v>
      </c>
      <c r="S530">
        <v>11</v>
      </c>
      <c r="T530" t="s">
        <v>2811</v>
      </c>
      <c r="U530">
        <v>10299</v>
      </c>
      <c r="V530">
        <v>8345.5</v>
      </c>
      <c r="W530">
        <v>1.2341</v>
      </c>
      <c r="X530" t="s">
        <v>70</v>
      </c>
      <c r="Y530" t="s">
        <v>2726</v>
      </c>
      <c r="Z530">
        <v>234.77</v>
      </c>
      <c r="AA530">
        <v>57505.41</v>
      </c>
      <c r="AB530">
        <v>13500498</v>
      </c>
      <c r="AC530" t="b">
        <v>1</v>
      </c>
      <c r="AD530" t="b">
        <v>1</v>
      </c>
      <c r="AE530" t="b">
        <v>0</v>
      </c>
      <c r="AF530" t="b">
        <v>0</v>
      </c>
      <c r="AG530" t="s">
        <v>58</v>
      </c>
      <c r="AH530">
        <v>14</v>
      </c>
      <c r="AI530" t="s">
        <v>59</v>
      </c>
      <c r="AJ530" t="s">
        <v>71</v>
      </c>
      <c r="AL530" t="s">
        <v>244</v>
      </c>
      <c r="AM530" t="s">
        <v>245</v>
      </c>
      <c r="AN530" t="s">
        <v>63</v>
      </c>
      <c r="AO530" t="s">
        <v>2727</v>
      </c>
      <c r="AP530" t="s">
        <v>2808</v>
      </c>
    </row>
    <row r="531" spans="1:42" x14ac:dyDescent="0.45">
      <c r="A531" t="s">
        <v>2812</v>
      </c>
      <c r="B531" t="s">
        <v>2813</v>
      </c>
      <c r="C531" t="s">
        <v>2814</v>
      </c>
      <c r="D531">
        <v>2017</v>
      </c>
      <c r="E531" t="s">
        <v>45</v>
      </c>
      <c r="F531" t="s">
        <v>2020</v>
      </c>
      <c r="G531">
        <v>1</v>
      </c>
      <c r="J531" t="s">
        <v>2815</v>
      </c>
      <c r="K531" t="s">
        <v>2816</v>
      </c>
      <c r="L531" t="s">
        <v>2817</v>
      </c>
      <c r="M531" t="s">
        <v>2818</v>
      </c>
      <c r="N531" t="s">
        <v>2819</v>
      </c>
      <c r="O531" t="s">
        <v>2820</v>
      </c>
      <c r="P531" t="s">
        <v>293</v>
      </c>
      <c r="Q531" t="s">
        <v>2821</v>
      </c>
      <c r="S531">
        <v>2</v>
      </c>
      <c r="T531" t="s">
        <v>2822</v>
      </c>
      <c r="U531">
        <v>532</v>
      </c>
      <c r="V531">
        <v>1726.5</v>
      </c>
      <c r="W531">
        <v>0.30809999999999998</v>
      </c>
      <c r="X531" t="s">
        <v>56</v>
      </c>
      <c r="Y531" t="s">
        <v>2823</v>
      </c>
      <c r="Z531">
        <v>1475.72</v>
      </c>
      <c r="AA531">
        <v>91.28</v>
      </c>
      <c r="AB531">
        <v>134700</v>
      </c>
      <c r="AC531" t="b">
        <v>0</v>
      </c>
      <c r="AD531" t="b">
        <v>0</v>
      </c>
      <c r="AE531" t="b">
        <v>0</v>
      </c>
      <c r="AF531" t="b">
        <v>0</v>
      </c>
      <c r="AG531" t="s">
        <v>58</v>
      </c>
      <c r="AH531">
        <v>4</v>
      </c>
      <c r="AI531" t="s">
        <v>59</v>
      </c>
      <c r="AJ531" t="s">
        <v>60</v>
      </c>
      <c r="AL531" t="s">
        <v>409</v>
      </c>
      <c r="AM531" t="s">
        <v>245</v>
      </c>
      <c r="AN531" t="s">
        <v>63</v>
      </c>
      <c r="AO531" t="s">
        <v>2824</v>
      </c>
      <c r="AP531" t="s">
        <v>2816</v>
      </c>
    </row>
    <row r="532" spans="1:42" x14ac:dyDescent="0.45">
      <c r="A532" t="s">
        <v>2812</v>
      </c>
      <c r="B532" t="s">
        <v>2813</v>
      </c>
      <c r="C532" t="s">
        <v>2814</v>
      </c>
      <c r="D532">
        <v>2017</v>
      </c>
      <c r="E532" t="s">
        <v>45</v>
      </c>
      <c r="F532" t="s">
        <v>2020</v>
      </c>
      <c r="G532">
        <v>3</v>
      </c>
      <c r="J532" t="s">
        <v>2825</v>
      </c>
      <c r="K532" t="s">
        <v>2826</v>
      </c>
      <c r="L532" t="s">
        <v>2827</v>
      </c>
      <c r="M532" t="s">
        <v>2828</v>
      </c>
      <c r="N532" t="s">
        <v>2829</v>
      </c>
      <c r="O532" t="s">
        <v>2830</v>
      </c>
      <c r="P532" t="s">
        <v>2027</v>
      </c>
      <c r="Q532" t="s">
        <v>2821</v>
      </c>
      <c r="S532">
        <v>5</v>
      </c>
      <c r="T532" t="s">
        <v>2831</v>
      </c>
      <c r="U532">
        <v>1804</v>
      </c>
      <c r="V532">
        <v>1726.5</v>
      </c>
      <c r="W532">
        <v>1.0448999999999999</v>
      </c>
      <c r="X532" t="s">
        <v>70</v>
      </c>
      <c r="Y532" t="s">
        <v>2823</v>
      </c>
      <c r="Z532">
        <v>3489.16</v>
      </c>
      <c r="AA532">
        <v>1006.13</v>
      </c>
      <c r="AB532">
        <v>3510553</v>
      </c>
      <c r="AC532" t="b">
        <v>1</v>
      </c>
      <c r="AD532" t="b">
        <v>1</v>
      </c>
      <c r="AE532" t="b">
        <v>0</v>
      </c>
      <c r="AF532" t="b">
        <v>0</v>
      </c>
      <c r="AG532" t="s">
        <v>58</v>
      </c>
      <c r="AH532">
        <v>14</v>
      </c>
      <c r="AI532" t="s">
        <v>59</v>
      </c>
      <c r="AJ532" t="s">
        <v>71</v>
      </c>
      <c r="AL532" t="s">
        <v>244</v>
      </c>
      <c r="AM532" t="s">
        <v>245</v>
      </c>
      <c r="AN532" t="s">
        <v>63</v>
      </c>
      <c r="AO532" t="s">
        <v>2824</v>
      </c>
      <c r="AP532" t="s">
        <v>2826</v>
      </c>
    </row>
    <row r="533" spans="1:42" x14ac:dyDescent="0.45">
      <c r="A533" t="s">
        <v>2812</v>
      </c>
      <c r="B533" t="s">
        <v>2813</v>
      </c>
      <c r="C533" t="s">
        <v>2814</v>
      </c>
      <c r="D533">
        <v>2017</v>
      </c>
      <c r="E533" t="s">
        <v>45</v>
      </c>
      <c r="F533" t="s">
        <v>2020</v>
      </c>
      <c r="G533">
        <v>1</v>
      </c>
      <c r="J533" t="s">
        <v>2832</v>
      </c>
      <c r="K533" t="s">
        <v>2833</v>
      </c>
      <c r="L533" t="s">
        <v>2834</v>
      </c>
      <c r="M533" t="s">
        <v>2835</v>
      </c>
      <c r="N533" t="s">
        <v>2836</v>
      </c>
      <c r="O533" t="s">
        <v>2837</v>
      </c>
      <c r="P533" t="s">
        <v>2027</v>
      </c>
      <c r="Q533" t="s">
        <v>2821</v>
      </c>
      <c r="S533">
        <v>3</v>
      </c>
      <c r="T533" t="s">
        <v>2838</v>
      </c>
      <c r="U533">
        <v>3148</v>
      </c>
      <c r="V533">
        <v>1726.5</v>
      </c>
      <c r="W533">
        <v>1.8232999999999999</v>
      </c>
      <c r="X533" t="s">
        <v>242</v>
      </c>
      <c r="Y533" t="s">
        <v>2823</v>
      </c>
      <c r="Z533">
        <v>1566.7</v>
      </c>
      <c r="AA533">
        <v>1905.67</v>
      </c>
      <c r="AB533">
        <v>2985602</v>
      </c>
      <c r="AC533" t="b">
        <v>0</v>
      </c>
      <c r="AD533" t="b">
        <v>0</v>
      </c>
      <c r="AE533" t="b">
        <v>0</v>
      </c>
      <c r="AF533" t="b">
        <v>0</v>
      </c>
      <c r="AG533" t="s">
        <v>58</v>
      </c>
      <c r="AH533">
        <v>10</v>
      </c>
      <c r="AI533" t="s">
        <v>59</v>
      </c>
      <c r="AJ533" t="s">
        <v>60</v>
      </c>
      <c r="AL533" t="s">
        <v>281</v>
      </c>
      <c r="AM533" t="s">
        <v>245</v>
      </c>
      <c r="AN533" t="s">
        <v>63</v>
      </c>
      <c r="AO533" t="s">
        <v>2824</v>
      </c>
      <c r="AP533" t="s">
        <v>2833</v>
      </c>
    </row>
    <row r="534" spans="1:42" x14ac:dyDescent="0.45">
      <c r="A534" t="s">
        <v>2812</v>
      </c>
      <c r="B534" t="s">
        <v>2813</v>
      </c>
      <c r="C534" t="s">
        <v>2814</v>
      </c>
      <c r="D534">
        <v>2017</v>
      </c>
      <c r="E534" t="s">
        <v>45</v>
      </c>
      <c r="F534" t="s">
        <v>2020</v>
      </c>
      <c r="G534">
        <v>1</v>
      </c>
      <c r="J534" t="s">
        <v>2839</v>
      </c>
      <c r="K534" t="s">
        <v>2840</v>
      </c>
      <c r="L534" t="s">
        <v>2841</v>
      </c>
      <c r="M534" t="s">
        <v>2842</v>
      </c>
      <c r="N534" t="s">
        <v>2829</v>
      </c>
      <c r="O534" t="s">
        <v>2830</v>
      </c>
      <c r="P534" t="s">
        <v>2027</v>
      </c>
      <c r="Q534" t="s">
        <v>2821</v>
      </c>
      <c r="S534">
        <v>1</v>
      </c>
      <c r="T534" t="s">
        <v>2843</v>
      </c>
      <c r="U534">
        <v>1569</v>
      </c>
      <c r="V534">
        <v>1726.5</v>
      </c>
      <c r="W534">
        <v>0.90880000000000005</v>
      </c>
      <c r="X534" t="s">
        <v>70</v>
      </c>
      <c r="Y534" t="s">
        <v>2823</v>
      </c>
      <c r="Z534">
        <v>3503.16</v>
      </c>
      <c r="AA534">
        <v>1508.71</v>
      </c>
      <c r="AB534">
        <v>5285255</v>
      </c>
      <c r="AC534" t="b">
        <v>1</v>
      </c>
      <c r="AD534" t="b">
        <v>1</v>
      </c>
      <c r="AE534" t="b">
        <v>0</v>
      </c>
      <c r="AF534" t="b">
        <v>0</v>
      </c>
      <c r="AG534" t="s">
        <v>58</v>
      </c>
      <c r="AH534">
        <v>14</v>
      </c>
      <c r="AI534" t="s">
        <v>59</v>
      </c>
      <c r="AJ534" t="s">
        <v>71</v>
      </c>
      <c r="AL534" t="s">
        <v>244</v>
      </c>
      <c r="AM534" t="s">
        <v>245</v>
      </c>
      <c r="AN534" t="s">
        <v>63</v>
      </c>
      <c r="AO534" t="s">
        <v>2824</v>
      </c>
      <c r="AP534" t="s">
        <v>2840</v>
      </c>
    </row>
    <row r="535" spans="1:42" x14ac:dyDescent="0.45">
      <c r="A535" t="s">
        <v>2812</v>
      </c>
      <c r="B535" t="s">
        <v>2813</v>
      </c>
      <c r="C535" t="s">
        <v>2814</v>
      </c>
      <c r="D535">
        <v>2017</v>
      </c>
      <c r="E535" t="s">
        <v>45</v>
      </c>
      <c r="F535" t="s">
        <v>2020</v>
      </c>
      <c r="G535">
        <v>2</v>
      </c>
      <c r="J535" t="s">
        <v>2844</v>
      </c>
      <c r="K535" t="s">
        <v>2845</v>
      </c>
      <c r="L535" t="s">
        <v>2846</v>
      </c>
      <c r="M535" t="s">
        <v>2847</v>
      </c>
      <c r="N535" t="s">
        <v>2829</v>
      </c>
      <c r="O535" t="s">
        <v>2830</v>
      </c>
      <c r="P535" t="s">
        <v>2027</v>
      </c>
      <c r="Q535" t="s">
        <v>2821</v>
      </c>
      <c r="S535">
        <v>4</v>
      </c>
      <c r="T535" t="s">
        <v>2848</v>
      </c>
      <c r="U535">
        <v>1655</v>
      </c>
      <c r="V535">
        <v>1726.5</v>
      </c>
      <c r="W535">
        <v>0.95860000000000001</v>
      </c>
      <c r="X535" t="s">
        <v>70</v>
      </c>
      <c r="Y535" t="s">
        <v>2823</v>
      </c>
      <c r="Z535">
        <v>3496.15</v>
      </c>
      <c r="AA535">
        <v>1363.94</v>
      </c>
      <c r="AB535">
        <v>4768538</v>
      </c>
      <c r="AC535" t="b">
        <v>1</v>
      </c>
      <c r="AD535" t="b">
        <v>1</v>
      </c>
      <c r="AE535" t="b">
        <v>0</v>
      </c>
      <c r="AF535" t="b">
        <v>0</v>
      </c>
      <c r="AG535" t="s">
        <v>58</v>
      </c>
      <c r="AH535">
        <v>14</v>
      </c>
      <c r="AI535" t="s">
        <v>59</v>
      </c>
      <c r="AJ535" t="s">
        <v>71</v>
      </c>
      <c r="AL535" t="s">
        <v>244</v>
      </c>
      <c r="AM535" t="s">
        <v>245</v>
      </c>
      <c r="AN535" t="s">
        <v>63</v>
      </c>
      <c r="AO535" t="s">
        <v>2824</v>
      </c>
      <c r="AP535" t="s">
        <v>2845</v>
      </c>
    </row>
    <row r="536" spans="1:42" x14ac:dyDescent="0.45">
      <c r="A536" t="s">
        <v>2812</v>
      </c>
      <c r="B536" t="s">
        <v>2813</v>
      </c>
      <c r="C536" t="s">
        <v>2814</v>
      </c>
      <c r="D536">
        <v>2017</v>
      </c>
      <c r="E536" t="s">
        <v>45</v>
      </c>
      <c r="F536" t="s">
        <v>2020</v>
      </c>
      <c r="J536" t="s">
        <v>2849</v>
      </c>
      <c r="K536" t="s">
        <v>2850</v>
      </c>
      <c r="L536" t="s">
        <v>2851</v>
      </c>
      <c r="M536" t="s">
        <v>2852</v>
      </c>
      <c r="N536" t="s">
        <v>2829</v>
      </c>
      <c r="O536" t="s">
        <v>2830</v>
      </c>
      <c r="P536" t="s">
        <v>2027</v>
      </c>
      <c r="Q536" t="s">
        <v>2821</v>
      </c>
      <c r="S536">
        <v>0</v>
      </c>
      <c r="T536" t="s">
        <v>2853</v>
      </c>
      <c r="U536">
        <v>5872</v>
      </c>
      <c r="V536">
        <v>1726.5</v>
      </c>
      <c r="W536">
        <v>3.4011</v>
      </c>
      <c r="X536" t="s">
        <v>242</v>
      </c>
      <c r="Y536" t="s">
        <v>2823</v>
      </c>
      <c r="Z536">
        <v>522.76</v>
      </c>
      <c r="AA536">
        <v>414.19</v>
      </c>
      <c r="AB536">
        <v>216520</v>
      </c>
      <c r="AC536" t="b">
        <v>0</v>
      </c>
      <c r="AD536" t="b">
        <v>0</v>
      </c>
      <c r="AE536" t="b">
        <v>0</v>
      </c>
      <c r="AF536" t="b">
        <v>0</v>
      </c>
      <c r="AG536" t="s">
        <v>58</v>
      </c>
      <c r="AH536">
        <v>10</v>
      </c>
      <c r="AI536" t="s">
        <v>386</v>
      </c>
      <c r="AJ536" t="s">
        <v>387</v>
      </c>
      <c r="AL536" t="s">
        <v>983</v>
      </c>
      <c r="AM536" t="s">
        <v>245</v>
      </c>
      <c r="AN536" t="s">
        <v>63</v>
      </c>
      <c r="AO536" t="s">
        <v>2824</v>
      </c>
      <c r="AP536" t="s">
        <v>2850</v>
      </c>
    </row>
    <row r="537" spans="1:42" x14ac:dyDescent="0.45">
      <c r="A537" t="s">
        <v>2812</v>
      </c>
      <c r="B537" t="s">
        <v>2813</v>
      </c>
      <c r="C537" t="s">
        <v>2814</v>
      </c>
      <c r="D537">
        <v>2017</v>
      </c>
      <c r="E537" t="s">
        <v>45</v>
      </c>
      <c r="F537" t="s">
        <v>2020</v>
      </c>
      <c r="G537">
        <v>5</v>
      </c>
      <c r="J537" t="s">
        <v>2854</v>
      </c>
      <c r="K537" t="s">
        <v>2855</v>
      </c>
      <c r="L537" t="s">
        <v>2856</v>
      </c>
      <c r="M537" t="s">
        <v>2857</v>
      </c>
      <c r="N537" t="s">
        <v>2829</v>
      </c>
      <c r="O537" t="s">
        <v>2830</v>
      </c>
      <c r="P537" t="s">
        <v>2027</v>
      </c>
      <c r="Q537" t="s">
        <v>2821</v>
      </c>
      <c r="S537">
        <v>7</v>
      </c>
      <c r="T537" t="s">
        <v>2858</v>
      </c>
      <c r="U537">
        <v>1733</v>
      </c>
      <c r="V537">
        <v>1726.5</v>
      </c>
      <c r="W537">
        <v>1.0038</v>
      </c>
      <c r="X537" t="s">
        <v>70</v>
      </c>
      <c r="Y537" t="s">
        <v>2823</v>
      </c>
      <c r="Z537">
        <v>3468.16</v>
      </c>
      <c r="AA537">
        <v>829.21</v>
      </c>
      <c r="AB537">
        <v>2875840</v>
      </c>
      <c r="AC537" t="b">
        <v>1</v>
      </c>
      <c r="AD537" t="b">
        <v>1</v>
      </c>
      <c r="AE537" t="b">
        <v>0</v>
      </c>
      <c r="AF537" t="b">
        <v>0</v>
      </c>
      <c r="AG537" t="s">
        <v>58</v>
      </c>
      <c r="AH537">
        <v>14</v>
      </c>
      <c r="AI537" t="s">
        <v>59</v>
      </c>
      <c r="AJ537" t="s">
        <v>71</v>
      </c>
      <c r="AL537" t="s">
        <v>244</v>
      </c>
      <c r="AM537" t="s">
        <v>245</v>
      </c>
      <c r="AN537" t="s">
        <v>63</v>
      </c>
      <c r="AO537" t="s">
        <v>2824</v>
      </c>
      <c r="AP537" t="s">
        <v>2855</v>
      </c>
    </row>
    <row r="538" spans="1:42" x14ac:dyDescent="0.45">
      <c r="A538" t="s">
        <v>2812</v>
      </c>
      <c r="B538" t="s">
        <v>2813</v>
      </c>
      <c r="C538" t="s">
        <v>2814</v>
      </c>
      <c r="D538">
        <v>2017</v>
      </c>
      <c r="E538" t="s">
        <v>45</v>
      </c>
      <c r="F538" t="s">
        <v>2020</v>
      </c>
      <c r="G538">
        <v>4</v>
      </c>
      <c r="J538" t="s">
        <v>2859</v>
      </c>
      <c r="K538" t="s">
        <v>2860</v>
      </c>
      <c r="L538" t="s">
        <v>2861</v>
      </c>
      <c r="M538" t="s">
        <v>2862</v>
      </c>
      <c r="N538" t="s">
        <v>2829</v>
      </c>
      <c r="O538" t="s">
        <v>2830</v>
      </c>
      <c r="P538" t="s">
        <v>2027</v>
      </c>
      <c r="Q538" t="s">
        <v>2821</v>
      </c>
      <c r="S538">
        <v>6</v>
      </c>
      <c r="T538" t="s">
        <v>2863</v>
      </c>
      <c r="U538">
        <v>1754</v>
      </c>
      <c r="V538">
        <v>1726.5</v>
      </c>
      <c r="W538">
        <v>1.0159</v>
      </c>
      <c r="X538" t="s">
        <v>70</v>
      </c>
      <c r="Y538" t="s">
        <v>2823</v>
      </c>
      <c r="Z538">
        <v>3475.16</v>
      </c>
      <c r="AA538">
        <v>800.14</v>
      </c>
      <c r="AB538">
        <v>2780600</v>
      </c>
      <c r="AC538" t="b">
        <v>1</v>
      </c>
      <c r="AD538" t="b">
        <v>1</v>
      </c>
      <c r="AE538" t="b">
        <v>0</v>
      </c>
      <c r="AF538" t="b">
        <v>0</v>
      </c>
      <c r="AG538" t="s">
        <v>58</v>
      </c>
      <c r="AH538">
        <v>14</v>
      </c>
      <c r="AI538" t="s">
        <v>59</v>
      </c>
      <c r="AJ538" t="s">
        <v>71</v>
      </c>
      <c r="AL538" t="s">
        <v>244</v>
      </c>
      <c r="AM538" t="s">
        <v>245</v>
      </c>
      <c r="AN538" t="s">
        <v>63</v>
      </c>
      <c r="AO538" t="s">
        <v>2824</v>
      </c>
      <c r="AP538" t="s">
        <v>2860</v>
      </c>
    </row>
    <row r="539" spans="1:42" x14ac:dyDescent="0.45">
      <c r="A539" t="s">
        <v>2812</v>
      </c>
      <c r="B539" t="s">
        <v>2813</v>
      </c>
      <c r="C539" t="s">
        <v>2814</v>
      </c>
      <c r="D539">
        <v>2017</v>
      </c>
      <c r="E539" t="s">
        <v>45</v>
      </c>
      <c r="F539" t="s">
        <v>2020</v>
      </c>
      <c r="G539">
        <v>7</v>
      </c>
      <c r="J539" t="s">
        <v>2864</v>
      </c>
      <c r="K539" t="s">
        <v>2865</v>
      </c>
      <c r="L539" t="s">
        <v>2866</v>
      </c>
      <c r="M539" t="s">
        <v>2867</v>
      </c>
      <c r="N539" t="s">
        <v>2829</v>
      </c>
      <c r="O539" t="s">
        <v>2830</v>
      </c>
      <c r="P539" t="s">
        <v>2027</v>
      </c>
      <c r="Q539" t="s">
        <v>2821</v>
      </c>
      <c r="S539">
        <v>9</v>
      </c>
      <c r="T539" t="s">
        <v>2868</v>
      </c>
      <c r="U539">
        <v>1720</v>
      </c>
      <c r="V539">
        <v>1726.5</v>
      </c>
      <c r="W539">
        <v>0.99619999999999997</v>
      </c>
      <c r="X539" t="s">
        <v>70</v>
      </c>
      <c r="Y539" t="s">
        <v>2823</v>
      </c>
      <c r="Z539">
        <v>3453.76</v>
      </c>
      <c r="AA539">
        <v>681.74</v>
      </c>
      <c r="AB539">
        <v>2354580</v>
      </c>
      <c r="AC539" t="b">
        <v>1</v>
      </c>
      <c r="AD539" t="b">
        <v>1</v>
      </c>
      <c r="AE539" t="b">
        <v>0</v>
      </c>
      <c r="AF539" t="b">
        <v>0</v>
      </c>
      <c r="AG539" t="s">
        <v>58</v>
      </c>
      <c r="AH539">
        <v>14</v>
      </c>
      <c r="AI539" t="s">
        <v>59</v>
      </c>
      <c r="AJ539" t="s">
        <v>71</v>
      </c>
      <c r="AL539" t="s">
        <v>244</v>
      </c>
      <c r="AM539" t="s">
        <v>245</v>
      </c>
      <c r="AN539" t="s">
        <v>63</v>
      </c>
      <c r="AO539" t="s">
        <v>2824</v>
      </c>
      <c r="AP539" t="s">
        <v>2865</v>
      </c>
    </row>
    <row r="540" spans="1:42" x14ac:dyDescent="0.45">
      <c r="A540" t="s">
        <v>2812</v>
      </c>
      <c r="B540" t="s">
        <v>2813</v>
      </c>
      <c r="C540" t="s">
        <v>2814</v>
      </c>
      <c r="D540">
        <v>2017</v>
      </c>
      <c r="E540" t="s">
        <v>45</v>
      </c>
      <c r="F540" t="s">
        <v>2020</v>
      </c>
      <c r="G540">
        <v>8</v>
      </c>
      <c r="J540" t="s">
        <v>2869</v>
      </c>
      <c r="K540" t="s">
        <v>2870</v>
      </c>
      <c r="L540" t="s">
        <v>2871</v>
      </c>
      <c r="M540" t="s">
        <v>2872</v>
      </c>
      <c r="N540" t="s">
        <v>2829</v>
      </c>
      <c r="O540" t="s">
        <v>2830</v>
      </c>
      <c r="P540" t="s">
        <v>2027</v>
      </c>
      <c r="Q540" t="s">
        <v>2821</v>
      </c>
      <c r="S540">
        <v>10</v>
      </c>
      <c r="T540" t="s">
        <v>2873</v>
      </c>
      <c r="U540">
        <v>1706</v>
      </c>
      <c r="V540">
        <v>1726.5</v>
      </c>
      <c r="W540">
        <v>0.98809999999999998</v>
      </c>
      <c r="X540" t="s">
        <v>70</v>
      </c>
      <c r="Y540" t="s">
        <v>2823</v>
      </c>
      <c r="Z540">
        <v>3447.03</v>
      </c>
      <c r="AA540">
        <v>786.79</v>
      </c>
      <c r="AB540">
        <v>2712078</v>
      </c>
      <c r="AC540" t="b">
        <v>1</v>
      </c>
      <c r="AD540" t="b">
        <v>1</v>
      </c>
      <c r="AE540" t="b">
        <v>0</v>
      </c>
      <c r="AF540" t="b">
        <v>0</v>
      </c>
      <c r="AG540" t="s">
        <v>58</v>
      </c>
      <c r="AH540">
        <v>14</v>
      </c>
      <c r="AI540" t="s">
        <v>59</v>
      </c>
      <c r="AJ540" t="s">
        <v>71</v>
      </c>
      <c r="AL540" t="s">
        <v>244</v>
      </c>
      <c r="AM540" t="s">
        <v>245</v>
      </c>
      <c r="AN540" t="s">
        <v>63</v>
      </c>
      <c r="AO540" t="s">
        <v>2824</v>
      </c>
      <c r="AP540" t="s">
        <v>2870</v>
      </c>
    </row>
    <row r="541" spans="1:42" x14ac:dyDescent="0.45">
      <c r="A541" t="s">
        <v>2812</v>
      </c>
      <c r="B541" t="s">
        <v>2813</v>
      </c>
      <c r="C541" t="s">
        <v>2814</v>
      </c>
      <c r="D541">
        <v>2017</v>
      </c>
      <c r="E541" t="s">
        <v>45</v>
      </c>
      <c r="F541" t="s">
        <v>2020</v>
      </c>
      <c r="G541">
        <v>6</v>
      </c>
      <c r="J541" t="s">
        <v>2874</v>
      </c>
      <c r="K541" t="s">
        <v>2875</v>
      </c>
      <c r="L541" t="s">
        <v>2876</v>
      </c>
      <c r="M541" t="s">
        <v>2877</v>
      </c>
      <c r="N541" t="s">
        <v>2829</v>
      </c>
      <c r="O541" t="s">
        <v>2830</v>
      </c>
      <c r="P541" t="s">
        <v>2027</v>
      </c>
      <c r="Q541" t="s">
        <v>2821</v>
      </c>
      <c r="S541">
        <v>8</v>
      </c>
      <c r="T541" t="s">
        <v>2878</v>
      </c>
      <c r="U541">
        <v>1898</v>
      </c>
      <c r="V541">
        <v>1726.5</v>
      </c>
      <c r="W541">
        <v>1.0992999999999999</v>
      </c>
      <c r="X541" t="s">
        <v>70</v>
      </c>
      <c r="Y541" t="s">
        <v>2823</v>
      </c>
      <c r="Z541">
        <v>3460.76</v>
      </c>
      <c r="AA541">
        <v>811.19</v>
      </c>
      <c r="AB541">
        <v>2807325</v>
      </c>
      <c r="AC541" t="b">
        <v>1</v>
      </c>
      <c r="AD541" t="b">
        <v>1</v>
      </c>
      <c r="AE541" t="b">
        <v>0</v>
      </c>
      <c r="AF541" t="b">
        <v>0</v>
      </c>
      <c r="AG541" t="s">
        <v>58</v>
      </c>
      <c r="AH541">
        <v>14</v>
      </c>
      <c r="AI541" t="s">
        <v>59</v>
      </c>
      <c r="AJ541" t="s">
        <v>71</v>
      </c>
      <c r="AL541" t="s">
        <v>244</v>
      </c>
      <c r="AM541" t="s">
        <v>245</v>
      </c>
      <c r="AN541" t="s">
        <v>63</v>
      </c>
      <c r="AO541" t="s">
        <v>2824</v>
      </c>
      <c r="AP541" t="s">
        <v>2875</v>
      </c>
    </row>
    <row r="542" spans="1:42" x14ac:dyDescent="0.45">
      <c r="A542" t="s">
        <v>2812</v>
      </c>
      <c r="B542" t="s">
        <v>2813</v>
      </c>
      <c r="C542" t="s">
        <v>2879</v>
      </c>
      <c r="D542">
        <v>2017</v>
      </c>
      <c r="E542" t="s">
        <v>45</v>
      </c>
      <c r="F542" t="s">
        <v>2020</v>
      </c>
      <c r="G542">
        <v>1</v>
      </c>
      <c r="J542" t="s">
        <v>2815</v>
      </c>
      <c r="K542" t="s">
        <v>2880</v>
      </c>
      <c r="L542" t="s">
        <v>2817</v>
      </c>
      <c r="M542" t="s">
        <v>2818</v>
      </c>
      <c r="N542" t="s">
        <v>2819</v>
      </c>
      <c r="O542" t="s">
        <v>2820</v>
      </c>
      <c r="P542" t="s">
        <v>293</v>
      </c>
      <c r="Q542" t="s">
        <v>2881</v>
      </c>
      <c r="S542">
        <v>1</v>
      </c>
      <c r="T542" t="s">
        <v>2822</v>
      </c>
      <c r="U542">
        <v>532</v>
      </c>
      <c r="V542">
        <v>1722</v>
      </c>
      <c r="W542">
        <v>0.30890000000000001</v>
      </c>
      <c r="X542" t="s">
        <v>56</v>
      </c>
      <c r="Y542" t="s">
        <v>2882</v>
      </c>
      <c r="Z542">
        <v>1475.72</v>
      </c>
      <c r="AA542">
        <v>91.28</v>
      </c>
      <c r="AB542">
        <v>134700</v>
      </c>
      <c r="AC542" t="b">
        <v>0</v>
      </c>
      <c r="AD542" t="b">
        <v>0</v>
      </c>
      <c r="AE542" t="b">
        <v>0</v>
      </c>
      <c r="AF542" t="b">
        <v>0</v>
      </c>
      <c r="AG542" t="s">
        <v>58</v>
      </c>
      <c r="AH542">
        <v>4</v>
      </c>
      <c r="AI542" t="s">
        <v>59</v>
      </c>
      <c r="AJ542" t="s">
        <v>60</v>
      </c>
      <c r="AL542" t="s">
        <v>409</v>
      </c>
      <c r="AM542" t="s">
        <v>245</v>
      </c>
      <c r="AN542" t="s">
        <v>63</v>
      </c>
      <c r="AO542" t="s">
        <v>2883</v>
      </c>
      <c r="AP542" t="s">
        <v>2880</v>
      </c>
    </row>
    <row r="543" spans="1:42" x14ac:dyDescent="0.45">
      <c r="A543" t="s">
        <v>2812</v>
      </c>
      <c r="B543" t="s">
        <v>2813</v>
      </c>
      <c r="C543" t="s">
        <v>2879</v>
      </c>
      <c r="D543">
        <v>2017</v>
      </c>
      <c r="E543" t="s">
        <v>45</v>
      </c>
      <c r="F543" t="s">
        <v>2020</v>
      </c>
      <c r="G543">
        <v>1</v>
      </c>
      <c r="J543" t="s">
        <v>2832</v>
      </c>
      <c r="K543" t="s">
        <v>2884</v>
      </c>
      <c r="L543" t="s">
        <v>2834</v>
      </c>
      <c r="M543" t="s">
        <v>2835</v>
      </c>
      <c r="N543" t="s">
        <v>2836</v>
      </c>
      <c r="O543" t="s">
        <v>2837</v>
      </c>
      <c r="P543" t="s">
        <v>2027</v>
      </c>
      <c r="Q543" t="s">
        <v>2881</v>
      </c>
      <c r="S543">
        <v>2</v>
      </c>
      <c r="T543" t="s">
        <v>2838</v>
      </c>
      <c r="U543">
        <v>3148</v>
      </c>
      <c r="V543">
        <v>1722</v>
      </c>
      <c r="W543">
        <v>1.8281000000000001</v>
      </c>
      <c r="X543" t="s">
        <v>242</v>
      </c>
      <c r="Y543" t="s">
        <v>2882</v>
      </c>
      <c r="Z543">
        <v>1566.7</v>
      </c>
      <c r="AA543">
        <v>1905.66</v>
      </c>
      <c r="AB543">
        <v>2985599</v>
      </c>
      <c r="AC543" t="b">
        <v>0</v>
      </c>
      <c r="AD543" t="b">
        <v>0</v>
      </c>
      <c r="AE543" t="b">
        <v>0</v>
      </c>
      <c r="AF543" t="b">
        <v>0</v>
      </c>
      <c r="AG543" t="s">
        <v>58</v>
      </c>
      <c r="AH543">
        <v>10</v>
      </c>
      <c r="AI543" t="s">
        <v>59</v>
      </c>
      <c r="AJ543" t="s">
        <v>60</v>
      </c>
      <c r="AL543" t="s">
        <v>281</v>
      </c>
      <c r="AM543" t="s">
        <v>245</v>
      </c>
      <c r="AN543" t="s">
        <v>63</v>
      </c>
      <c r="AO543" t="s">
        <v>2883</v>
      </c>
      <c r="AP543" t="s">
        <v>2884</v>
      </c>
    </row>
    <row r="544" spans="1:42" x14ac:dyDescent="0.45">
      <c r="A544" t="s">
        <v>2812</v>
      </c>
      <c r="B544" t="s">
        <v>2813</v>
      </c>
      <c r="C544" t="s">
        <v>2879</v>
      </c>
      <c r="D544">
        <v>2017</v>
      </c>
      <c r="E544" t="s">
        <v>45</v>
      </c>
      <c r="F544" t="s">
        <v>2020</v>
      </c>
      <c r="G544">
        <v>8</v>
      </c>
      <c r="J544" t="s">
        <v>2885</v>
      </c>
      <c r="K544" t="s">
        <v>2886</v>
      </c>
      <c r="L544" t="s">
        <v>2887</v>
      </c>
      <c r="M544" t="s">
        <v>2888</v>
      </c>
      <c r="N544" t="s">
        <v>2829</v>
      </c>
      <c r="O544" t="s">
        <v>2830</v>
      </c>
      <c r="P544" t="s">
        <v>2027</v>
      </c>
      <c r="Q544" t="s">
        <v>2881</v>
      </c>
      <c r="S544">
        <v>9</v>
      </c>
      <c r="T544" t="s">
        <v>2889</v>
      </c>
      <c r="U544">
        <v>1788</v>
      </c>
      <c r="V544">
        <v>1722</v>
      </c>
      <c r="W544">
        <v>1.0383</v>
      </c>
      <c r="X544" t="s">
        <v>70</v>
      </c>
      <c r="Y544" t="s">
        <v>2882</v>
      </c>
      <c r="Z544">
        <v>3390.76</v>
      </c>
      <c r="AA544">
        <v>457.49</v>
      </c>
      <c r="AB544">
        <v>1551235</v>
      </c>
      <c r="AC544" t="b">
        <v>1</v>
      </c>
      <c r="AD544" t="b">
        <v>1</v>
      </c>
      <c r="AE544" t="b">
        <v>0</v>
      </c>
      <c r="AF544" t="b">
        <v>0</v>
      </c>
      <c r="AG544" t="s">
        <v>58</v>
      </c>
      <c r="AH544">
        <v>14</v>
      </c>
      <c r="AI544" t="s">
        <v>59</v>
      </c>
      <c r="AJ544" t="s">
        <v>71</v>
      </c>
      <c r="AL544" t="s">
        <v>244</v>
      </c>
      <c r="AM544" t="s">
        <v>245</v>
      </c>
      <c r="AN544" t="s">
        <v>63</v>
      </c>
      <c r="AO544" t="s">
        <v>2883</v>
      </c>
      <c r="AP544" t="s">
        <v>2886</v>
      </c>
    </row>
    <row r="545" spans="1:42" x14ac:dyDescent="0.45">
      <c r="A545" t="s">
        <v>2812</v>
      </c>
      <c r="B545" t="s">
        <v>2813</v>
      </c>
      <c r="C545" t="s">
        <v>2879</v>
      </c>
      <c r="D545">
        <v>2017</v>
      </c>
      <c r="E545" t="s">
        <v>45</v>
      </c>
      <c r="F545" t="s">
        <v>2020</v>
      </c>
      <c r="G545">
        <v>1</v>
      </c>
      <c r="J545" t="s">
        <v>2890</v>
      </c>
      <c r="K545" t="s">
        <v>2891</v>
      </c>
      <c r="L545" t="s">
        <v>2892</v>
      </c>
      <c r="M545" t="s">
        <v>2893</v>
      </c>
      <c r="N545" t="s">
        <v>2829</v>
      </c>
      <c r="O545" t="s">
        <v>2830</v>
      </c>
      <c r="P545" t="s">
        <v>2027</v>
      </c>
      <c r="Q545" t="s">
        <v>2881</v>
      </c>
      <c r="S545">
        <v>0</v>
      </c>
      <c r="T545" t="s">
        <v>2894</v>
      </c>
      <c r="U545">
        <v>1715</v>
      </c>
      <c r="V545">
        <v>1722</v>
      </c>
      <c r="W545">
        <v>0.99590000000000001</v>
      </c>
      <c r="X545" t="s">
        <v>70</v>
      </c>
      <c r="Y545" t="s">
        <v>2882</v>
      </c>
      <c r="Z545">
        <v>3439.77</v>
      </c>
      <c r="AA545">
        <v>1011.66</v>
      </c>
      <c r="AB545">
        <v>3479870</v>
      </c>
      <c r="AC545" t="b">
        <v>1</v>
      </c>
      <c r="AD545" t="b">
        <v>1</v>
      </c>
      <c r="AE545" t="b">
        <v>0</v>
      </c>
      <c r="AF545" t="b">
        <v>0</v>
      </c>
      <c r="AG545" t="s">
        <v>58</v>
      </c>
      <c r="AH545">
        <v>14</v>
      </c>
      <c r="AI545" t="s">
        <v>59</v>
      </c>
      <c r="AJ545" t="s">
        <v>71</v>
      </c>
      <c r="AL545" t="s">
        <v>244</v>
      </c>
      <c r="AM545" t="s">
        <v>245</v>
      </c>
      <c r="AN545" t="s">
        <v>63</v>
      </c>
      <c r="AO545" t="s">
        <v>2883</v>
      </c>
      <c r="AP545" t="s">
        <v>2891</v>
      </c>
    </row>
    <row r="546" spans="1:42" x14ac:dyDescent="0.45">
      <c r="A546" t="s">
        <v>2812</v>
      </c>
      <c r="B546" t="s">
        <v>2813</v>
      </c>
      <c r="C546" t="s">
        <v>2879</v>
      </c>
      <c r="D546">
        <v>2017</v>
      </c>
      <c r="E546" t="s">
        <v>45</v>
      </c>
      <c r="F546" t="s">
        <v>2020</v>
      </c>
      <c r="G546">
        <v>7</v>
      </c>
      <c r="J546" t="s">
        <v>2895</v>
      </c>
      <c r="K546" t="s">
        <v>2896</v>
      </c>
      <c r="L546" t="s">
        <v>2897</v>
      </c>
      <c r="M546" t="s">
        <v>2898</v>
      </c>
      <c r="N546" t="s">
        <v>2829</v>
      </c>
      <c r="O546" t="s">
        <v>2830</v>
      </c>
      <c r="P546" t="s">
        <v>2027</v>
      </c>
      <c r="Q546" t="s">
        <v>2881</v>
      </c>
      <c r="S546">
        <v>8</v>
      </c>
      <c r="T546" t="s">
        <v>2899</v>
      </c>
      <c r="U546">
        <v>1729</v>
      </c>
      <c r="V546">
        <v>1722</v>
      </c>
      <c r="W546">
        <v>1.0041</v>
      </c>
      <c r="X546" t="s">
        <v>70</v>
      </c>
      <c r="Y546" t="s">
        <v>2882</v>
      </c>
      <c r="Z546">
        <v>3397.76</v>
      </c>
      <c r="AA546">
        <v>346.57</v>
      </c>
      <c r="AB546">
        <v>1177567</v>
      </c>
      <c r="AC546" t="b">
        <v>1</v>
      </c>
      <c r="AD546" t="b">
        <v>1</v>
      </c>
      <c r="AE546" t="b">
        <v>0</v>
      </c>
      <c r="AF546" t="b">
        <v>0</v>
      </c>
      <c r="AG546" t="s">
        <v>58</v>
      </c>
      <c r="AH546">
        <v>14</v>
      </c>
      <c r="AI546" t="s">
        <v>59</v>
      </c>
      <c r="AJ546" t="s">
        <v>71</v>
      </c>
      <c r="AL546" t="s">
        <v>244</v>
      </c>
      <c r="AM546" t="s">
        <v>245</v>
      </c>
      <c r="AN546" t="s">
        <v>63</v>
      </c>
      <c r="AO546" t="s">
        <v>2883</v>
      </c>
      <c r="AP546" t="s">
        <v>2896</v>
      </c>
    </row>
    <row r="547" spans="1:42" x14ac:dyDescent="0.45">
      <c r="A547" t="s">
        <v>2812</v>
      </c>
      <c r="B547" t="s">
        <v>2813</v>
      </c>
      <c r="C547" t="s">
        <v>2879</v>
      </c>
      <c r="D547">
        <v>2017</v>
      </c>
      <c r="E547" t="s">
        <v>45</v>
      </c>
      <c r="F547" t="s">
        <v>2020</v>
      </c>
      <c r="G547">
        <v>5</v>
      </c>
      <c r="J547" t="s">
        <v>2900</v>
      </c>
      <c r="K547" t="s">
        <v>2901</v>
      </c>
      <c r="L547" t="s">
        <v>2902</v>
      </c>
      <c r="M547" t="s">
        <v>2903</v>
      </c>
      <c r="N547" t="s">
        <v>2829</v>
      </c>
      <c r="O547" t="s">
        <v>2830</v>
      </c>
      <c r="P547" t="s">
        <v>2027</v>
      </c>
      <c r="Q547" t="s">
        <v>2881</v>
      </c>
      <c r="S547">
        <v>6</v>
      </c>
      <c r="T547" t="s">
        <v>2904</v>
      </c>
      <c r="U547">
        <v>1747</v>
      </c>
      <c r="V547">
        <v>1722</v>
      </c>
      <c r="W547">
        <v>1.0145</v>
      </c>
      <c r="X547" t="s">
        <v>70</v>
      </c>
      <c r="Y547" t="s">
        <v>2882</v>
      </c>
      <c r="Z547">
        <v>3411.76</v>
      </c>
      <c r="AA547">
        <v>553.05999999999995</v>
      </c>
      <c r="AB547">
        <v>1886899</v>
      </c>
      <c r="AC547" t="b">
        <v>1</v>
      </c>
      <c r="AD547" t="b">
        <v>1</v>
      </c>
      <c r="AE547" t="b">
        <v>0</v>
      </c>
      <c r="AF547" t="b">
        <v>0</v>
      </c>
      <c r="AG547" t="s">
        <v>58</v>
      </c>
      <c r="AH547">
        <v>14</v>
      </c>
      <c r="AI547" t="s">
        <v>59</v>
      </c>
      <c r="AJ547" t="s">
        <v>71</v>
      </c>
      <c r="AL547" t="s">
        <v>244</v>
      </c>
      <c r="AM547" t="s">
        <v>245</v>
      </c>
      <c r="AN547" t="s">
        <v>63</v>
      </c>
      <c r="AO547" t="s">
        <v>2883</v>
      </c>
      <c r="AP547" t="s">
        <v>2901</v>
      </c>
    </row>
    <row r="548" spans="1:42" x14ac:dyDescent="0.45">
      <c r="A548" t="s">
        <v>2812</v>
      </c>
      <c r="B548" t="s">
        <v>2813</v>
      </c>
      <c r="C548" t="s">
        <v>2879</v>
      </c>
      <c r="D548">
        <v>2017</v>
      </c>
      <c r="E548" t="s">
        <v>45</v>
      </c>
      <c r="F548" t="s">
        <v>2020</v>
      </c>
      <c r="G548">
        <v>6</v>
      </c>
      <c r="J548" t="s">
        <v>2905</v>
      </c>
      <c r="K548" t="s">
        <v>2906</v>
      </c>
      <c r="L548" t="s">
        <v>2907</v>
      </c>
      <c r="M548" t="s">
        <v>2908</v>
      </c>
      <c r="N548" t="s">
        <v>2829</v>
      </c>
      <c r="O548" t="s">
        <v>2830</v>
      </c>
      <c r="P548" t="s">
        <v>2027</v>
      </c>
      <c r="Q548" t="s">
        <v>2881</v>
      </c>
      <c r="S548">
        <v>7</v>
      </c>
      <c r="T548" t="s">
        <v>2909</v>
      </c>
      <c r="U548">
        <v>1661</v>
      </c>
      <c r="V548">
        <v>1722</v>
      </c>
      <c r="W548">
        <v>0.96460000000000001</v>
      </c>
      <c r="X548" t="s">
        <v>70</v>
      </c>
      <c r="Y548" t="s">
        <v>2882</v>
      </c>
      <c r="Z548">
        <v>3404.76</v>
      </c>
      <c r="AA548">
        <v>440.03</v>
      </c>
      <c r="AB548">
        <v>1498209</v>
      </c>
      <c r="AC548" t="b">
        <v>1</v>
      </c>
      <c r="AD548" t="b">
        <v>1</v>
      </c>
      <c r="AE548" t="b">
        <v>0</v>
      </c>
      <c r="AF548" t="b">
        <v>0</v>
      </c>
      <c r="AG548" t="s">
        <v>58</v>
      </c>
      <c r="AH548">
        <v>14</v>
      </c>
      <c r="AI548" t="s">
        <v>59</v>
      </c>
      <c r="AJ548" t="s">
        <v>71</v>
      </c>
      <c r="AL548" t="s">
        <v>244</v>
      </c>
      <c r="AM548" t="s">
        <v>245</v>
      </c>
      <c r="AN548" t="s">
        <v>63</v>
      </c>
      <c r="AO548" t="s">
        <v>2883</v>
      </c>
      <c r="AP548" t="s">
        <v>2906</v>
      </c>
    </row>
    <row r="549" spans="1:42" x14ac:dyDescent="0.45">
      <c r="A549" t="s">
        <v>2812</v>
      </c>
      <c r="B549" t="s">
        <v>2813</v>
      </c>
      <c r="C549" t="s">
        <v>2879</v>
      </c>
      <c r="D549">
        <v>2017</v>
      </c>
      <c r="E549" t="s">
        <v>45</v>
      </c>
      <c r="F549" t="s">
        <v>2020</v>
      </c>
      <c r="G549">
        <v>4</v>
      </c>
      <c r="J549" t="s">
        <v>2910</v>
      </c>
      <c r="K549" t="s">
        <v>2911</v>
      </c>
      <c r="L549" t="s">
        <v>2912</v>
      </c>
      <c r="M549" t="s">
        <v>2913</v>
      </c>
      <c r="N549" t="s">
        <v>2829</v>
      </c>
      <c r="O549" t="s">
        <v>2830</v>
      </c>
      <c r="P549" t="s">
        <v>2027</v>
      </c>
      <c r="Q549" t="s">
        <v>2881</v>
      </c>
      <c r="S549">
        <v>5</v>
      </c>
      <c r="T549" t="s">
        <v>2914</v>
      </c>
      <c r="U549">
        <v>1739</v>
      </c>
      <c r="V549">
        <v>1722</v>
      </c>
      <c r="W549">
        <v>1.0099</v>
      </c>
      <c r="X549" t="s">
        <v>70</v>
      </c>
      <c r="Y549" t="s">
        <v>2882</v>
      </c>
      <c r="Z549">
        <v>3418.76</v>
      </c>
      <c r="AA549">
        <v>561.21</v>
      </c>
      <c r="AB549">
        <v>1918653</v>
      </c>
      <c r="AC549" t="b">
        <v>1</v>
      </c>
      <c r="AD549" t="b">
        <v>1</v>
      </c>
      <c r="AE549" t="b">
        <v>0</v>
      </c>
      <c r="AF549" t="b">
        <v>0</v>
      </c>
      <c r="AG549" t="s">
        <v>58</v>
      </c>
      <c r="AH549">
        <v>14</v>
      </c>
      <c r="AI549" t="s">
        <v>59</v>
      </c>
      <c r="AJ549" t="s">
        <v>71</v>
      </c>
      <c r="AL549" t="s">
        <v>244</v>
      </c>
      <c r="AM549" t="s">
        <v>245</v>
      </c>
      <c r="AN549" t="s">
        <v>63</v>
      </c>
      <c r="AO549" t="s">
        <v>2883</v>
      </c>
      <c r="AP549" t="s">
        <v>2911</v>
      </c>
    </row>
    <row r="550" spans="1:42" x14ac:dyDescent="0.45">
      <c r="A550" t="s">
        <v>2812</v>
      </c>
      <c r="B550" t="s">
        <v>2813</v>
      </c>
      <c r="C550" t="s">
        <v>2879</v>
      </c>
      <c r="D550">
        <v>2017</v>
      </c>
      <c r="E550" t="s">
        <v>45</v>
      </c>
      <c r="F550" t="s">
        <v>2020</v>
      </c>
      <c r="G550">
        <v>3</v>
      </c>
      <c r="J550" t="s">
        <v>2915</v>
      </c>
      <c r="K550" t="s">
        <v>2916</v>
      </c>
      <c r="L550" t="s">
        <v>2917</v>
      </c>
      <c r="M550" t="s">
        <v>2918</v>
      </c>
      <c r="N550" t="s">
        <v>2829</v>
      </c>
      <c r="O550" t="s">
        <v>2830</v>
      </c>
      <c r="P550" t="s">
        <v>2027</v>
      </c>
      <c r="Q550" t="s">
        <v>2881</v>
      </c>
      <c r="S550">
        <v>4</v>
      </c>
      <c r="T550" t="s">
        <v>2919</v>
      </c>
      <c r="U550">
        <v>1637</v>
      </c>
      <c r="V550">
        <v>1722</v>
      </c>
      <c r="W550">
        <v>0.9506</v>
      </c>
      <c r="X550" t="s">
        <v>70</v>
      </c>
      <c r="Y550" t="s">
        <v>2882</v>
      </c>
      <c r="Z550">
        <v>3425.76</v>
      </c>
      <c r="AA550">
        <v>682.83</v>
      </c>
      <c r="AB550">
        <v>2339217</v>
      </c>
      <c r="AC550" t="b">
        <v>1</v>
      </c>
      <c r="AD550" t="b">
        <v>1</v>
      </c>
      <c r="AE550" t="b">
        <v>0</v>
      </c>
      <c r="AF550" t="b">
        <v>0</v>
      </c>
      <c r="AG550" t="s">
        <v>58</v>
      </c>
      <c r="AH550">
        <v>14</v>
      </c>
      <c r="AI550" t="s">
        <v>59</v>
      </c>
      <c r="AJ550" t="s">
        <v>71</v>
      </c>
      <c r="AL550" t="s">
        <v>244</v>
      </c>
      <c r="AM550" t="s">
        <v>245</v>
      </c>
      <c r="AN550" t="s">
        <v>63</v>
      </c>
      <c r="AO550" t="s">
        <v>2883</v>
      </c>
      <c r="AP550" t="s">
        <v>2916</v>
      </c>
    </row>
    <row r="551" spans="1:42" x14ac:dyDescent="0.45">
      <c r="A551" t="s">
        <v>2812</v>
      </c>
      <c r="B551" t="s">
        <v>2813</v>
      </c>
      <c r="C551" t="s">
        <v>2879</v>
      </c>
      <c r="D551">
        <v>2017</v>
      </c>
      <c r="E551" t="s">
        <v>45</v>
      </c>
      <c r="F551" t="s">
        <v>2020</v>
      </c>
      <c r="G551">
        <v>2</v>
      </c>
      <c r="J551" t="s">
        <v>2920</v>
      </c>
      <c r="K551" t="s">
        <v>2921</v>
      </c>
      <c r="L551" t="s">
        <v>2922</v>
      </c>
      <c r="M551" t="s">
        <v>2923</v>
      </c>
      <c r="N551" t="s">
        <v>2829</v>
      </c>
      <c r="O551" t="s">
        <v>2830</v>
      </c>
      <c r="P551" t="s">
        <v>2027</v>
      </c>
      <c r="Q551" t="s">
        <v>2881</v>
      </c>
      <c r="S551">
        <v>3</v>
      </c>
      <c r="T551" t="s">
        <v>2924</v>
      </c>
      <c r="U551">
        <v>1707</v>
      </c>
      <c r="V551">
        <v>1722</v>
      </c>
      <c r="W551">
        <v>0.99129999999999996</v>
      </c>
      <c r="X551" t="s">
        <v>70</v>
      </c>
      <c r="Y551" t="s">
        <v>2882</v>
      </c>
      <c r="Z551">
        <v>3432.76</v>
      </c>
      <c r="AA551">
        <v>584.08000000000004</v>
      </c>
      <c r="AB551">
        <v>2005020</v>
      </c>
      <c r="AC551" t="b">
        <v>1</v>
      </c>
      <c r="AD551" t="b">
        <v>1</v>
      </c>
      <c r="AE551" t="b">
        <v>0</v>
      </c>
      <c r="AF551" t="b">
        <v>0</v>
      </c>
      <c r="AG551" t="s">
        <v>58</v>
      </c>
      <c r="AH551">
        <v>14</v>
      </c>
      <c r="AI551" t="s">
        <v>59</v>
      </c>
      <c r="AJ551" t="s">
        <v>71</v>
      </c>
      <c r="AL551" t="s">
        <v>244</v>
      </c>
      <c r="AM551" t="s">
        <v>245</v>
      </c>
      <c r="AN551" t="s">
        <v>63</v>
      </c>
      <c r="AO551" t="s">
        <v>2883</v>
      </c>
      <c r="AP551" t="s">
        <v>2921</v>
      </c>
    </row>
    <row r="552" spans="1:42" x14ac:dyDescent="0.45">
      <c r="A552" t="s">
        <v>2812</v>
      </c>
      <c r="B552" t="s">
        <v>2813</v>
      </c>
      <c r="C552" t="s">
        <v>2925</v>
      </c>
      <c r="D552">
        <v>2017</v>
      </c>
      <c r="E552" t="s">
        <v>45</v>
      </c>
      <c r="F552" t="s">
        <v>2020</v>
      </c>
      <c r="G552">
        <v>6</v>
      </c>
      <c r="J552" t="s">
        <v>2926</v>
      </c>
      <c r="K552" t="s">
        <v>2927</v>
      </c>
      <c r="L552" t="s">
        <v>2928</v>
      </c>
      <c r="M552" t="s">
        <v>2929</v>
      </c>
      <c r="N552" t="s">
        <v>2829</v>
      </c>
      <c r="O552" t="s">
        <v>2830</v>
      </c>
      <c r="P552" t="s">
        <v>2027</v>
      </c>
      <c r="Q552" t="s">
        <v>2930</v>
      </c>
      <c r="S552">
        <v>5</v>
      </c>
      <c r="T552" t="s">
        <v>2931</v>
      </c>
      <c r="U552">
        <v>1885</v>
      </c>
      <c r="V552">
        <v>1773.5</v>
      </c>
      <c r="W552">
        <v>1.0629</v>
      </c>
      <c r="X552" t="s">
        <v>70</v>
      </c>
      <c r="Y552" t="s">
        <v>2932</v>
      </c>
      <c r="Z552">
        <v>3272.02</v>
      </c>
      <c r="AA552">
        <v>565.48</v>
      </c>
      <c r="AB552">
        <v>1850259</v>
      </c>
      <c r="AC552" t="b">
        <v>1</v>
      </c>
      <c r="AD552" t="b">
        <v>1</v>
      </c>
      <c r="AE552" t="b">
        <v>0</v>
      </c>
      <c r="AF552" t="b">
        <v>0</v>
      </c>
      <c r="AG552" t="s">
        <v>58</v>
      </c>
      <c r="AH552">
        <v>14</v>
      </c>
      <c r="AI552" t="s">
        <v>59</v>
      </c>
      <c r="AJ552" t="s">
        <v>71</v>
      </c>
      <c r="AL552" t="s">
        <v>244</v>
      </c>
      <c r="AM552" t="s">
        <v>245</v>
      </c>
      <c r="AN552" t="s">
        <v>63</v>
      </c>
      <c r="AO552" t="s">
        <v>2933</v>
      </c>
      <c r="AP552" t="s">
        <v>2927</v>
      </c>
    </row>
    <row r="553" spans="1:42" x14ac:dyDescent="0.45">
      <c r="A553" t="s">
        <v>2812</v>
      </c>
      <c r="B553" t="s">
        <v>2813</v>
      </c>
      <c r="C553" t="s">
        <v>2925</v>
      </c>
      <c r="D553">
        <v>2017</v>
      </c>
      <c r="E553" t="s">
        <v>45</v>
      </c>
      <c r="F553" t="s">
        <v>2020</v>
      </c>
      <c r="G553">
        <v>1</v>
      </c>
      <c r="J553" t="s">
        <v>2934</v>
      </c>
      <c r="K553" t="s">
        <v>2935</v>
      </c>
      <c r="L553" t="s">
        <v>2936</v>
      </c>
      <c r="M553" t="s">
        <v>2937</v>
      </c>
      <c r="N553" t="s">
        <v>2829</v>
      </c>
      <c r="O553" t="s">
        <v>2830</v>
      </c>
      <c r="P553" t="s">
        <v>2027</v>
      </c>
      <c r="Q553" t="s">
        <v>2930</v>
      </c>
      <c r="S553">
        <v>0</v>
      </c>
      <c r="T553" t="s">
        <v>2938</v>
      </c>
      <c r="U553">
        <v>1738</v>
      </c>
      <c r="V553">
        <v>1773.5</v>
      </c>
      <c r="W553">
        <v>0.98</v>
      </c>
      <c r="X553" t="s">
        <v>70</v>
      </c>
      <c r="Y553" t="s">
        <v>2932</v>
      </c>
      <c r="Z553">
        <v>3307.1</v>
      </c>
      <c r="AA553">
        <v>1759.31</v>
      </c>
      <c r="AB553">
        <v>5818208</v>
      </c>
      <c r="AC553" t="b">
        <v>1</v>
      </c>
      <c r="AD553" t="b">
        <v>1</v>
      </c>
      <c r="AE553" t="b">
        <v>0</v>
      </c>
      <c r="AF553" t="b">
        <v>0</v>
      </c>
      <c r="AG553" t="s">
        <v>58</v>
      </c>
      <c r="AH553">
        <v>14</v>
      </c>
      <c r="AI553" t="s">
        <v>59</v>
      </c>
      <c r="AJ553" t="s">
        <v>71</v>
      </c>
      <c r="AL553" t="s">
        <v>244</v>
      </c>
      <c r="AM553" t="s">
        <v>245</v>
      </c>
      <c r="AN553" t="s">
        <v>63</v>
      </c>
      <c r="AO553" t="s">
        <v>2933</v>
      </c>
      <c r="AP553" t="s">
        <v>2935</v>
      </c>
    </row>
    <row r="554" spans="1:42" x14ac:dyDescent="0.45">
      <c r="A554" t="s">
        <v>2812</v>
      </c>
      <c r="B554" t="s">
        <v>2813</v>
      </c>
      <c r="C554" t="s">
        <v>2925</v>
      </c>
      <c r="D554">
        <v>2017</v>
      </c>
      <c r="E554" t="s">
        <v>45</v>
      </c>
      <c r="F554" t="s">
        <v>2020</v>
      </c>
      <c r="G554">
        <v>7</v>
      </c>
      <c r="J554" t="s">
        <v>2939</v>
      </c>
      <c r="K554" t="s">
        <v>2940</v>
      </c>
      <c r="L554" t="s">
        <v>2941</v>
      </c>
      <c r="M554" t="s">
        <v>2942</v>
      </c>
      <c r="N554" t="s">
        <v>2829</v>
      </c>
      <c r="O554" t="s">
        <v>2830</v>
      </c>
      <c r="P554" t="s">
        <v>2027</v>
      </c>
      <c r="Q554" t="s">
        <v>2930</v>
      </c>
      <c r="S554">
        <v>6</v>
      </c>
      <c r="T554" t="s">
        <v>2943</v>
      </c>
      <c r="U554">
        <v>1705</v>
      </c>
      <c r="V554">
        <v>1773.5</v>
      </c>
      <c r="W554">
        <v>0.96140000000000003</v>
      </c>
      <c r="X554" t="s">
        <v>70</v>
      </c>
      <c r="Y554" t="s">
        <v>2932</v>
      </c>
      <c r="Z554">
        <v>3265.21</v>
      </c>
      <c r="AA554">
        <v>438.09</v>
      </c>
      <c r="AB554">
        <v>1430450</v>
      </c>
      <c r="AC554" t="b">
        <v>1</v>
      </c>
      <c r="AD554" t="b">
        <v>1</v>
      </c>
      <c r="AE554" t="b">
        <v>0</v>
      </c>
      <c r="AF554" t="b">
        <v>0</v>
      </c>
      <c r="AG554" t="s">
        <v>58</v>
      </c>
      <c r="AH554">
        <v>14</v>
      </c>
      <c r="AI554" t="s">
        <v>59</v>
      </c>
      <c r="AJ554" t="s">
        <v>71</v>
      </c>
      <c r="AL554" t="s">
        <v>244</v>
      </c>
      <c r="AM554" t="s">
        <v>245</v>
      </c>
      <c r="AN554" t="s">
        <v>63</v>
      </c>
      <c r="AO554" t="s">
        <v>2933</v>
      </c>
      <c r="AP554" t="s">
        <v>2940</v>
      </c>
    </row>
    <row r="555" spans="1:42" x14ac:dyDescent="0.45">
      <c r="A555" t="s">
        <v>2812</v>
      </c>
      <c r="B555" t="s">
        <v>2813</v>
      </c>
      <c r="C555" t="s">
        <v>2925</v>
      </c>
      <c r="D555">
        <v>2017</v>
      </c>
      <c r="E555" t="s">
        <v>45</v>
      </c>
      <c r="F555" t="s">
        <v>2020</v>
      </c>
      <c r="G555">
        <v>8</v>
      </c>
      <c r="J555" t="s">
        <v>2944</v>
      </c>
      <c r="K555" t="s">
        <v>2945</v>
      </c>
      <c r="L555" t="s">
        <v>2946</v>
      </c>
      <c r="M555" t="s">
        <v>2947</v>
      </c>
      <c r="N555" t="s">
        <v>2829</v>
      </c>
      <c r="O555" t="s">
        <v>2830</v>
      </c>
      <c r="P555" t="s">
        <v>2027</v>
      </c>
      <c r="Q555" t="s">
        <v>2930</v>
      </c>
      <c r="S555">
        <v>7</v>
      </c>
      <c r="T555" t="s">
        <v>2948</v>
      </c>
      <c r="U555">
        <v>1855</v>
      </c>
      <c r="V555">
        <v>1773.5</v>
      </c>
      <c r="W555">
        <v>1.046</v>
      </c>
      <c r="X555" t="s">
        <v>70</v>
      </c>
      <c r="Y555" t="s">
        <v>2932</v>
      </c>
      <c r="Z555">
        <v>3258.15</v>
      </c>
      <c r="AA555">
        <v>432.2</v>
      </c>
      <c r="AB555">
        <v>1408175</v>
      </c>
      <c r="AC555" t="b">
        <v>1</v>
      </c>
      <c r="AD555" t="b">
        <v>1</v>
      </c>
      <c r="AE555" t="b">
        <v>0</v>
      </c>
      <c r="AF555" t="b">
        <v>0</v>
      </c>
      <c r="AG555" t="s">
        <v>58</v>
      </c>
      <c r="AH555">
        <v>14</v>
      </c>
      <c r="AI555" t="s">
        <v>59</v>
      </c>
      <c r="AJ555" t="s">
        <v>71</v>
      </c>
      <c r="AL555" t="s">
        <v>244</v>
      </c>
      <c r="AM555" t="s">
        <v>245</v>
      </c>
      <c r="AN555" t="s">
        <v>63</v>
      </c>
      <c r="AO555" t="s">
        <v>2933</v>
      </c>
      <c r="AP555" t="s">
        <v>2945</v>
      </c>
    </row>
    <row r="556" spans="1:42" x14ac:dyDescent="0.45">
      <c r="A556" t="s">
        <v>2812</v>
      </c>
      <c r="B556" t="s">
        <v>2813</v>
      </c>
      <c r="C556" t="s">
        <v>2925</v>
      </c>
      <c r="D556">
        <v>2017</v>
      </c>
      <c r="E556" t="s">
        <v>45</v>
      </c>
      <c r="F556" t="s">
        <v>2020</v>
      </c>
      <c r="G556">
        <v>2</v>
      </c>
      <c r="J556" t="s">
        <v>2949</v>
      </c>
      <c r="K556" t="s">
        <v>2950</v>
      </c>
      <c r="L556" t="s">
        <v>2951</v>
      </c>
      <c r="M556" t="s">
        <v>2952</v>
      </c>
      <c r="N556" t="s">
        <v>2829</v>
      </c>
      <c r="O556" t="s">
        <v>2830</v>
      </c>
      <c r="P556" t="s">
        <v>2027</v>
      </c>
      <c r="Q556" t="s">
        <v>2930</v>
      </c>
      <c r="S556">
        <v>1</v>
      </c>
      <c r="T556" t="s">
        <v>2953</v>
      </c>
      <c r="U556">
        <v>1719</v>
      </c>
      <c r="V556">
        <v>1773.5</v>
      </c>
      <c r="W556">
        <v>0.96930000000000005</v>
      </c>
      <c r="X556" t="s">
        <v>70</v>
      </c>
      <c r="Y556" t="s">
        <v>2932</v>
      </c>
      <c r="Z556">
        <v>3300.85</v>
      </c>
      <c r="AA556">
        <v>998.19</v>
      </c>
      <c r="AB556">
        <v>3294887</v>
      </c>
      <c r="AC556" t="b">
        <v>1</v>
      </c>
      <c r="AD556" t="b">
        <v>1</v>
      </c>
      <c r="AE556" t="b">
        <v>0</v>
      </c>
      <c r="AF556" t="b">
        <v>0</v>
      </c>
      <c r="AG556" t="s">
        <v>58</v>
      </c>
      <c r="AH556">
        <v>14</v>
      </c>
      <c r="AI556" t="s">
        <v>59</v>
      </c>
      <c r="AJ556" t="s">
        <v>71</v>
      </c>
      <c r="AL556" t="s">
        <v>244</v>
      </c>
      <c r="AM556" t="s">
        <v>245</v>
      </c>
      <c r="AN556" t="s">
        <v>63</v>
      </c>
      <c r="AO556" t="s">
        <v>2933</v>
      </c>
      <c r="AP556" t="s">
        <v>2950</v>
      </c>
    </row>
    <row r="557" spans="1:42" x14ac:dyDescent="0.45">
      <c r="A557" t="s">
        <v>2812</v>
      </c>
      <c r="B557" t="s">
        <v>2813</v>
      </c>
      <c r="C557" t="s">
        <v>2925</v>
      </c>
      <c r="D557">
        <v>2017</v>
      </c>
      <c r="E557" t="s">
        <v>45</v>
      </c>
      <c r="F557" t="s">
        <v>2020</v>
      </c>
      <c r="G557">
        <v>3</v>
      </c>
      <c r="J557" t="s">
        <v>2954</v>
      </c>
      <c r="K557" t="s">
        <v>2955</v>
      </c>
      <c r="L557" t="s">
        <v>2956</v>
      </c>
      <c r="M557" t="s">
        <v>2957</v>
      </c>
      <c r="N557" t="s">
        <v>2829</v>
      </c>
      <c r="O557" t="s">
        <v>2830</v>
      </c>
      <c r="P557" t="s">
        <v>2027</v>
      </c>
      <c r="Q557" t="s">
        <v>2930</v>
      </c>
      <c r="S557">
        <v>2</v>
      </c>
      <c r="T557" t="s">
        <v>2958</v>
      </c>
      <c r="U557">
        <v>1721</v>
      </c>
      <c r="V557">
        <v>1773.5</v>
      </c>
      <c r="W557">
        <v>0.97040000000000004</v>
      </c>
      <c r="X557" t="s">
        <v>70</v>
      </c>
      <c r="Y557" t="s">
        <v>2932</v>
      </c>
      <c r="Z557">
        <v>3293.7</v>
      </c>
      <c r="AA557">
        <v>678.38</v>
      </c>
      <c r="AB557">
        <v>2234381</v>
      </c>
      <c r="AC557" t="b">
        <v>1</v>
      </c>
      <c r="AD557" t="b">
        <v>1</v>
      </c>
      <c r="AE557" t="b">
        <v>0</v>
      </c>
      <c r="AF557" t="b">
        <v>0</v>
      </c>
      <c r="AG557" t="s">
        <v>58</v>
      </c>
      <c r="AH557">
        <v>14</v>
      </c>
      <c r="AI557" t="s">
        <v>59</v>
      </c>
      <c r="AJ557" t="s">
        <v>71</v>
      </c>
      <c r="AL557" t="s">
        <v>244</v>
      </c>
      <c r="AM557" t="s">
        <v>245</v>
      </c>
      <c r="AN557" t="s">
        <v>63</v>
      </c>
      <c r="AO557" t="s">
        <v>2933</v>
      </c>
      <c r="AP557" t="s">
        <v>2955</v>
      </c>
    </row>
    <row r="558" spans="1:42" x14ac:dyDescent="0.45">
      <c r="A558" t="s">
        <v>2812</v>
      </c>
      <c r="B558" t="s">
        <v>2813</v>
      </c>
      <c r="C558" t="s">
        <v>2925</v>
      </c>
      <c r="D558">
        <v>2017</v>
      </c>
      <c r="E558" t="s">
        <v>45</v>
      </c>
      <c r="F558" t="s">
        <v>2020</v>
      </c>
      <c r="G558">
        <v>5</v>
      </c>
      <c r="J558" t="s">
        <v>2959</v>
      </c>
      <c r="K558" t="s">
        <v>2960</v>
      </c>
      <c r="L558" t="s">
        <v>2961</v>
      </c>
      <c r="M558" t="s">
        <v>2962</v>
      </c>
      <c r="N558" t="s">
        <v>2829</v>
      </c>
      <c r="O558" t="s">
        <v>2830</v>
      </c>
      <c r="P558" t="s">
        <v>2027</v>
      </c>
      <c r="Q558" t="s">
        <v>2930</v>
      </c>
      <c r="S558">
        <v>4</v>
      </c>
      <c r="T558" t="s">
        <v>2963</v>
      </c>
      <c r="U558">
        <v>1809</v>
      </c>
      <c r="V558">
        <v>1773.5</v>
      </c>
      <c r="W558">
        <v>1.02</v>
      </c>
      <c r="X558" t="s">
        <v>70</v>
      </c>
      <c r="Y558" t="s">
        <v>2932</v>
      </c>
      <c r="Z558">
        <v>3278.91</v>
      </c>
      <c r="AA558">
        <v>625.11</v>
      </c>
      <c r="AB558">
        <v>2049683</v>
      </c>
      <c r="AC558" t="b">
        <v>1</v>
      </c>
      <c r="AD558" t="b">
        <v>1</v>
      </c>
      <c r="AE558" t="b">
        <v>0</v>
      </c>
      <c r="AF558" t="b">
        <v>0</v>
      </c>
      <c r="AG558" t="s">
        <v>58</v>
      </c>
      <c r="AH558">
        <v>14</v>
      </c>
      <c r="AI558" t="s">
        <v>59</v>
      </c>
      <c r="AJ558" t="s">
        <v>71</v>
      </c>
      <c r="AL558" t="s">
        <v>244</v>
      </c>
      <c r="AM558" t="s">
        <v>245</v>
      </c>
      <c r="AN558" t="s">
        <v>63</v>
      </c>
      <c r="AO558" t="s">
        <v>2933</v>
      </c>
      <c r="AP558" t="s">
        <v>2960</v>
      </c>
    </row>
    <row r="559" spans="1:42" x14ac:dyDescent="0.45">
      <c r="A559" t="s">
        <v>2812</v>
      </c>
      <c r="B559" t="s">
        <v>2813</v>
      </c>
      <c r="C559" t="s">
        <v>2925</v>
      </c>
      <c r="D559">
        <v>2017</v>
      </c>
      <c r="E559" t="s">
        <v>45</v>
      </c>
      <c r="F559" t="s">
        <v>2020</v>
      </c>
      <c r="G559">
        <v>4</v>
      </c>
      <c r="J559" t="s">
        <v>2964</v>
      </c>
      <c r="K559" t="s">
        <v>2965</v>
      </c>
      <c r="L559" t="s">
        <v>2966</v>
      </c>
      <c r="M559" t="s">
        <v>2967</v>
      </c>
      <c r="N559" t="s">
        <v>2829</v>
      </c>
      <c r="O559" t="s">
        <v>2830</v>
      </c>
      <c r="P559" t="s">
        <v>2027</v>
      </c>
      <c r="Q559" t="s">
        <v>2930</v>
      </c>
      <c r="S559">
        <v>3</v>
      </c>
      <c r="T559" t="s">
        <v>2968</v>
      </c>
      <c r="U559">
        <v>1822</v>
      </c>
      <c r="V559">
        <v>1773.5</v>
      </c>
      <c r="W559">
        <v>1.0273000000000001</v>
      </c>
      <c r="X559" t="s">
        <v>70</v>
      </c>
      <c r="Y559" t="s">
        <v>2932</v>
      </c>
      <c r="Z559">
        <v>3286.09</v>
      </c>
      <c r="AA559">
        <v>655.41</v>
      </c>
      <c r="AB559">
        <v>2153755</v>
      </c>
      <c r="AC559" t="b">
        <v>1</v>
      </c>
      <c r="AD559" t="b">
        <v>1</v>
      </c>
      <c r="AE559" t="b">
        <v>0</v>
      </c>
      <c r="AF559" t="b">
        <v>0</v>
      </c>
      <c r="AG559" t="s">
        <v>58</v>
      </c>
      <c r="AH559">
        <v>14</v>
      </c>
      <c r="AI559" t="s">
        <v>59</v>
      </c>
      <c r="AJ559" t="s">
        <v>71</v>
      </c>
      <c r="AL559" t="s">
        <v>244</v>
      </c>
      <c r="AM559" t="s">
        <v>245</v>
      </c>
      <c r="AN559" t="s">
        <v>63</v>
      </c>
      <c r="AO559" t="s">
        <v>2933</v>
      </c>
      <c r="AP559" t="s">
        <v>2965</v>
      </c>
    </row>
    <row r="560" spans="1:42" x14ac:dyDescent="0.45">
      <c r="A560" t="s">
        <v>2812</v>
      </c>
      <c r="B560" t="s">
        <v>2813</v>
      </c>
      <c r="C560" t="s">
        <v>2969</v>
      </c>
      <c r="D560">
        <v>2017</v>
      </c>
      <c r="E560" t="s">
        <v>45</v>
      </c>
      <c r="F560" t="s">
        <v>2020</v>
      </c>
      <c r="G560">
        <v>8</v>
      </c>
      <c r="J560" t="s">
        <v>2970</v>
      </c>
      <c r="K560" t="s">
        <v>2971</v>
      </c>
      <c r="L560" t="s">
        <v>2972</v>
      </c>
      <c r="M560" t="s">
        <v>2973</v>
      </c>
      <c r="N560" t="s">
        <v>2829</v>
      </c>
      <c r="O560" t="s">
        <v>2830</v>
      </c>
      <c r="P560" t="s">
        <v>2027</v>
      </c>
      <c r="Q560" t="s">
        <v>2974</v>
      </c>
      <c r="S560">
        <v>7</v>
      </c>
      <c r="T560" t="s">
        <v>2975</v>
      </c>
      <c r="U560">
        <v>1773</v>
      </c>
      <c r="V560">
        <v>1739.5</v>
      </c>
      <c r="W560">
        <v>1.0193000000000001</v>
      </c>
      <c r="X560" t="s">
        <v>70</v>
      </c>
      <c r="Y560" t="s">
        <v>2976</v>
      </c>
      <c r="Z560">
        <v>3202.09</v>
      </c>
      <c r="AA560">
        <v>926.28</v>
      </c>
      <c r="AB560">
        <v>2966038</v>
      </c>
      <c r="AC560" t="b">
        <v>1</v>
      </c>
      <c r="AD560" t="b">
        <v>1</v>
      </c>
      <c r="AE560" t="b">
        <v>0</v>
      </c>
      <c r="AF560" t="b">
        <v>0</v>
      </c>
      <c r="AG560" t="s">
        <v>58</v>
      </c>
      <c r="AH560">
        <v>14</v>
      </c>
      <c r="AI560" t="s">
        <v>59</v>
      </c>
      <c r="AJ560" t="s">
        <v>71</v>
      </c>
      <c r="AL560" t="s">
        <v>244</v>
      </c>
      <c r="AM560" t="s">
        <v>245</v>
      </c>
      <c r="AN560" t="s">
        <v>63</v>
      </c>
      <c r="AO560" t="s">
        <v>2977</v>
      </c>
      <c r="AP560" t="s">
        <v>2971</v>
      </c>
    </row>
    <row r="561" spans="1:42" x14ac:dyDescent="0.45">
      <c r="A561" t="s">
        <v>2812</v>
      </c>
      <c r="B561" t="s">
        <v>2813</v>
      </c>
      <c r="C561" t="s">
        <v>2969</v>
      </c>
      <c r="D561">
        <v>2017</v>
      </c>
      <c r="E561" t="s">
        <v>45</v>
      </c>
      <c r="F561" t="s">
        <v>2020</v>
      </c>
      <c r="G561">
        <v>1</v>
      </c>
      <c r="J561" t="s">
        <v>2978</v>
      </c>
      <c r="K561" t="s">
        <v>2979</v>
      </c>
      <c r="L561" t="s">
        <v>2980</v>
      </c>
      <c r="M561" t="s">
        <v>2981</v>
      </c>
      <c r="N561" t="s">
        <v>2829</v>
      </c>
      <c r="O561" t="s">
        <v>2830</v>
      </c>
      <c r="P561" t="s">
        <v>2027</v>
      </c>
      <c r="Q561" t="s">
        <v>2974</v>
      </c>
      <c r="S561">
        <v>0</v>
      </c>
      <c r="T561" t="s">
        <v>2982</v>
      </c>
      <c r="U561">
        <v>1588</v>
      </c>
      <c r="V561">
        <v>1739.5</v>
      </c>
      <c r="W561">
        <v>0.91290000000000004</v>
      </c>
      <c r="X561" t="s">
        <v>70</v>
      </c>
      <c r="Y561" t="s">
        <v>2976</v>
      </c>
      <c r="Z561">
        <v>3250.71</v>
      </c>
      <c r="AA561">
        <v>2286.12</v>
      </c>
      <c r="AB561">
        <v>7431498</v>
      </c>
      <c r="AC561" t="b">
        <v>1</v>
      </c>
      <c r="AD561" t="b">
        <v>1</v>
      </c>
      <c r="AE561" t="b">
        <v>0</v>
      </c>
      <c r="AF561" t="b">
        <v>0</v>
      </c>
      <c r="AG561" t="s">
        <v>58</v>
      </c>
      <c r="AH561">
        <v>14</v>
      </c>
      <c r="AI561" t="s">
        <v>59</v>
      </c>
      <c r="AJ561" t="s">
        <v>71</v>
      </c>
      <c r="AL561" t="s">
        <v>244</v>
      </c>
      <c r="AM561" t="s">
        <v>245</v>
      </c>
      <c r="AN561" t="s">
        <v>63</v>
      </c>
      <c r="AO561" t="s">
        <v>2977</v>
      </c>
      <c r="AP561" t="s">
        <v>2979</v>
      </c>
    </row>
    <row r="562" spans="1:42" x14ac:dyDescent="0.45">
      <c r="A562" t="s">
        <v>2812</v>
      </c>
      <c r="B562" t="s">
        <v>2813</v>
      </c>
      <c r="C562" t="s">
        <v>2969</v>
      </c>
      <c r="D562">
        <v>2017</v>
      </c>
      <c r="E562" t="s">
        <v>45</v>
      </c>
      <c r="F562" t="s">
        <v>2020</v>
      </c>
      <c r="G562">
        <v>7</v>
      </c>
      <c r="J562" t="e">
        <v>#NAME?</v>
      </c>
      <c r="K562" t="s">
        <v>2983</v>
      </c>
      <c r="L562" t="s">
        <v>2984</v>
      </c>
      <c r="M562" t="s">
        <v>2985</v>
      </c>
      <c r="N562" t="s">
        <v>2829</v>
      </c>
      <c r="O562" t="s">
        <v>2830</v>
      </c>
      <c r="P562" t="s">
        <v>2027</v>
      </c>
      <c r="Q562" t="s">
        <v>2974</v>
      </c>
      <c r="S562">
        <v>6</v>
      </c>
      <c r="T562" t="s">
        <v>2986</v>
      </c>
      <c r="U562">
        <v>1710</v>
      </c>
      <c r="V562">
        <v>1739.5</v>
      </c>
      <c r="W562">
        <v>0.98299999999999998</v>
      </c>
      <c r="X562" t="s">
        <v>70</v>
      </c>
      <c r="Y562" t="s">
        <v>2976</v>
      </c>
      <c r="Z562">
        <v>3209.09</v>
      </c>
      <c r="AA562">
        <v>626.98</v>
      </c>
      <c r="AB562">
        <v>2012036</v>
      </c>
      <c r="AC562" t="b">
        <v>1</v>
      </c>
      <c r="AD562" t="b">
        <v>1</v>
      </c>
      <c r="AE562" t="b">
        <v>0</v>
      </c>
      <c r="AF562" t="b">
        <v>0</v>
      </c>
      <c r="AG562" t="s">
        <v>58</v>
      </c>
      <c r="AH562">
        <v>14</v>
      </c>
      <c r="AI562" t="s">
        <v>59</v>
      </c>
      <c r="AJ562" t="s">
        <v>71</v>
      </c>
      <c r="AL562" t="s">
        <v>244</v>
      </c>
      <c r="AM562" t="s">
        <v>245</v>
      </c>
      <c r="AN562" t="s">
        <v>63</v>
      </c>
      <c r="AO562" t="s">
        <v>2977</v>
      </c>
      <c r="AP562" t="s">
        <v>2983</v>
      </c>
    </row>
    <row r="563" spans="1:42" x14ac:dyDescent="0.45">
      <c r="A563" t="s">
        <v>2812</v>
      </c>
      <c r="B563" t="s">
        <v>2813</v>
      </c>
      <c r="C563" t="s">
        <v>2969</v>
      </c>
      <c r="D563">
        <v>2017</v>
      </c>
      <c r="E563" t="s">
        <v>45</v>
      </c>
      <c r="F563" t="s">
        <v>2020</v>
      </c>
      <c r="G563">
        <v>6</v>
      </c>
      <c r="J563" t="s">
        <v>2987</v>
      </c>
      <c r="K563" t="s">
        <v>2988</v>
      </c>
      <c r="L563" t="s">
        <v>2989</v>
      </c>
      <c r="M563" t="s">
        <v>2990</v>
      </c>
      <c r="N563" t="s">
        <v>2829</v>
      </c>
      <c r="O563" t="s">
        <v>2830</v>
      </c>
      <c r="P563" t="s">
        <v>2027</v>
      </c>
      <c r="Q563" t="s">
        <v>2974</v>
      </c>
      <c r="S563">
        <v>5</v>
      </c>
      <c r="T563" t="s">
        <v>2991</v>
      </c>
      <c r="U563">
        <v>1746</v>
      </c>
      <c r="V563">
        <v>1739.5</v>
      </c>
      <c r="W563">
        <v>1.0037</v>
      </c>
      <c r="X563" t="s">
        <v>70</v>
      </c>
      <c r="Y563" t="s">
        <v>2976</v>
      </c>
      <c r="Z563">
        <v>3216.09</v>
      </c>
      <c r="AA563">
        <v>639.23</v>
      </c>
      <c r="AB563">
        <v>2055810</v>
      </c>
      <c r="AC563" t="b">
        <v>1</v>
      </c>
      <c r="AD563" t="b">
        <v>1</v>
      </c>
      <c r="AE563" t="b">
        <v>0</v>
      </c>
      <c r="AF563" t="b">
        <v>0</v>
      </c>
      <c r="AG563" t="s">
        <v>58</v>
      </c>
      <c r="AH563">
        <v>14</v>
      </c>
      <c r="AI563" t="s">
        <v>59</v>
      </c>
      <c r="AJ563" t="s">
        <v>71</v>
      </c>
      <c r="AL563" t="s">
        <v>244</v>
      </c>
      <c r="AM563" t="s">
        <v>245</v>
      </c>
      <c r="AN563" t="s">
        <v>63</v>
      </c>
      <c r="AO563" t="s">
        <v>2977</v>
      </c>
      <c r="AP563" t="s">
        <v>2988</v>
      </c>
    </row>
    <row r="564" spans="1:42" x14ac:dyDescent="0.45">
      <c r="A564" t="s">
        <v>2812</v>
      </c>
      <c r="B564" t="s">
        <v>2813</v>
      </c>
      <c r="C564" t="s">
        <v>2969</v>
      </c>
      <c r="D564">
        <v>2017</v>
      </c>
      <c r="E564" t="s">
        <v>45</v>
      </c>
      <c r="F564" t="s">
        <v>2020</v>
      </c>
      <c r="G564">
        <v>4</v>
      </c>
      <c r="J564" t="s">
        <v>2992</v>
      </c>
      <c r="K564" t="s">
        <v>2993</v>
      </c>
      <c r="L564" t="s">
        <v>2994</v>
      </c>
      <c r="M564" t="s">
        <v>2995</v>
      </c>
      <c r="N564" t="s">
        <v>2829</v>
      </c>
      <c r="O564" t="s">
        <v>2830</v>
      </c>
      <c r="P564" t="s">
        <v>2027</v>
      </c>
      <c r="Q564" t="s">
        <v>2974</v>
      </c>
      <c r="S564">
        <v>3</v>
      </c>
      <c r="T564" t="s">
        <v>2996</v>
      </c>
      <c r="U564">
        <v>1762</v>
      </c>
      <c r="V564">
        <v>1739.5</v>
      </c>
      <c r="W564">
        <v>1.0128999999999999</v>
      </c>
      <c r="X564" t="s">
        <v>70</v>
      </c>
      <c r="Y564" t="s">
        <v>2976</v>
      </c>
      <c r="Z564">
        <v>3230.05</v>
      </c>
      <c r="AA564">
        <v>1092.2</v>
      </c>
      <c r="AB564">
        <v>3527856</v>
      </c>
      <c r="AC564" t="b">
        <v>1</v>
      </c>
      <c r="AD564" t="b">
        <v>1</v>
      </c>
      <c r="AE564" t="b">
        <v>0</v>
      </c>
      <c r="AF564" t="b">
        <v>0</v>
      </c>
      <c r="AG564" t="s">
        <v>58</v>
      </c>
      <c r="AH564">
        <v>14</v>
      </c>
      <c r="AI564" t="s">
        <v>59</v>
      </c>
      <c r="AJ564" t="s">
        <v>71</v>
      </c>
      <c r="AL564" t="s">
        <v>244</v>
      </c>
      <c r="AM564" t="s">
        <v>245</v>
      </c>
      <c r="AN564" t="s">
        <v>63</v>
      </c>
      <c r="AO564" t="s">
        <v>2977</v>
      </c>
      <c r="AP564" t="s">
        <v>2993</v>
      </c>
    </row>
    <row r="565" spans="1:42" x14ac:dyDescent="0.45">
      <c r="A565" t="s">
        <v>2812</v>
      </c>
      <c r="B565" t="s">
        <v>2813</v>
      </c>
      <c r="C565" t="s">
        <v>2969</v>
      </c>
      <c r="D565">
        <v>2017</v>
      </c>
      <c r="E565" t="s">
        <v>45</v>
      </c>
      <c r="F565" t="s">
        <v>2020</v>
      </c>
      <c r="G565">
        <v>3</v>
      </c>
      <c r="J565" t="s">
        <v>2997</v>
      </c>
      <c r="K565" t="s">
        <v>2998</v>
      </c>
      <c r="L565" t="s">
        <v>2999</v>
      </c>
      <c r="M565" t="s">
        <v>3000</v>
      </c>
      <c r="N565" t="s">
        <v>2829</v>
      </c>
      <c r="O565" t="s">
        <v>2830</v>
      </c>
      <c r="P565" t="s">
        <v>2027</v>
      </c>
      <c r="Q565" t="s">
        <v>2974</v>
      </c>
      <c r="S565">
        <v>2</v>
      </c>
      <c r="T565" t="s">
        <v>3001</v>
      </c>
      <c r="U565">
        <v>1740</v>
      </c>
      <c r="V565">
        <v>1739.5</v>
      </c>
      <c r="W565">
        <v>1.0003</v>
      </c>
      <c r="X565" t="s">
        <v>70</v>
      </c>
      <c r="Y565" t="s">
        <v>2976</v>
      </c>
      <c r="Z565">
        <v>3237.09</v>
      </c>
      <c r="AA565">
        <v>1172.68</v>
      </c>
      <c r="AB565">
        <v>3796086</v>
      </c>
      <c r="AC565" t="b">
        <v>1</v>
      </c>
      <c r="AD565" t="b">
        <v>1</v>
      </c>
      <c r="AE565" t="b">
        <v>0</v>
      </c>
      <c r="AF565" t="b">
        <v>0</v>
      </c>
      <c r="AG565" t="s">
        <v>58</v>
      </c>
      <c r="AH565">
        <v>14</v>
      </c>
      <c r="AI565" t="s">
        <v>59</v>
      </c>
      <c r="AJ565" t="s">
        <v>71</v>
      </c>
      <c r="AL565" t="s">
        <v>244</v>
      </c>
      <c r="AM565" t="s">
        <v>245</v>
      </c>
      <c r="AN565" t="s">
        <v>63</v>
      </c>
      <c r="AO565" t="s">
        <v>2977</v>
      </c>
      <c r="AP565" t="s">
        <v>2998</v>
      </c>
    </row>
    <row r="566" spans="1:42" x14ac:dyDescent="0.45">
      <c r="A566" t="s">
        <v>2812</v>
      </c>
      <c r="B566" t="s">
        <v>2813</v>
      </c>
      <c r="C566" t="s">
        <v>2969</v>
      </c>
      <c r="D566">
        <v>2017</v>
      </c>
      <c r="E566" t="s">
        <v>45</v>
      </c>
      <c r="F566" t="s">
        <v>2020</v>
      </c>
      <c r="G566">
        <v>2</v>
      </c>
      <c r="J566" t="s">
        <v>3002</v>
      </c>
      <c r="K566" t="s">
        <v>3003</v>
      </c>
      <c r="L566" t="s">
        <v>3004</v>
      </c>
      <c r="M566" t="s">
        <v>3005</v>
      </c>
      <c r="N566" t="s">
        <v>2829</v>
      </c>
      <c r="O566" t="s">
        <v>2830</v>
      </c>
      <c r="P566" t="s">
        <v>2027</v>
      </c>
      <c r="Q566" t="s">
        <v>2974</v>
      </c>
      <c r="S566">
        <v>1</v>
      </c>
      <c r="T566" t="s">
        <v>3006</v>
      </c>
      <c r="U566">
        <v>1739</v>
      </c>
      <c r="V566">
        <v>1739.5</v>
      </c>
      <c r="W566">
        <v>0.99970000000000003</v>
      </c>
      <c r="X566" t="s">
        <v>70</v>
      </c>
      <c r="Y566" t="s">
        <v>2976</v>
      </c>
      <c r="Z566">
        <v>3244.09</v>
      </c>
      <c r="AA566">
        <v>1332.53</v>
      </c>
      <c r="AB566">
        <v>4322849</v>
      </c>
      <c r="AC566" t="b">
        <v>1</v>
      </c>
      <c r="AD566" t="b">
        <v>1</v>
      </c>
      <c r="AE566" t="b">
        <v>0</v>
      </c>
      <c r="AF566" t="b">
        <v>0</v>
      </c>
      <c r="AG566" t="s">
        <v>58</v>
      </c>
      <c r="AH566">
        <v>14</v>
      </c>
      <c r="AI566" t="s">
        <v>59</v>
      </c>
      <c r="AJ566" t="s">
        <v>71</v>
      </c>
      <c r="AL566" t="s">
        <v>244</v>
      </c>
      <c r="AM566" t="s">
        <v>245</v>
      </c>
      <c r="AN566" t="s">
        <v>63</v>
      </c>
      <c r="AO566" t="s">
        <v>2977</v>
      </c>
      <c r="AP566" t="s">
        <v>3003</v>
      </c>
    </row>
    <row r="567" spans="1:42" x14ac:dyDescent="0.45">
      <c r="A567" t="s">
        <v>2812</v>
      </c>
      <c r="B567" t="s">
        <v>2813</v>
      </c>
      <c r="C567" t="s">
        <v>2969</v>
      </c>
      <c r="D567">
        <v>2017</v>
      </c>
      <c r="E567" t="s">
        <v>45</v>
      </c>
      <c r="F567" t="s">
        <v>2020</v>
      </c>
      <c r="G567">
        <v>5</v>
      </c>
      <c r="J567" t="s">
        <v>3007</v>
      </c>
      <c r="K567" t="s">
        <v>3008</v>
      </c>
      <c r="L567" t="s">
        <v>3009</v>
      </c>
      <c r="M567" t="s">
        <v>3010</v>
      </c>
      <c r="N567" t="s">
        <v>2829</v>
      </c>
      <c r="O567" t="s">
        <v>2830</v>
      </c>
      <c r="P567" t="s">
        <v>2027</v>
      </c>
      <c r="Q567" t="s">
        <v>2974</v>
      </c>
      <c r="S567">
        <v>4</v>
      </c>
      <c r="T567" t="s">
        <v>3011</v>
      </c>
      <c r="U567">
        <v>1704</v>
      </c>
      <c r="V567">
        <v>1739.5</v>
      </c>
      <c r="W567">
        <v>0.97960000000000003</v>
      </c>
      <c r="X567" t="s">
        <v>70</v>
      </c>
      <c r="Y567" t="s">
        <v>2976</v>
      </c>
      <c r="Z567">
        <v>3223.09</v>
      </c>
      <c r="AA567">
        <v>746.82</v>
      </c>
      <c r="AB567">
        <v>2407072</v>
      </c>
      <c r="AC567" t="b">
        <v>1</v>
      </c>
      <c r="AD567" t="b">
        <v>1</v>
      </c>
      <c r="AE567" t="b">
        <v>0</v>
      </c>
      <c r="AF567" t="b">
        <v>0</v>
      </c>
      <c r="AG567" t="s">
        <v>58</v>
      </c>
      <c r="AH567">
        <v>14</v>
      </c>
      <c r="AI567" t="s">
        <v>59</v>
      </c>
      <c r="AJ567" t="s">
        <v>71</v>
      </c>
      <c r="AL567" t="s">
        <v>244</v>
      </c>
      <c r="AM567" t="s">
        <v>245</v>
      </c>
      <c r="AN567" t="s">
        <v>63</v>
      </c>
      <c r="AO567" t="s">
        <v>2977</v>
      </c>
      <c r="AP567" t="s">
        <v>3008</v>
      </c>
    </row>
    <row r="568" spans="1:42" x14ac:dyDescent="0.45">
      <c r="A568" t="s">
        <v>2812</v>
      </c>
      <c r="B568" t="s">
        <v>2813</v>
      </c>
      <c r="C568" t="s">
        <v>3012</v>
      </c>
      <c r="D568">
        <v>2018</v>
      </c>
      <c r="E568" t="s">
        <v>45</v>
      </c>
      <c r="F568" t="s">
        <v>2020</v>
      </c>
      <c r="G568">
        <v>1</v>
      </c>
      <c r="J568" t="s">
        <v>2832</v>
      </c>
      <c r="K568" t="s">
        <v>3013</v>
      </c>
      <c r="L568" t="s">
        <v>2834</v>
      </c>
      <c r="M568" t="s">
        <v>2835</v>
      </c>
      <c r="N568" t="s">
        <v>2836</v>
      </c>
      <c r="O568" t="s">
        <v>2837</v>
      </c>
      <c r="P568" t="s">
        <v>2027</v>
      </c>
      <c r="Q568" t="s">
        <v>3014</v>
      </c>
      <c r="S568">
        <v>2</v>
      </c>
      <c r="T568" t="s">
        <v>2838</v>
      </c>
      <c r="U568">
        <v>3148</v>
      </c>
      <c r="V568">
        <v>1806</v>
      </c>
      <c r="W568">
        <v>1.7431000000000001</v>
      </c>
      <c r="X568" t="s">
        <v>242</v>
      </c>
      <c r="Y568" t="s">
        <v>3015</v>
      </c>
      <c r="Z568">
        <v>1566.7</v>
      </c>
      <c r="AA568">
        <v>1905.67</v>
      </c>
      <c r="AB568">
        <v>2985602</v>
      </c>
      <c r="AC568" t="b">
        <v>0</v>
      </c>
      <c r="AD568" t="b">
        <v>0</v>
      </c>
      <c r="AE568" t="b">
        <v>0</v>
      </c>
      <c r="AF568" t="b">
        <v>0</v>
      </c>
      <c r="AG568" t="s">
        <v>58</v>
      </c>
      <c r="AH568">
        <v>10</v>
      </c>
      <c r="AI568" t="s">
        <v>59</v>
      </c>
      <c r="AJ568" t="s">
        <v>60</v>
      </c>
      <c r="AL568" t="s">
        <v>281</v>
      </c>
      <c r="AM568" t="s">
        <v>245</v>
      </c>
      <c r="AN568" t="s">
        <v>63</v>
      </c>
      <c r="AO568" t="s">
        <v>3016</v>
      </c>
      <c r="AP568" t="s">
        <v>3013</v>
      </c>
    </row>
    <row r="569" spans="1:42" x14ac:dyDescent="0.45">
      <c r="A569" t="s">
        <v>2812</v>
      </c>
      <c r="B569" t="s">
        <v>2813</v>
      </c>
      <c r="C569" t="s">
        <v>3012</v>
      </c>
      <c r="D569">
        <v>2018</v>
      </c>
      <c r="E569" t="s">
        <v>45</v>
      </c>
      <c r="F569" t="s">
        <v>2020</v>
      </c>
      <c r="G569">
        <v>8</v>
      </c>
      <c r="J569" t="s">
        <v>3017</v>
      </c>
      <c r="K569" t="s">
        <v>3018</v>
      </c>
      <c r="L569" t="s">
        <v>3019</v>
      </c>
      <c r="M569" t="s">
        <v>3020</v>
      </c>
      <c r="N569" t="s">
        <v>2829</v>
      </c>
      <c r="O569" t="s">
        <v>2830</v>
      </c>
      <c r="P569" t="s">
        <v>2027</v>
      </c>
      <c r="Q569" t="s">
        <v>3014</v>
      </c>
      <c r="S569">
        <v>9</v>
      </c>
      <c r="T569" t="s">
        <v>3021</v>
      </c>
      <c r="U569">
        <v>1837</v>
      </c>
      <c r="V569">
        <v>1806</v>
      </c>
      <c r="W569">
        <v>1.0172000000000001</v>
      </c>
      <c r="X569" t="s">
        <v>70</v>
      </c>
      <c r="Y569" t="s">
        <v>3015</v>
      </c>
      <c r="Z569">
        <v>2957.75</v>
      </c>
      <c r="AA569">
        <v>212.2</v>
      </c>
      <c r="AB569">
        <v>627633</v>
      </c>
      <c r="AC569" t="b">
        <v>1</v>
      </c>
      <c r="AD569" t="b">
        <v>1</v>
      </c>
      <c r="AE569" t="b">
        <v>0</v>
      </c>
      <c r="AF569" t="b">
        <v>0</v>
      </c>
      <c r="AG569" t="s">
        <v>58</v>
      </c>
      <c r="AH569">
        <v>14</v>
      </c>
      <c r="AI569" t="s">
        <v>59</v>
      </c>
      <c r="AJ569" t="s">
        <v>71</v>
      </c>
      <c r="AL569" t="s">
        <v>244</v>
      </c>
      <c r="AM569" t="s">
        <v>245</v>
      </c>
      <c r="AN569" t="s">
        <v>63</v>
      </c>
      <c r="AO569" t="s">
        <v>3016</v>
      </c>
      <c r="AP569" t="s">
        <v>3018</v>
      </c>
    </row>
    <row r="570" spans="1:42" x14ac:dyDescent="0.45">
      <c r="A570" t="s">
        <v>2812</v>
      </c>
      <c r="B570" t="s">
        <v>2813</v>
      </c>
      <c r="C570" t="s">
        <v>3012</v>
      </c>
      <c r="D570">
        <v>2018</v>
      </c>
      <c r="E570" t="s">
        <v>45</v>
      </c>
      <c r="F570" t="s">
        <v>2020</v>
      </c>
      <c r="G570">
        <v>5</v>
      </c>
      <c r="J570" t="s">
        <v>3022</v>
      </c>
      <c r="K570" t="s">
        <v>3023</v>
      </c>
      <c r="L570" t="s">
        <v>3024</v>
      </c>
      <c r="M570" t="s">
        <v>3025</v>
      </c>
      <c r="N570" t="s">
        <v>2829</v>
      </c>
      <c r="O570" t="s">
        <v>2830</v>
      </c>
      <c r="P570" t="s">
        <v>2027</v>
      </c>
      <c r="Q570" t="s">
        <v>3014</v>
      </c>
      <c r="S570">
        <v>6</v>
      </c>
      <c r="T570" t="s">
        <v>3026</v>
      </c>
      <c r="U570">
        <v>1736</v>
      </c>
      <c r="V570">
        <v>1806</v>
      </c>
      <c r="W570">
        <v>0.96120000000000005</v>
      </c>
      <c r="X570" t="s">
        <v>70</v>
      </c>
      <c r="Y570" t="s">
        <v>3015</v>
      </c>
      <c r="Z570">
        <v>2978.76</v>
      </c>
      <c r="AA570">
        <v>224.15</v>
      </c>
      <c r="AB570">
        <v>667703</v>
      </c>
      <c r="AC570" t="b">
        <v>1</v>
      </c>
      <c r="AD570" t="b">
        <v>1</v>
      </c>
      <c r="AE570" t="b">
        <v>0</v>
      </c>
      <c r="AF570" t="b">
        <v>0</v>
      </c>
      <c r="AG570" t="s">
        <v>58</v>
      </c>
      <c r="AH570">
        <v>14</v>
      </c>
      <c r="AI570" t="s">
        <v>59</v>
      </c>
      <c r="AJ570" t="s">
        <v>71</v>
      </c>
      <c r="AL570" t="s">
        <v>244</v>
      </c>
      <c r="AM570" t="s">
        <v>245</v>
      </c>
      <c r="AN570" t="s">
        <v>63</v>
      </c>
      <c r="AO570" t="s">
        <v>3016</v>
      </c>
      <c r="AP570" t="s">
        <v>3023</v>
      </c>
    </row>
    <row r="571" spans="1:42" x14ac:dyDescent="0.45">
      <c r="A571" t="s">
        <v>2812</v>
      </c>
      <c r="B571" t="s">
        <v>2813</v>
      </c>
      <c r="C571" t="s">
        <v>3012</v>
      </c>
      <c r="D571">
        <v>2018</v>
      </c>
      <c r="E571" t="s">
        <v>45</v>
      </c>
      <c r="F571" t="s">
        <v>2020</v>
      </c>
      <c r="G571">
        <v>1</v>
      </c>
      <c r="J571" t="s">
        <v>3027</v>
      </c>
      <c r="K571" t="s">
        <v>3028</v>
      </c>
      <c r="L571" t="s">
        <v>3029</v>
      </c>
      <c r="M571" t="s">
        <v>3030</v>
      </c>
      <c r="N571" t="s">
        <v>2829</v>
      </c>
      <c r="O571" t="s">
        <v>2830</v>
      </c>
      <c r="P571" t="s">
        <v>2027</v>
      </c>
      <c r="Q571" t="s">
        <v>3014</v>
      </c>
      <c r="S571">
        <v>0</v>
      </c>
      <c r="T571" t="s">
        <v>3031</v>
      </c>
      <c r="U571">
        <v>1831</v>
      </c>
      <c r="V571">
        <v>1806</v>
      </c>
      <c r="W571">
        <v>1.0138</v>
      </c>
      <c r="X571" t="s">
        <v>70</v>
      </c>
      <c r="Y571" t="s">
        <v>3015</v>
      </c>
      <c r="Z571">
        <v>3006.76</v>
      </c>
      <c r="AA571">
        <v>650.94000000000005</v>
      </c>
      <c r="AB571">
        <v>1957206</v>
      </c>
      <c r="AC571" t="b">
        <v>1</v>
      </c>
      <c r="AD571" t="b">
        <v>1</v>
      </c>
      <c r="AE571" t="b">
        <v>0</v>
      </c>
      <c r="AF571" t="b">
        <v>0</v>
      </c>
      <c r="AG571" t="s">
        <v>58</v>
      </c>
      <c r="AH571">
        <v>14</v>
      </c>
      <c r="AI571" t="s">
        <v>59</v>
      </c>
      <c r="AJ571" t="s">
        <v>71</v>
      </c>
      <c r="AL571" t="s">
        <v>244</v>
      </c>
      <c r="AM571" t="s">
        <v>245</v>
      </c>
      <c r="AN571" t="s">
        <v>63</v>
      </c>
      <c r="AO571" t="s">
        <v>3016</v>
      </c>
      <c r="AP571" t="s">
        <v>3028</v>
      </c>
    </row>
    <row r="572" spans="1:42" x14ac:dyDescent="0.45">
      <c r="A572" t="s">
        <v>2812</v>
      </c>
      <c r="B572" t="s">
        <v>2813</v>
      </c>
      <c r="C572" t="s">
        <v>3012</v>
      </c>
      <c r="D572">
        <v>2018</v>
      </c>
      <c r="E572" t="s">
        <v>45</v>
      </c>
      <c r="F572" t="s">
        <v>2020</v>
      </c>
      <c r="G572">
        <v>7</v>
      </c>
      <c r="J572" t="s">
        <v>3032</v>
      </c>
      <c r="K572" t="s">
        <v>3033</v>
      </c>
      <c r="L572" t="s">
        <v>3034</v>
      </c>
      <c r="M572" t="s">
        <v>3035</v>
      </c>
      <c r="N572" t="s">
        <v>2829</v>
      </c>
      <c r="O572" t="s">
        <v>2830</v>
      </c>
      <c r="P572" t="s">
        <v>2027</v>
      </c>
      <c r="Q572" t="s">
        <v>3014</v>
      </c>
      <c r="S572">
        <v>8</v>
      </c>
      <c r="T572" t="s">
        <v>3036</v>
      </c>
      <c r="U572">
        <v>1744</v>
      </c>
      <c r="V572">
        <v>1806</v>
      </c>
      <c r="W572">
        <v>0.9657</v>
      </c>
      <c r="X572" t="s">
        <v>70</v>
      </c>
      <c r="Y572" t="s">
        <v>3015</v>
      </c>
      <c r="Z572">
        <v>2964.76</v>
      </c>
      <c r="AA572">
        <v>228.23</v>
      </c>
      <c r="AB572">
        <v>676635</v>
      </c>
      <c r="AC572" t="b">
        <v>1</v>
      </c>
      <c r="AD572" t="b">
        <v>1</v>
      </c>
      <c r="AE572" t="b">
        <v>0</v>
      </c>
      <c r="AF572" t="b">
        <v>0</v>
      </c>
      <c r="AG572" t="s">
        <v>58</v>
      </c>
      <c r="AH572">
        <v>14</v>
      </c>
      <c r="AI572" t="s">
        <v>59</v>
      </c>
      <c r="AJ572" t="s">
        <v>71</v>
      </c>
      <c r="AL572" t="s">
        <v>244</v>
      </c>
      <c r="AM572" t="s">
        <v>245</v>
      </c>
      <c r="AN572" t="s">
        <v>63</v>
      </c>
      <c r="AO572" t="s">
        <v>3016</v>
      </c>
      <c r="AP572" t="s">
        <v>3033</v>
      </c>
    </row>
    <row r="573" spans="1:42" x14ac:dyDescent="0.45">
      <c r="A573" t="s">
        <v>2812</v>
      </c>
      <c r="B573" t="s">
        <v>2813</v>
      </c>
      <c r="C573" t="s">
        <v>3012</v>
      </c>
      <c r="D573">
        <v>2018</v>
      </c>
      <c r="E573" t="s">
        <v>45</v>
      </c>
      <c r="F573" t="s">
        <v>2020</v>
      </c>
      <c r="G573">
        <v>6</v>
      </c>
      <c r="J573" t="s">
        <v>3037</v>
      </c>
      <c r="K573" t="s">
        <v>3038</v>
      </c>
      <c r="L573" t="s">
        <v>3039</v>
      </c>
      <c r="M573" t="s">
        <v>3040</v>
      </c>
      <c r="N573" t="s">
        <v>2829</v>
      </c>
      <c r="O573" t="s">
        <v>2830</v>
      </c>
      <c r="P573" t="s">
        <v>2027</v>
      </c>
      <c r="Q573" t="s">
        <v>3014</v>
      </c>
      <c r="S573">
        <v>7</v>
      </c>
      <c r="T573" t="s">
        <v>3041</v>
      </c>
      <c r="U573">
        <v>1820</v>
      </c>
      <c r="V573">
        <v>1806</v>
      </c>
      <c r="W573">
        <v>1.0078</v>
      </c>
      <c r="X573" t="s">
        <v>70</v>
      </c>
      <c r="Y573" t="s">
        <v>3015</v>
      </c>
      <c r="Z573">
        <v>2971.76</v>
      </c>
      <c r="AA573">
        <v>293.60000000000002</v>
      </c>
      <c r="AB573">
        <v>872513</v>
      </c>
      <c r="AC573" t="b">
        <v>1</v>
      </c>
      <c r="AD573" t="b">
        <v>1</v>
      </c>
      <c r="AE573" t="b">
        <v>0</v>
      </c>
      <c r="AF573" t="b">
        <v>0</v>
      </c>
      <c r="AG573" t="s">
        <v>58</v>
      </c>
      <c r="AH573">
        <v>14</v>
      </c>
      <c r="AI573" t="s">
        <v>59</v>
      </c>
      <c r="AJ573" t="s">
        <v>71</v>
      </c>
      <c r="AL573" t="s">
        <v>244</v>
      </c>
      <c r="AM573" t="s">
        <v>245</v>
      </c>
      <c r="AN573" t="s">
        <v>63</v>
      </c>
      <c r="AO573" t="s">
        <v>3016</v>
      </c>
      <c r="AP573" t="s">
        <v>3038</v>
      </c>
    </row>
    <row r="574" spans="1:42" x14ac:dyDescent="0.45">
      <c r="A574" t="s">
        <v>2812</v>
      </c>
      <c r="B574" t="s">
        <v>2813</v>
      </c>
      <c r="C574" t="s">
        <v>3012</v>
      </c>
      <c r="D574">
        <v>2018</v>
      </c>
      <c r="E574" t="s">
        <v>45</v>
      </c>
      <c r="F574" t="s">
        <v>2020</v>
      </c>
      <c r="G574">
        <v>2</v>
      </c>
      <c r="J574" t="s">
        <v>3042</v>
      </c>
      <c r="K574" t="s">
        <v>3043</v>
      </c>
      <c r="L574" t="s">
        <v>3044</v>
      </c>
      <c r="M574" t="s">
        <v>3045</v>
      </c>
      <c r="N574" t="s">
        <v>2829</v>
      </c>
      <c r="O574" t="s">
        <v>2830</v>
      </c>
      <c r="P574" t="s">
        <v>2027</v>
      </c>
      <c r="Q574" t="s">
        <v>3014</v>
      </c>
      <c r="S574">
        <v>3</v>
      </c>
      <c r="T574" t="s">
        <v>3046</v>
      </c>
      <c r="U574">
        <v>1792</v>
      </c>
      <c r="V574">
        <v>1806</v>
      </c>
      <c r="W574">
        <v>0.99219999999999997</v>
      </c>
      <c r="X574" t="s">
        <v>70</v>
      </c>
      <c r="Y574" t="s">
        <v>3015</v>
      </c>
      <c r="Z574">
        <v>2999.76</v>
      </c>
      <c r="AA574">
        <v>486.93</v>
      </c>
      <c r="AB574">
        <v>1460661</v>
      </c>
      <c r="AC574" t="b">
        <v>1</v>
      </c>
      <c r="AD574" t="b">
        <v>1</v>
      </c>
      <c r="AE574" t="b">
        <v>0</v>
      </c>
      <c r="AF574" t="b">
        <v>0</v>
      </c>
      <c r="AG574" t="s">
        <v>58</v>
      </c>
      <c r="AH574">
        <v>14</v>
      </c>
      <c r="AI574" t="s">
        <v>59</v>
      </c>
      <c r="AJ574" t="s">
        <v>71</v>
      </c>
      <c r="AL574" t="s">
        <v>244</v>
      </c>
      <c r="AM574" t="s">
        <v>245</v>
      </c>
      <c r="AN574" t="s">
        <v>63</v>
      </c>
      <c r="AO574" t="s">
        <v>3016</v>
      </c>
      <c r="AP574" t="s">
        <v>3043</v>
      </c>
    </row>
    <row r="575" spans="1:42" x14ac:dyDescent="0.45">
      <c r="A575" t="s">
        <v>2812</v>
      </c>
      <c r="B575" t="s">
        <v>2813</v>
      </c>
      <c r="C575" t="s">
        <v>3012</v>
      </c>
      <c r="D575">
        <v>2018</v>
      </c>
      <c r="E575" t="s">
        <v>45</v>
      </c>
      <c r="F575" t="s">
        <v>2020</v>
      </c>
      <c r="G575">
        <v>4</v>
      </c>
      <c r="J575" t="s">
        <v>3047</v>
      </c>
      <c r="K575" t="s">
        <v>3048</v>
      </c>
      <c r="L575" t="s">
        <v>3049</v>
      </c>
      <c r="M575" t="s">
        <v>3050</v>
      </c>
      <c r="N575" t="s">
        <v>2829</v>
      </c>
      <c r="O575" t="s">
        <v>2830</v>
      </c>
      <c r="P575" t="s">
        <v>2027</v>
      </c>
      <c r="Q575" t="s">
        <v>3014</v>
      </c>
      <c r="S575">
        <v>5</v>
      </c>
      <c r="T575" t="s">
        <v>3051</v>
      </c>
      <c r="U575">
        <v>1853</v>
      </c>
      <c r="V575">
        <v>1806</v>
      </c>
      <c r="W575">
        <v>1.026</v>
      </c>
      <c r="X575" t="s">
        <v>70</v>
      </c>
      <c r="Y575" t="s">
        <v>3015</v>
      </c>
      <c r="Z575">
        <v>2985.27</v>
      </c>
      <c r="AA575">
        <v>293.72000000000003</v>
      </c>
      <c r="AB575">
        <v>876825</v>
      </c>
      <c r="AC575" t="b">
        <v>1</v>
      </c>
      <c r="AD575" t="b">
        <v>1</v>
      </c>
      <c r="AE575" t="b">
        <v>0</v>
      </c>
      <c r="AF575" t="b">
        <v>0</v>
      </c>
      <c r="AG575" t="s">
        <v>58</v>
      </c>
      <c r="AH575">
        <v>14</v>
      </c>
      <c r="AI575" t="s">
        <v>59</v>
      </c>
      <c r="AJ575" t="s">
        <v>71</v>
      </c>
      <c r="AL575" t="s">
        <v>244</v>
      </c>
      <c r="AM575" t="s">
        <v>245</v>
      </c>
      <c r="AN575" t="s">
        <v>63</v>
      </c>
      <c r="AO575" t="s">
        <v>3016</v>
      </c>
      <c r="AP575" t="s">
        <v>3048</v>
      </c>
    </row>
    <row r="576" spans="1:42" x14ac:dyDescent="0.45">
      <c r="A576" t="s">
        <v>2812</v>
      </c>
      <c r="B576" t="s">
        <v>2813</v>
      </c>
      <c r="C576" t="s">
        <v>3012</v>
      </c>
      <c r="D576">
        <v>2018</v>
      </c>
      <c r="E576" t="s">
        <v>45</v>
      </c>
      <c r="F576" t="s">
        <v>2020</v>
      </c>
      <c r="G576">
        <v>3</v>
      </c>
      <c r="J576" t="s">
        <v>3052</v>
      </c>
      <c r="K576" t="s">
        <v>3053</v>
      </c>
      <c r="L576" t="s">
        <v>3054</v>
      </c>
      <c r="M576" t="s">
        <v>3055</v>
      </c>
      <c r="N576" t="s">
        <v>2829</v>
      </c>
      <c r="O576" t="s">
        <v>2830</v>
      </c>
      <c r="P576" t="s">
        <v>2027</v>
      </c>
      <c r="Q576" t="s">
        <v>3014</v>
      </c>
      <c r="S576">
        <v>4</v>
      </c>
      <c r="T576" t="s">
        <v>3056</v>
      </c>
      <c r="U576">
        <v>1755</v>
      </c>
      <c r="V576">
        <v>1806</v>
      </c>
      <c r="W576">
        <v>0.9718</v>
      </c>
      <c r="X576" t="s">
        <v>70</v>
      </c>
      <c r="Y576" t="s">
        <v>3015</v>
      </c>
      <c r="Z576">
        <v>2992.76</v>
      </c>
      <c r="AA576">
        <v>308.25</v>
      </c>
      <c r="AB576">
        <v>922524</v>
      </c>
      <c r="AC576" t="b">
        <v>1</v>
      </c>
      <c r="AD576" t="b">
        <v>1</v>
      </c>
      <c r="AE576" t="b">
        <v>0</v>
      </c>
      <c r="AF576" t="b">
        <v>0</v>
      </c>
      <c r="AG576" t="s">
        <v>58</v>
      </c>
      <c r="AH576">
        <v>14</v>
      </c>
      <c r="AI576" t="s">
        <v>59</v>
      </c>
      <c r="AJ576" t="s">
        <v>71</v>
      </c>
      <c r="AL576" t="s">
        <v>244</v>
      </c>
      <c r="AM576" t="s">
        <v>245</v>
      </c>
      <c r="AN576" t="s">
        <v>63</v>
      </c>
      <c r="AO576" t="s">
        <v>3016</v>
      </c>
      <c r="AP576" t="s">
        <v>3053</v>
      </c>
    </row>
    <row r="577" spans="1:42" x14ac:dyDescent="0.45">
      <c r="A577" t="s">
        <v>2812</v>
      </c>
      <c r="B577" t="s">
        <v>2813</v>
      </c>
      <c r="C577" t="s">
        <v>3012</v>
      </c>
      <c r="D577">
        <v>2018</v>
      </c>
      <c r="E577" t="s">
        <v>45</v>
      </c>
      <c r="F577" t="s">
        <v>2020</v>
      </c>
      <c r="G577">
        <v>1</v>
      </c>
      <c r="J577" t="s">
        <v>2815</v>
      </c>
      <c r="K577" t="s">
        <v>3057</v>
      </c>
      <c r="L577" t="s">
        <v>2817</v>
      </c>
      <c r="M577" t="s">
        <v>2818</v>
      </c>
      <c r="N577" t="s">
        <v>2819</v>
      </c>
      <c r="O577" t="s">
        <v>2820</v>
      </c>
      <c r="P577" t="s">
        <v>293</v>
      </c>
      <c r="Q577" t="s">
        <v>3014</v>
      </c>
      <c r="S577">
        <v>1</v>
      </c>
      <c r="T577" t="s">
        <v>2822</v>
      </c>
      <c r="U577">
        <v>532</v>
      </c>
      <c r="V577">
        <v>1806</v>
      </c>
      <c r="W577">
        <v>0.29459999999999997</v>
      </c>
      <c r="X577" t="s">
        <v>56</v>
      </c>
      <c r="Y577" t="s">
        <v>3015</v>
      </c>
      <c r="Z577">
        <v>1475.72</v>
      </c>
      <c r="AA577">
        <v>91.28</v>
      </c>
      <c r="AB577">
        <v>134700</v>
      </c>
      <c r="AC577" t="b">
        <v>0</v>
      </c>
      <c r="AD577" t="b">
        <v>0</v>
      </c>
      <c r="AE577" t="b">
        <v>0</v>
      </c>
      <c r="AF577" t="b">
        <v>0</v>
      </c>
      <c r="AG577" t="s">
        <v>58</v>
      </c>
      <c r="AH577">
        <v>4</v>
      </c>
      <c r="AI577" t="s">
        <v>59</v>
      </c>
      <c r="AJ577" t="s">
        <v>60</v>
      </c>
      <c r="AL577" t="s">
        <v>409</v>
      </c>
      <c r="AM577" t="s">
        <v>245</v>
      </c>
      <c r="AN577" t="s">
        <v>63</v>
      </c>
      <c r="AO577" t="s">
        <v>3016</v>
      </c>
      <c r="AP577" t="s">
        <v>3057</v>
      </c>
    </row>
    <row r="578" spans="1:42" x14ac:dyDescent="0.45">
      <c r="A578" t="s">
        <v>2812</v>
      </c>
      <c r="B578" t="s">
        <v>2813</v>
      </c>
      <c r="C578" t="s">
        <v>3058</v>
      </c>
      <c r="D578">
        <v>2018</v>
      </c>
      <c r="E578" t="s">
        <v>45</v>
      </c>
      <c r="F578" t="s">
        <v>2020</v>
      </c>
      <c r="G578">
        <v>8</v>
      </c>
      <c r="J578" t="s">
        <v>3059</v>
      </c>
      <c r="K578" t="s">
        <v>3060</v>
      </c>
      <c r="L578" t="s">
        <v>3061</v>
      </c>
      <c r="M578" t="s">
        <v>3062</v>
      </c>
      <c r="N578" t="s">
        <v>2829</v>
      </c>
      <c r="O578" t="s">
        <v>2830</v>
      </c>
      <c r="P578" t="s">
        <v>2027</v>
      </c>
      <c r="Q578" t="s">
        <v>3063</v>
      </c>
      <c r="S578">
        <v>8</v>
      </c>
      <c r="T578" t="s">
        <v>3064</v>
      </c>
      <c r="U578">
        <v>1883</v>
      </c>
      <c r="V578">
        <v>1832</v>
      </c>
      <c r="W578">
        <v>1.0278</v>
      </c>
      <c r="X578" t="s">
        <v>70</v>
      </c>
      <c r="Y578" t="s">
        <v>3065</v>
      </c>
      <c r="Z578">
        <v>2901.97</v>
      </c>
      <c r="AA578">
        <v>251.94</v>
      </c>
      <c r="AB578">
        <v>731118</v>
      </c>
      <c r="AC578" t="b">
        <v>1</v>
      </c>
      <c r="AD578" t="b">
        <v>1</v>
      </c>
      <c r="AE578" t="b">
        <v>0</v>
      </c>
      <c r="AF578" t="b">
        <v>0</v>
      </c>
      <c r="AG578" t="s">
        <v>58</v>
      </c>
      <c r="AH578">
        <v>14</v>
      </c>
      <c r="AI578" t="s">
        <v>59</v>
      </c>
      <c r="AJ578" t="s">
        <v>71</v>
      </c>
      <c r="AL578" t="s">
        <v>244</v>
      </c>
      <c r="AM578" t="s">
        <v>245</v>
      </c>
      <c r="AN578" t="s">
        <v>63</v>
      </c>
      <c r="AO578" t="s">
        <v>3066</v>
      </c>
      <c r="AP578" t="s">
        <v>3060</v>
      </c>
    </row>
    <row r="579" spans="1:42" x14ac:dyDescent="0.45">
      <c r="A579" t="s">
        <v>2812</v>
      </c>
      <c r="B579" t="s">
        <v>2813</v>
      </c>
      <c r="C579" t="s">
        <v>3058</v>
      </c>
      <c r="D579">
        <v>2018</v>
      </c>
      <c r="E579" t="s">
        <v>45</v>
      </c>
      <c r="F579" t="s">
        <v>2020</v>
      </c>
      <c r="G579">
        <v>5</v>
      </c>
      <c r="J579" t="s">
        <v>3067</v>
      </c>
      <c r="K579" t="s">
        <v>3068</v>
      </c>
      <c r="L579" t="s">
        <v>3069</v>
      </c>
      <c r="M579" t="s">
        <v>3070</v>
      </c>
      <c r="N579" t="s">
        <v>2829</v>
      </c>
      <c r="O579" t="s">
        <v>2830</v>
      </c>
      <c r="P579" t="s">
        <v>2027</v>
      </c>
      <c r="Q579" t="s">
        <v>3063</v>
      </c>
      <c r="S579">
        <v>4</v>
      </c>
      <c r="T579" t="s">
        <v>3071</v>
      </c>
      <c r="U579">
        <v>1832</v>
      </c>
      <c r="V579">
        <v>1832</v>
      </c>
      <c r="W579">
        <v>1</v>
      </c>
      <c r="X579" t="s">
        <v>70</v>
      </c>
      <c r="Y579" t="s">
        <v>3065</v>
      </c>
      <c r="Z579">
        <v>2922.82</v>
      </c>
      <c r="AA579">
        <v>244.53</v>
      </c>
      <c r="AB579">
        <v>714710</v>
      </c>
      <c r="AC579" t="b">
        <v>1</v>
      </c>
      <c r="AD579" t="b">
        <v>1</v>
      </c>
      <c r="AE579" t="b">
        <v>0</v>
      </c>
      <c r="AF579" t="b">
        <v>0</v>
      </c>
      <c r="AG579" t="s">
        <v>58</v>
      </c>
      <c r="AH579">
        <v>14</v>
      </c>
      <c r="AI579" t="s">
        <v>59</v>
      </c>
      <c r="AJ579" t="s">
        <v>71</v>
      </c>
      <c r="AL579" t="s">
        <v>244</v>
      </c>
      <c r="AM579" t="s">
        <v>245</v>
      </c>
      <c r="AN579" t="s">
        <v>63</v>
      </c>
      <c r="AO579" t="s">
        <v>3066</v>
      </c>
      <c r="AP579" t="s">
        <v>3068</v>
      </c>
    </row>
    <row r="580" spans="1:42" x14ac:dyDescent="0.45">
      <c r="A580" t="s">
        <v>2812</v>
      </c>
      <c r="B580" t="s">
        <v>2813</v>
      </c>
      <c r="C580" t="s">
        <v>3058</v>
      </c>
      <c r="D580">
        <v>2018</v>
      </c>
      <c r="E580" t="s">
        <v>45</v>
      </c>
      <c r="F580" t="s">
        <v>2020</v>
      </c>
      <c r="G580">
        <v>1</v>
      </c>
      <c r="J580" t="s">
        <v>3072</v>
      </c>
      <c r="K580" t="s">
        <v>3073</v>
      </c>
      <c r="L580" t="s">
        <v>3074</v>
      </c>
      <c r="M580" t="s">
        <v>3075</v>
      </c>
      <c r="N580" t="s">
        <v>2829</v>
      </c>
      <c r="O580" t="s">
        <v>2830</v>
      </c>
      <c r="P580" t="s">
        <v>2027</v>
      </c>
      <c r="Q580" t="s">
        <v>3063</v>
      </c>
      <c r="S580">
        <v>1</v>
      </c>
      <c r="T580" t="s">
        <v>3076</v>
      </c>
      <c r="U580">
        <v>1850</v>
      </c>
      <c r="V580">
        <v>1832</v>
      </c>
      <c r="W580">
        <v>1.0098</v>
      </c>
      <c r="X580" t="s">
        <v>70</v>
      </c>
      <c r="Y580" t="s">
        <v>3065</v>
      </c>
      <c r="Z580">
        <v>2950.85</v>
      </c>
      <c r="AA580">
        <v>1670.91</v>
      </c>
      <c r="AB580">
        <v>4930589</v>
      </c>
      <c r="AC580" t="b">
        <v>1</v>
      </c>
      <c r="AD580" t="b">
        <v>1</v>
      </c>
      <c r="AE580" t="b">
        <v>0</v>
      </c>
      <c r="AF580" t="b">
        <v>0</v>
      </c>
      <c r="AG580" t="s">
        <v>58</v>
      </c>
      <c r="AH580">
        <v>14</v>
      </c>
      <c r="AI580" t="s">
        <v>59</v>
      </c>
      <c r="AJ580" t="s">
        <v>71</v>
      </c>
      <c r="AL580" t="s">
        <v>244</v>
      </c>
      <c r="AM580" t="s">
        <v>245</v>
      </c>
      <c r="AN580" t="s">
        <v>63</v>
      </c>
      <c r="AO580" t="s">
        <v>3066</v>
      </c>
      <c r="AP580" t="s">
        <v>3073</v>
      </c>
    </row>
    <row r="581" spans="1:42" x14ac:dyDescent="0.45">
      <c r="A581" t="s">
        <v>2812</v>
      </c>
      <c r="B581" t="s">
        <v>2813</v>
      </c>
      <c r="C581" t="s">
        <v>3058</v>
      </c>
      <c r="D581">
        <v>2018</v>
      </c>
      <c r="E581" t="s">
        <v>45</v>
      </c>
      <c r="F581" t="s">
        <v>2020</v>
      </c>
      <c r="G581">
        <v>9</v>
      </c>
      <c r="J581" t="s">
        <v>3077</v>
      </c>
      <c r="K581" t="s">
        <v>3078</v>
      </c>
      <c r="L581" t="s">
        <v>3079</v>
      </c>
      <c r="M581" t="s">
        <v>3080</v>
      </c>
      <c r="N581" t="s">
        <v>2829</v>
      </c>
      <c r="O581" t="s">
        <v>2830</v>
      </c>
      <c r="P581" t="s">
        <v>2027</v>
      </c>
      <c r="Q581" t="s">
        <v>3063</v>
      </c>
      <c r="S581">
        <v>9</v>
      </c>
      <c r="T581" t="s">
        <v>3081</v>
      </c>
      <c r="U581">
        <v>1746</v>
      </c>
      <c r="V581">
        <v>1832</v>
      </c>
      <c r="W581">
        <v>0.95309999999999995</v>
      </c>
      <c r="X581" t="s">
        <v>70</v>
      </c>
      <c r="Y581" t="s">
        <v>3065</v>
      </c>
      <c r="Z581">
        <v>2894.95</v>
      </c>
      <c r="AA581">
        <v>93.56</v>
      </c>
      <c r="AB581">
        <v>270858</v>
      </c>
      <c r="AC581" t="b">
        <v>1</v>
      </c>
      <c r="AD581" t="b">
        <v>1</v>
      </c>
      <c r="AE581" t="b">
        <v>0</v>
      </c>
      <c r="AF581" t="b">
        <v>0</v>
      </c>
      <c r="AG581" t="s">
        <v>58</v>
      </c>
      <c r="AH581">
        <v>14</v>
      </c>
      <c r="AI581" t="s">
        <v>59</v>
      </c>
      <c r="AJ581" t="s">
        <v>71</v>
      </c>
      <c r="AL581" t="s">
        <v>244</v>
      </c>
      <c r="AM581" t="s">
        <v>245</v>
      </c>
      <c r="AN581" t="s">
        <v>63</v>
      </c>
      <c r="AO581" t="s">
        <v>3066</v>
      </c>
      <c r="AP581" t="s">
        <v>3078</v>
      </c>
    </row>
    <row r="582" spans="1:42" x14ac:dyDescent="0.45">
      <c r="A582" t="s">
        <v>2812</v>
      </c>
      <c r="B582" t="s">
        <v>2813</v>
      </c>
      <c r="C582" t="s">
        <v>3058</v>
      </c>
      <c r="D582">
        <v>2018</v>
      </c>
      <c r="E582" t="s">
        <v>45</v>
      </c>
      <c r="F582" t="s">
        <v>2020</v>
      </c>
      <c r="G582">
        <v>6</v>
      </c>
      <c r="J582" t="s">
        <v>3082</v>
      </c>
      <c r="K582" t="s">
        <v>3083</v>
      </c>
      <c r="L582" t="s">
        <v>3084</v>
      </c>
      <c r="M582" t="s">
        <v>3085</v>
      </c>
      <c r="N582" t="s">
        <v>2829</v>
      </c>
      <c r="O582" t="s">
        <v>2830</v>
      </c>
      <c r="P582" t="s">
        <v>2027</v>
      </c>
      <c r="Q582" t="s">
        <v>3063</v>
      </c>
      <c r="S582">
        <v>6</v>
      </c>
      <c r="T582" t="s">
        <v>3086</v>
      </c>
      <c r="U582">
        <v>1818</v>
      </c>
      <c r="V582">
        <v>1832</v>
      </c>
      <c r="W582">
        <v>0.99239999999999995</v>
      </c>
      <c r="X582" t="s">
        <v>70</v>
      </c>
      <c r="Y582" t="s">
        <v>3065</v>
      </c>
      <c r="Z582">
        <v>2915.97</v>
      </c>
      <c r="AA582">
        <v>195.73</v>
      </c>
      <c r="AB582">
        <v>570744</v>
      </c>
      <c r="AC582" t="b">
        <v>0</v>
      </c>
      <c r="AD582" t="b">
        <v>0</v>
      </c>
      <c r="AE582" t="b">
        <v>0</v>
      </c>
      <c r="AF582" t="b">
        <v>0</v>
      </c>
      <c r="AG582" t="s">
        <v>58</v>
      </c>
      <c r="AH582">
        <v>10</v>
      </c>
      <c r="AI582" t="s">
        <v>59</v>
      </c>
      <c r="AJ582" t="s">
        <v>60</v>
      </c>
      <c r="AL582" t="s">
        <v>281</v>
      </c>
      <c r="AM582" t="s">
        <v>245</v>
      </c>
      <c r="AN582" t="s">
        <v>63</v>
      </c>
      <c r="AO582" t="s">
        <v>3066</v>
      </c>
      <c r="AP582" t="s">
        <v>3083</v>
      </c>
    </row>
    <row r="583" spans="1:42" x14ac:dyDescent="0.45">
      <c r="A583" t="s">
        <v>2812</v>
      </c>
      <c r="B583" t="s">
        <v>2813</v>
      </c>
      <c r="C583" t="s">
        <v>3058</v>
      </c>
      <c r="D583">
        <v>2018</v>
      </c>
      <c r="E583" t="s">
        <v>45</v>
      </c>
      <c r="F583" t="s">
        <v>2020</v>
      </c>
      <c r="G583">
        <v>1</v>
      </c>
      <c r="J583" t="s">
        <v>2832</v>
      </c>
      <c r="K583" t="s">
        <v>3087</v>
      </c>
      <c r="L583" t="s">
        <v>2834</v>
      </c>
      <c r="M583" t="s">
        <v>2835</v>
      </c>
      <c r="N583" t="s">
        <v>2836</v>
      </c>
      <c r="O583" t="s">
        <v>2837</v>
      </c>
      <c r="P583" t="s">
        <v>2027</v>
      </c>
      <c r="Q583" t="s">
        <v>3063</v>
      </c>
      <c r="S583">
        <v>0</v>
      </c>
      <c r="T583" t="s">
        <v>2838</v>
      </c>
      <c r="U583">
        <v>3148</v>
      </c>
      <c r="V583">
        <v>1832</v>
      </c>
      <c r="W583">
        <v>1.7182999999999999</v>
      </c>
      <c r="X583" t="s">
        <v>242</v>
      </c>
      <c r="Y583" t="s">
        <v>3065</v>
      </c>
      <c r="Z583">
        <v>1566.7</v>
      </c>
      <c r="AA583">
        <v>1905.66</v>
      </c>
      <c r="AB583">
        <v>2985602</v>
      </c>
      <c r="AC583" t="b">
        <v>0</v>
      </c>
      <c r="AD583" t="b">
        <v>0</v>
      </c>
      <c r="AE583" t="b">
        <v>0</v>
      </c>
      <c r="AF583" t="b">
        <v>0</v>
      </c>
      <c r="AG583" t="s">
        <v>58</v>
      </c>
      <c r="AH583">
        <v>10</v>
      </c>
      <c r="AI583" t="s">
        <v>59</v>
      </c>
      <c r="AJ583" t="s">
        <v>60</v>
      </c>
      <c r="AL583" t="s">
        <v>281</v>
      </c>
      <c r="AM583" t="s">
        <v>245</v>
      </c>
      <c r="AN583" t="s">
        <v>63</v>
      </c>
      <c r="AO583" t="s">
        <v>3066</v>
      </c>
      <c r="AP583" t="s">
        <v>3087</v>
      </c>
    </row>
    <row r="584" spans="1:42" x14ac:dyDescent="0.45">
      <c r="A584" t="s">
        <v>2812</v>
      </c>
      <c r="B584" t="s">
        <v>2813</v>
      </c>
      <c r="C584" t="s">
        <v>3058</v>
      </c>
      <c r="D584">
        <v>2018</v>
      </c>
      <c r="E584" t="s">
        <v>45</v>
      </c>
      <c r="F584" t="s">
        <v>2020</v>
      </c>
      <c r="G584">
        <v>7</v>
      </c>
      <c r="J584" t="s">
        <v>3088</v>
      </c>
      <c r="K584" t="s">
        <v>3089</v>
      </c>
      <c r="L584" t="s">
        <v>3090</v>
      </c>
      <c r="M584" t="s">
        <v>3091</v>
      </c>
      <c r="N584" t="s">
        <v>2829</v>
      </c>
      <c r="O584" t="s">
        <v>2830</v>
      </c>
      <c r="P584" t="s">
        <v>2027</v>
      </c>
      <c r="Q584" t="s">
        <v>3063</v>
      </c>
      <c r="S584">
        <v>7</v>
      </c>
      <c r="T584" t="s">
        <v>3092</v>
      </c>
      <c r="U584">
        <v>1829</v>
      </c>
      <c r="V584">
        <v>1832</v>
      </c>
      <c r="W584">
        <v>0.99839999999999995</v>
      </c>
      <c r="X584" t="s">
        <v>70</v>
      </c>
      <c r="Y584" t="s">
        <v>3065</v>
      </c>
      <c r="Z584">
        <v>2908.09</v>
      </c>
      <c r="AA584">
        <v>248.23</v>
      </c>
      <c r="AB584">
        <v>721884</v>
      </c>
      <c r="AC584" t="b">
        <v>1</v>
      </c>
      <c r="AD584" t="b">
        <v>1</v>
      </c>
      <c r="AE584" t="b">
        <v>0</v>
      </c>
      <c r="AF584" t="b">
        <v>0</v>
      </c>
      <c r="AG584" t="s">
        <v>58</v>
      </c>
      <c r="AH584">
        <v>14</v>
      </c>
      <c r="AI584" t="s">
        <v>59</v>
      </c>
      <c r="AJ584" t="s">
        <v>71</v>
      </c>
      <c r="AL584" t="s">
        <v>244</v>
      </c>
      <c r="AM584" t="s">
        <v>245</v>
      </c>
      <c r="AN584" t="s">
        <v>63</v>
      </c>
      <c r="AO584" t="s">
        <v>3066</v>
      </c>
      <c r="AP584" t="s">
        <v>3089</v>
      </c>
    </row>
    <row r="585" spans="1:42" x14ac:dyDescent="0.45">
      <c r="A585" t="s">
        <v>2812</v>
      </c>
      <c r="B585" t="s">
        <v>2813</v>
      </c>
      <c r="C585" t="s">
        <v>3058</v>
      </c>
      <c r="D585">
        <v>2018</v>
      </c>
      <c r="E585" t="s">
        <v>45</v>
      </c>
      <c r="F585" t="s">
        <v>2020</v>
      </c>
      <c r="G585">
        <v>2</v>
      </c>
      <c r="J585" t="s">
        <v>3093</v>
      </c>
      <c r="K585" t="s">
        <v>3094</v>
      </c>
      <c r="L585" t="s">
        <v>3095</v>
      </c>
      <c r="M585" t="s">
        <v>3096</v>
      </c>
      <c r="N585" t="s">
        <v>2829</v>
      </c>
      <c r="O585" t="s">
        <v>2830</v>
      </c>
      <c r="P585" t="s">
        <v>2027</v>
      </c>
      <c r="Q585" t="s">
        <v>3063</v>
      </c>
      <c r="S585">
        <v>2</v>
      </c>
      <c r="T585" t="s">
        <v>3097</v>
      </c>
      <c r="U585">
        <v>1824</v>
      </c>
      <c r="V585">
        <v>1832</v>
      </c>
      <c r="W585">
        <v>0.99560000000000004</v>
      </c>
      <c r="X585" t="s">
        <v>70</v>
      </c>
      <c r="Y585" t="s">
        <v>3065</v>
      </c>
      <c r="Z585">
        <v>2943.96</v>
      </c>
      <c r="AA585">
        <v>731.73</v>
      </c>
      <c r="AB585">
        <v>2154173</v>
      </c>
      <c r="AC585" t="b">
        <v>0</v>
      </c>
      <c r="AD585" t="b">
        <v>0</v>
      </c>
      <c r="AE585" t="b">
        <v>0</v>
      </c>
      <c r="AF585" t="b">
        <v>0</v>
      </c>
      <c r="AG585" t="s">
        <v>58</v>
      </c>
      <c r="AH585">
        <v>10</v>
      </c>
      <c r="AI585" t="s">
        <v>59</v>
      </c>
      <c r="AJ585" t="s">
        <v>60</v>
      </c>
      <c r="AL585" t="s">
        <v>281</v>
      </c>
      <c r="AM585" t="s">
        <v>245</v>
      </c>
      <c r="AN585" t="s">
        <v>63</v>
      </c>
      <c r="AO585" t="s">
        <v>3066</v>
      </c>
      <c r="AP585" t="s">
        <v>3094</v>
      </c>
    </row>
    <row r="586" spans="1:42" x14ac:dyDescent="0.45">
      <c r="A586" t="s">
        <v>2812</v>
      </c>
      <c r="B586" t="s">
        <v>2813</v>
      </c>
      <c r="C586" t="s">
        <v>3058</v>
      </c>
      <c r="D586">
        <v>2018</v>
      </c>
      <c r="E586" t="s">
        <v>45</v>
      </c>
      <c r="F586" t="s">
        <v>2020</v>
      </c>
      <c r="G586">
        <v>3</v>
      </c>
      <c r="J586" t="s">
        <v>3098</v>
      </c>
      <c r="K586" t="s">
        <v>3099</v>
      </c>
      <c r="L586" t="s">
        <v>3100</v>
      </c>
      <c r="M586" t="s">
        <v>3101</v>
      </c>
      <c r="N586" t="s">
        <v>2829</v>
      </c>
      <c r="O586" t="s">
        <v>2830</v>
      </c>
      <c r="P586" t="s">
        <v>2027</v>
      </c>
      <c r="Q586" t="s">
        <v>3063</v>
      </c>
      <c r="S586">
        <v>3</v>
      </c>
      <c r="T586" t="s">
        <v>3102</v>
      </c>
      <c r="U586">
        <v>1730</v>
      </c>
      <c r="V586">
        <v>1832</v>
      </c>
      <c r="W586">
        <v>0.94430000000000003</v>
      </c>
      <c r="X586" t="s">
        <v>70</v>
      </c>
      <c r="Y586" t="s">
        <v>3065</v>
      </c>
      <c r="Z586">
        <v>2936.97</v>
      </c>
      <c r="AA586">
        <v>475.3</v>
      </c>
      <c r="AB586">
        <v>1395939</v>
      </c>
      <c r="AC586" t="b">
        <v>0</v>
      </c>
      <c r="AD586" t="b">
        <v>0</v>
      </c>
      <c r="AE586" t="b">
        <v>0</v>
      </c>
      <c r="AF586" t="b">
        <v>0</v>
      </c>
      <c r="AG586" t="s">
        <v>58</v>
      </c>
      <c r="AH586">
        <v>10</v>
      </c>
      <c r="AI586" t="s">
        <v>59</v>
      </c>
      <c r="AJ586" t="s">
        <v>60</v>
      </c>
      <c r="AL586" t="s">
        <v>281</v>
      </c>
      <c r="AM586" t="s">
        <v>245</v>
      </c>
      <c r="AN586" t="s">
        <v>63</v>
      </c>
      <c r="AO586" t="s">
        <v>3066</v>
      </c>
      <c r="AP586" t="s">
        <v>3099</v>
      </c>
    </row>
    <row r="587" spans="1:42" x14ac:dyDescent="0.45">
      <c r="A587" t="s">
        <v>2812</v>
      </c>
      <c r="B587" t="s">
        <v>2813</v>
      </c>
      <c r="C587" t="s">
        <v>3058</v>
      </c>
      <c r="D587">
        <v>2018</v>
      </c>
      <c r="E587" t="s">
        <v>45</v>
      </c>
      <c r="F587" t="s">
        <v>2020</v>
      </c>
      <c r="G587">
        <v>4</v>
      </c>
      <c r="J587" t="s">
        <v>3103</v>
      </c>
      <c r="K587" t="s">
        <v>3104</v>
      </c>
      <c r="L587" t="s">
        <v>3105</v>
      </c>
      <c r="M587" t="s">
        <v>3106</v>
      </c>
      <c r="N587" t="s">
        <v>2829</v>
      </c>
      <c r="O587" t="s">
        <v>2830</v>
      </c>
      <c r="P587" t="s">
        <v>2027</v>
      </c>
      <c r="Q587" t="s">
        <v>3063</v>
      </c>
      <c r="S587">
        <v>5</v>
      </c>
      <c r="T587" t="s">
        <v>3107</v>
      </c>
      <c r="U587">
        <v>1759</v>
      </c>
      <c r="V587">
        <v>1832</v>
      </c>
      <c r="W587">
        <v>0.96020000000000005</v>
      </c>
      <c r="X587" t="s">
        <v>70</v>
      </c>
      <c r="Y587" t="s">
        <v>3065</v>
      </c>
      <c r="Z587">
        <v>2929.97</v>
      </c>
      <c r="AA587">
        <v>475.18</v>
      </c>
      <c r="AB587">
        <v>1392267</v>
      </c>
      <c r="AC587" t="b">
        <v>0</v>
      </c>
      <c r="AD587" t="b">
        <v>0</v>
      </c>
      <c r="AE587" t="b">
        <v>0</v>
      </c>
      <c r="AF587" t="b">
        <v>0</v>
      </c>
      <c r="AG587" t="s">
        <v>58</v>
      </c>
      <c r="AH587">
        <v>10</v>
      </c>
      <c r="AI587" t="s">
        <v>59</v>
      </c>
      <c r="AJ587" t="s">
        <v>60</v>
      </c>
      <c r="AL587" t="s">
        <v>281</v>
      </c>
      <c r="AM587" t="s">
        <v>245</v>
      </c>
      <c r="AN587" t="s">
        <v>63</v>
      </c>
      <c r="AO587" t="s">
        <v>3066</v>
      </c>
      <c r="AP587" t="s">
        <v>3104</v>
      </c>
    </row>
    <row r="588" spans="1:42" x14ac:dyDescent="0.45">
      <c r="A588" t="s">
        <v>2812</v>
      </c>
      <c r="B588" t="s">
        <v>2813</v>
      </c>
      <c r="C588" t="s">
        <v>3108</v>
      </c>
      <c r="D588">
        <v>2018</v>
      </c>
      <c r="E588" t="s">
        <v>45</v>
      </c>
      <c r="F588" t="s">
        <v>2020</v>
      </c>
      <c r="G588">
        <v>5</v>
      </c>
      <c r="J588" t="s">
        <v>3109</v>
      </c>
      <c r="K588" t="s">
        <v>3110</v>
      </c>
      <c r="L588" t="s">
        <v>3111</v>
      </c>
      <c r="M588" t="s">
        <v>3112</v>
      </c>
      <c r="N588" t="s">
        <v>2829</v>
      </c>
      <c r="O588" t="s">
        <v>2830</v>
      </c>
      <c r="P588" t="s">
        <v>2027</v>
      </c>
      <c r="Q588" t="s">
        <v>3113</v>
      </c>
      <c r="S588">
        <v>4</v>
      </c>
      <c r="T588" t="s">
        <v>3114</v>
      </c>
      <c r="U588">
        <v>1846</v>
      </c>
      <c r="V588">
        <v>1872</v>
      </c>
      <c r="W588">
        <v>0.98609999999999998</v>
      </c>
      <c r="X588" t="s">
        <v>70</v>
      </c>
      <c r="Y588" t="s">
        <v>3115</v>
      </c>
      <c r="Z588">
        <v>2804.18</v>
      </c>
      <c r="AA588">
        <v>215.99</v>
      </c>
      <c r="AB588">
        <v>605686</v>
      </c>
      <c r="AC588" t="b">
        <v>1</v>
      </c>
      <c r="AD588" t="b">
        <v>1</v>
      </c>
      <c r="AE588" t="b">
        <v>0</v>
      </c>
      <c r="AF588" t="b">
        <v>0</v>
      </c>
      <c r="AG588" t="s">
        <v>58</v>
      </c>
      <c r="AH588">
        <v>14</v>
      </c>
      <c r="AI588" t="s">
        <v>59</v>
      </c>
      <c r="AJ588" t="s">
        <v>71</v>
      </c>
      <c r="AL588" t="s">
        <v>244</v>
      </c>
      <c r="AM588" t="s">
        <v>245</v>
      </c>
      <c r="AN588" t="s">
        <v>63</v>
      </c>
      <c r="AO588" t="s">
        <v>3116</v>
      </c>
      <c r="AP588" t="s">
        <v>3110</v>
      </c>
    </row>
    <row r="589" spans="1:42" x14ac:dyDescent="0.45">
      <c r="A589" t="s">
        <v>2812</v>
      </c>
      <c r="B589" t="s">
        <v>2813</v>
      </c>
      <c r="C589" t="s">
        <v>3108</v>
      </c>
      <c r="D589">
        <v>2018</v>
      </c>
      <c r="E589" t="s">
        <v>45</v>
      </c>
      <c r="F589" t="s">
        <v>2020</v>
      </c>
      <c r="G589">
        <v>7</v>
      </c>
      <c r="J589" t="s">
        <v>3117</v>
      </c>
      <c r="K589" t="s">
        <v>3118</v>
      </c>
      <c r="L589" t="s">
        <v>3119</v>
      </c>
      <c r="M589" t="s">
        <v>3120</v>
      </c>
      <c r="N589" t="s">
        <v>2829</v>
      </c>
      <c r="O589" t="s">
        <v>2830</v>
      </c>
      <c r="P589" t="s">
        <v>2027</v>
      </c>
      <c r="Q589" t="s">
        <v>3113</v>
      </c>
      <c r="S589">
        <v>6</v>
      </c>
      <c r="T589" t="s">
        <v>3121</v>
      </c>
      <c r="U589">
        <v>1994</v>
      </c>
      <c r="V589">
        <v>1872</v>
      </c>
      <c r="W589">
        <v>1.0651999999999999</v>
      </c>
      <c r="X589" t="s">
        <v>70</v>
      </c>
      <c r="Y589" t="s">
        <v>3115</v>
      </c>
      <c r="Z589">
        <v>2810.95</v>
      </c>
      <c r="AA589">
        <v>157.38999999999999</v>
      </c>
      <c r="AB589">
        <v>442417</v>
      </c>
      <c r="AC589" t="b">
        <v>1</v>
      </c>
      <c r="AD589" t="b">
        <v>1</v>
      </c>
      <c r="AE589" t="b">
        <v>0</v>
      </c>
      <c r="AF589" t="b">
        <v>0</v>
      </c>
      <c r="AG589" t="s">
        <v>58</v>
      </c>
      <c r="AH589">
        <v>14</v>
      </c>
      <c r="AI589" t="s">
        <v>59</v>
      </c>
      <c r="AJ589" t="s">
        <v>71</v>
      </c>
      <c r="AL589" t="s">
        <v>244</v>
      </c>
      <c r="AM589" t="s">
        <v>245</v>
      </c>
      <c r="AN589" t="s">
        <v>63</v>
      </c>
      <c r="AO589" t="s">
        <v>3116</v>
      </c>
      <c r="AP589" t="s">
        <v>3118</v>
      </c>
    </row>
    <row r="590" spans="1:42" x14ac:dyDescent="0.45">
      <c r="A590" t="s">
        <v>2812</v>
      </c>
      <c r="B590" t="s">
        <v>2813</v>
      </c>
      <c r="C590" t="s">
        <v>3108</v>
      </c>
      <c r="D590">
        <v>2018</v>
      </c>
      <c r="E590" t="s">
        <v>45</v>
      </c>
      <c r="F590" t="s">
        <v>2020</v>
      </c>
      <c r="G590">
        <v>6</v>
      </c>
      <c r="J590" t="s">
        <v>3122</v>
      </c>
      <c r="K590" t="s">
        <v>3123</v>
      </c>
      <c r="L590" t="s">
        <v>3124</v>
      </c>
      <c r="M590" t="s">
        <v>3125</v>
      </c>
      <c r="N590" t="s">
        <v>2829</v>
      </c>
      <c r="O590" t="s">
        <v>2830</v>
      </c>
      <c r="P590" t="s">
        <v>2027</v>
      </c>
      <c r="Q590" t="s">
        <v>3113</v>
      </c>
      <c r="S590">
        <v>5</v>
      </c>
      <c r="T590" t="s">
        <v>3126</v>
      </c>
      <c r="U590">
        <v>1834</v>
      </c>
      <c r="V590">
        <v>1872</v>
      </c>
      <c r="W590">
        <v>0.97970000000000002</v>
      </c>
      <c r="X590" t="s">
        <v>70</v>
      </c>
      <c r="Y590" t="s">
        <v>3115</v>
      </c>
      <c r="Z590">
        <v>2797.18</v>
      </c>
      <c r="AA590">
        <v>179.92</v>
      </c>
      <c r="AB590">
        <v>503282</v>
      </c>
      <c r="AC590" t="b">
        <v>1</v>
      </c>
      <c r="AD590" t="b">
        <v>1</v>
      </c>
      <c r="AE590" t="b">
        <v>0</v>
      </c>
      <c r="AF590" t="b">
        <v>0</v>
      </c>
      <c r="AG590" t="s">
        <v>58</v>
      </c>
      <c r="AH590">
        <v>14</v>
      </c>
      <c r="AI590" t="s">
        <v>59</v>
      </c>
      <c r="AJ590" t="s">
        <v>71</v>
      </c>
      <c r="AL590" t="s">
        <v>244</v>
      </c>
      <c r="AM590" t="s">
        <v>245</v>
      </c>
      <c r="AN590" t="s">
        <v>63</v>
      </c>
      <c r="AO590" t="s">
        <v>3116</v>
      </c>
      <c r="AP590" t="s">
        <v>3123</v>
      </c>
    </row>
    <row r="591" spans="1:42" x14ac:dyDescent="0.45">
      <c r="A591" t="s">
        <v>2812</v>
      </c>
      <c r="B591" t="s">
        <v>2813</v>
      </c>
      <c r="C591" t="s">
        <v>3108</v>
      </c>
      <c r="D591">
        <v>2018</v>
      </c>
      <c r="E591" t="s">
        <v>45</v>
      </c>
      <c r="F591" t="s">
        <v>2020</v>
      </c>
      <c r="G591">
        <v>3</v>
      </c>
      <c r="J591" t="s">
        <v>3127</v>
      </c>
      <c r="K591" t="s">
        <v>3128</v>
      </c>
      <c r="L591" t="s">
        <v>3129</v>
      </c>
      <c r="M591" t="s">
        <v>3130</v>
      </c>
      <c r="N591" t="s">
        <v>2829</v>
      </c>
      <c r="O591" t="s">
        <v>2830</v>
      </c>
      <c r="P591" t="s">
        <v>2027</v>
      </c>
      <c r="Q591" t="s">
        <v>3113</v>
      </c>
      <c r="S591">
        <v>2</v>
      </c>
      <c r="T591" t="s">
        <v>3131</v>
      </c>
      <c r="U591">
        <v>1968</v>
      </c>
      <c r="V591">
        <v>1872</v>
      </c>
      <c r="W591">
        <v>1.0512999999999999</v>
      </c>
      <c r="X591" t="s">
        <v>70</v>
      </c>
      <c r="Y591" t="s">
        <v>3115</v>
      </c>
      <c r="Z591">
        <v>2818.09</v>
      </c>
      <c r="AA591">
        <v>384.77</v>
      </c>
      <c r="AB591">
        <v>1084325</v>
      </c>
      <c r="AC591" t="b">
        <v>1</v>
      </c>
      <c r="AD591" t="b">
        <v>1</v>
      </c>
      <c r="AE591" t="b">
        <v>0</v>
      </c>
      <c r="AF591" t="b">
        <v>0</v>
      </c>
      <c r="AG591" t="s">
        <v>58</v>
      </c>
      <c r="AH591">
        <v>14</v>
      </c>
      <c r="AI591" t="s">
        <v>59</v>
      </c>
      <c r="AJ591" t="s">
        <v>71</v>
      </c>
      <c r="AL591" t="s">
        <v>244</v>
      </c>
      <c r="AM591" t="s">
        <v>245</v>
      </c>
      <c r="AN591" t="s">
        <v>63</v>
      </c>
      <c r="AO591" t="s">
        <v>3116</v>
      </c>
      <c r="AP591" t="s">
        <v>3128</v>
      </c>
    </row>
    <row r="592" spans="1:42" x14ac:dyDescent="0.45">
      <c r="A592" t="s">
        <v>2812</v>
      </c>
      <c r="B592" t="s">
        <v>2813</v>
      </c>
      <c r="C592" t="s">
        <v>3108</v>
      </c>
      <c r="D592">
        <v>2018</v>
      </c>
      <c r="E592" t="s">
        <v>45</v>
      </c>
      <c r="F592" t="s">
        <v>2020</v>
      </c>
      <c r="G592">
        <v>2</v>
      </c>
      <c r="J592" t="s">
        <v>3132</v>
      </c>
      <c r="K592" t="s">
        <v>3133</v>
      </c>
      <c r="L592" t="s">
        <v>3134</v>
      </c>
      <c r="M592" t="s">
        <v>3135</v>
      </c>
      <c r="N592" t="s">
        <v>2829</v>
      </c>
      <c r="O592" t="s">
        <v>2830</v>
      </c>
      <c r="P592" t="s">
        <v>2027</v>
      </c>
      <c r="Q592" t="s">
        <v>3113</v>
      </c>
      <c r="S592">
        <v>1</v>
      </c>
      <c r="T592" t="s">
        <v>3136</v>
      </c>
      <c r="U592">
        <v>1817</v>
      </c>
      <c r="V592">
        <v>1872</v>
      </c>
      <c r="W592">
        <v>0.97060000000000002</v>
      </c>
      <c r="X592" t="s">
        <v>70</v>
      </c>
      <c r="Y592" t="s">
        <v>3115</v>
      </c>
      <c r="Z592">
        <v>2828.92</v>
      </c>
      <c r="AA592">
        <v>604.24</v>
      </c>
      <c r="AB592">
        <v>1709357</v>
      </c>
      <c r="AC592" t="b">
        <v>1</v>
      </c>
      <c r="AD592" t="b">
        <v>1</v>
      </c>
      <c r="AE592" t="b">
        <v>0</v>
      </c>
      <c r="AF592" t="b">
        <v>0</v>
      </c>
      <c r="AG592" t="s">
        <v>58</v>
      </c>
      <c r="AH592">
        <v>14</v>
      </c>
      <c r="AI592" t="s">
        <v>59</v>
      </c>
      <c r="AJ592" t="s">
        <v>71</v>
      </c>
      <c r="AL592" t="s">
        <v>244</v>
      </c>
      <c r="AM592" t="s">
        <v>245</v>
      </c>
      <c r="AN592" t="s">
        <v>63</v>
      </c>
      <c r="AO592" t="s">
        <v>3116</v>
      </c>
      <c r="AP592" t="s">
        <v>3133</v>
      </c>
    </row>
    <row r="593" spans="1:42" x14ac:dyDescent="0.45">
      <c r="A593" t="s">
        <v>2812</v>
      </c>
      <c r="B593" t="s">
        <v>2813</v>
      </c>
      <c r="C593" t="s">
        <v>3108</v>
      </c>
      <c r="D593">
        <v>2018</v>
      </c>
      <c r="E593" t="s">
        <v>45</v>
      </c>
      <c r="F593" t="s">
        <v>2020</v>
      </c>
      <c r="G593">
        <v>8</v>
      </c>
      <c r="J593" t="s">
        <v>3137</v>
      </c>
      <c r="K593" t="s">
        <v>3138</v>
      </c>
      <c r="L593" t="s">
        <v>3139</v>
      </c>
      <c r="M593" t="s">
        <v>3140</v>
      </c>
      <c r="N593" t="s">
        <v>2829</v>
      </c>
      <c r="O593" t="s">
        <v>2830</v>
      </c>
      <c r="P593" t="s">
        <v>2027</v>
      </c>
      <c r="Q593" t="s">
        <v>3113</v>
      </c>
      <c r="S593">
        <v>7</v>
      </c>
      <c r="T593" t="s">
        <v>3141</v>
      </c>
      <c r="U593">
        <v>1964</v>
      </c>
      <c r="V593">
        <v>1872</v>
      </c>
      <c r="W593">
        <v>1.0490999999999999</v>
      </c>
      <c r="X593" t="s">
        <v>70</v>
      </c>
      <c r="Y593" t="s">
        <v>3115</v>
      </c>
      <c r="Z593">
        <v>2783.18</v>
      </c>
      <c r="AA593">
        <v>213.15</v>
      </c>
      <c r="AB593">
        <v>593229</v>
      </c>
      <c r="AC593" t="b">
        <v>1</v>
      </c>
      <c r="AD593" t="b">
        <v>1</v>
      </c>
      <c r="AE593" t="b">
        <v>0</v>
      </c>
      <c r="AF593" t="b">
        <v>0</v>
      </c>
      <c r="AG593" t="s">
        <v>58</v>
      </c>
      <c r="AH593">
        <v>14</v>
      </c>
      <c r="AI593" t="s">
        <v>59</v>
      </c>
      <c r="AJ593" t="s">
        <v>71</v>
      </c>
      <c r="AL593" t="s">
        <v>244</v>
      </c>
      <c r="AM593" t="s">
        <v>245</v>
      </c>
      <c r="AN593" t="s">
        <v>63</v>
      </c>
      <c r="AO593" t="s">
        <v>3116</v>
      </c>
      <c r="AP593" t="s">
        <v>3138</v>
      </c>
    </row>
    <row r="594" spans="1:42" x14ac:dyDescent="0.45">
      <c r="A594" t="s">
        <v>2812</v>
      </c>
      <c r="B594" t="s">
        <v>2813</v>
      </c>
      <c r="C594" t="s">
        <v>3108</v>
      </c>
      <c r="D594">
        <v>2018</v>
      </c>
      <c r="E594" t="s">
        <v>45</v>
      </c>
      <c r="F594" t="s">
        <v>2020</v>
      </c>
      <c r="G594">
        <v>1</v>
      </c>
      <c r="J594" t="s">
        <v>3142</v>
      </c>
      <c r="K594" t="s">
        <v>3143</v>
      </c>
      <c r="L594" t="s">
        <v>3144</v>
      </c>
      <c r="M594" t="s">
        <v>3145</v>
      </c>
      <c r="N594" t="s">
        <v>2829</v>
      </c>
      <c r="O594" t="s">
        <v>2830</v>
      </c>
      <c r="P594" t="s">
        <v>2027</v>
      </c>
      <c r="Q594" t="s">
        <v>3113</v>
      </c>
      <c r="S594">
        <v>0</v>
      </c>
      <c r="T594" t="s">
        <v>3146</v>
      </c>
      <c r="U594">
        <v>1898</v>
      </c>
      <c r="V594">
        <v>1872</v>
      </c>
      <c r="W594">
        <v>1.0139</v>
      </c>
      <c r="X594" t="s">
        <v>70</v>
      </c>
      <c r="Y594" t="s">
        <v>3115</v>
      </c>
      <c r="Z594">
        <v>2837.12</v>
      </c>
      <c r="AA594">
        <v>2001.41</v>
      </c>
      <c r="AB594">
        <v>5678244</v>
      </c>
      <c r="AC594" t="b">
        <v>1</v>
      </c>
      <c r="AD594" t="b">
        <v>1</v>
      </c>
      <c r="AE594" t="b">
        <v>0</v>
      </c>
      <c r="AF594" t="b">
        <v>0</v>
      </c>
      <c r="AG594" t="s">
        <v>58</v>
      </c>
      <c r="AH594">
        <v>14</v>
      </c>
      <c r="AI594" t="s">
        <v>59</v>
      </c>
      <c r="AJ594" t="s">
        <v>71</v>
      </c>
      <c r="AL594" t="s">
        <v>244</v>
      </c>
      <c r="AM594" t="s">
        <v>245</v>
      </c>
      <c r="AN594" t="s">
        <v>63</v>
      </c>
      <c r="AO594" t="s">
        <v>3116</v>
      </c>
      <c r="AP594" t="s">
        <v>3143</v>
      </c>
    </row>
    <row r="595" spans="1:42" x14ac:dyDescent="0.45">
      <c r="A595" t="s">
        <v>2812</v>
      </c>
      <c r="B595" t="s">
        <v>2813</v>
      </c>
      <c r="C595" t="s">
        <v>3108</v>
      </c>
      <c r="D595">
        <v>2018</v>
      </c>
      <c r="E595" t="s">
        <v>45</v>
      </c>
      <c r="F595" t="s">
        <v>2020</v>
      </c>
      <c r="G595">
        <v>4</v>
      </c>
      <c r="J595" t="s">
        <v>3147</v>
      </c>
      <c r="K595" t="s">
        <v>3148</v>
      </c>
      <c r="L595" t="s">
        <v>3149</v>
      </c>
      <c r="M595" t="s">
        <v>3150</v>
      </c>
      <c r="N595" t="s">
        <v>2829</v>
      </c>
      <c r="O595" t="s">
        <v>2830</v>
      </c>
      <c r="P595" t="s">
        <v>2027</v>
      </c>
      <c r="Q595" t="s">
        <v>3113</v>
      </c>
      <c r="S595">
        <v>3</v>
      </c>
      <c r="T595" t="s">
        <v>3151</v>
      </c>
      <c r="U595">
        <v>1796</v>
      </c>
      <c r="V595">
        <v>1872</v>
      </c>
      <c r="W595">
        <v>0.95940000000000003</v>
      </c>
      <c r="X595" t="s">
        <v>70</v>
      </c>
      <c r="Y595" t="s">
        <v>3115</v>
      </c>
      <c r="Z595">
        <v>2811.18</v>
      </c>
      <c r="AA595">
        <v>291.24</v>
      </c>
      <c r="AB595">
        <v>818732</v>
      </c>
      <c r="AC595" t="b">
        <v>1</v>
      </c>
      <c r="AD595" t="b">
        <v>1</v>
      </c>
      <c r="AE595" t="b">
        <v>0</v>
      </c>
      <c r="AF595" t="b">
        <v>0</v>
      </c>
      <c r="AG595" t="s">
        <v>58</v>
      </c>
      <c r="AH595">
        <v>14</v>
      </c>
      <c r="AI595" t="s">
        <v>59</v>
      </c>
      <c r="AJ595" t="s">
        <v>71</v>
      </c>
      <c r="AL595" t="s">
        <v>244</v>
      </c>
      <c r="AM595" t="s">
        <v>245</v>
      </c>
      <c r="AN595" t="s">
        <v>63</v>
      </c>
      <c r="AO595" t="s">
        <v>3116</v>
      </c>
      <c r="AP595" t="s">
        <v>3148</v>
      </c>
    </row>
    <row r="596" spans="1:42" x14ac:dyDescent="0.45">
      <c r="A596" t="s">
        <v>2812</v>
      </c>
      <c r="B596" t="s">
        <v>2813</v>
      </c>
      <c r="C596" t="s">
        <v>3152</v>
      </c>
      <c r="D596">
        <v>2019</v>
      </c>
      <c r="E596" t="s">
        <v>45</v>
      </c>
      <c r="F596" t="s">
        <v>2020</v>
      </c>
      <c r="G596">
        <v>2</v>
      </c>
      <c r="J596" t="s">
        <v>3153</v>
      </c>
      <c r="K596" t="s">
        <v>3154</v>
      </c>
      <c r="L596" t="s">
        <v>3155</v>
      </c>
      <c r="M596" t="s">
        <v>3156</v>
      </c>
      <c r="N596" t="s">
        <v>2829</v>
      </c>
      <c r="O596" t="s">
        <v>2830</v>
      </c>
      <c r="P596" t="s">
        <v>2027</v>
      </c>
      <c r="Q596" t="s">
        <v>3157</v>
      </c>
      <c r="S596">
        <v>13</v>
      </c>
      <c r="T596" t="s">
        <v>3158</v>
      </c>
      <c r="U596">
        <v>74</v>
      </c>
      <c r="V596">
        <v>1905</v>
      </c>
      <c r="W596">
        <v>3.8800000000000001E-2</v>
      </c>
      <c r="X596" t="s">
        <v>56</v>
      </c>
      <c r="Y596" t="s">
        <v>3159</v>
      </c>
      <c r="Z596">
        <v>2770.93</v>
      </c>
      <c r="AA596">
        <v>93.42</v>
      </c>
      <c r="AB596">
        <v>258872</v>
      </c>
      <c r="AC596" t="b">
        <v>0</v>
      </c>
      <c r="AD596" t="b">
        <v>0</v>
      </c>
      <c r="AE596" t="b">
        <v>0</v>
      </c>
      <c r="AF596" t="b">
        <v>0</v>
      </c>
      <c r="AG596" t="s">
        <v>58</v>
      </c>
      <c r="AH596">
        <v>-15</v>
      </c>
      <c r="AI596" t="s">
        <v>59</v>
      </c>
      <c r="AJ596" t="s">
        <v>60</v>
      </c>
      <c r="AK596" t="s">
        <v>162</v>
      </c>
      <c r="AL596" t="s">
        <v>163</v>
      </c>
      <c r="AM596" t="s">
        <v>245</v>
      </c>
      <c r="AN596" t="s">
        <v>63</v>
      </c>
      <c r="AO596" t="s">
        <v>3160</v>
      </c>
      <c r="AP596" t="s">
        <v>3154</v>
      </c>
    </row>
    <row r="597" spans="1:42" x14ac:dyDescent="0.45">
      <c r="A597" t="s">
        <v>2812</v>
      </c>
      <c r="B597" t="s">
        <v>2813</v>
      </c>
      <c r="C597" t="s">
        <v>3152</v>
      </c>
      <c r="D597">
        <v>2019</v>
      </c>
      <c r="E597" t="s">
        <v>45</v>
      </c>
      <c r="F597" t="s">
        <v>2020</v>
      </c>
      <c r="G597">
        <v>3</v>
      </c>
      <c r="J597" t="s">
        <v>3161</v>
      </c>
      <c r="K597" t="s">
        <v>3162</v>
      </c>
      <c r="L597" t="s">
        <v>3163</v>
      </c>
      <c r="M597" t="s">
        <v>3164</v>
      </c>
      <c r="N597" t="s">
        <v>2829</v>
      </c>
      <c r="O597" t="s">
        <v>2830</v>
      </c>
      <c r="P597" t="s">
        <v>2027</v>
      </c>
      <c r="Q597" t="s">
        <v>3157</v>
      </c>
      <c r="S597">
        <v>12</v>
      </c>
      <c r="T597" t="s">
        <v>3165</v>
      </c>
      <c r="U597">
        <v>63</v>
      </c>
      <c r="V597">
        <v>1905</v>
      </c>
      <c r="W597">
        <v>3.3099999999999997E-2</v>
      </c>
      <c r="X597" t="s">
        <v>56</v>
      </c>
      <c r="Y597" t="s">
        <v>3159</v>
      </c>
      <c r="Z597">
        <v>2763.93</v>
      </c>
      <c r="AA597">
        <v>25.88</v>
      </c>
      <c r="AB597">
        <v>71541</v>
      </c>
      <c r="AC597" t="b">
        <v>0</v>
      </c>
      <c r="AD597" t="b">
        <v>0</v>
      </c>
      <c r="AE597" t="b">
        <v>0</v>
      </c>
      <c r="AF597" t="b">
        <v>0</v>
      </c>
      <c r="AG597" t="s">
        <v>58</v>
      </c>
      <c r="AH597">
        <v>-15</v>
      </c>
      <c r="AI597" t="s">
        <v>59</v>
      </c>
      <c r="AJ597" t="s">
        <v>60</v>
      </c>
      <c r="AK597" t="s">
        <v>162</v>
      </c>
      <c r="AL597" t="s">
        <v>163</v>
      </c>
      <c r="AM597" t="s">
        <v>245</v>
      </c>
      <c r="AN597" t="s">
        <v>63</v>
      </c>
      <c r="AO597" t="s">
        <v>3160</v>
      </c>
      <c r="AP597" t="s">
        <v>3162</v>
      </c>
    </row>
    <row r="598" spans="1:42" x14ac:dyDescent="0.45">
      <c r="A598" t="s">
        <v>2812</v>
      </c>
      <c r="B598" t="s">
        <v>2813</v>
      </c>
      <c r="C598" t="s">
        <v>3152</v>
      </c>
      <c r="D598">
        <v>2019</v>
      </c>
      <c r="E598" t="s">
        <v>45</v>
      </c>
      <c r="F598" t="s">
        <v>2020</v>
      </c>
      <c r="G598">
        <v>7</v>
      </c>
      <c r="J598" t="s">
        <v>3166</v>
      </c>
      <c r="K598" t="s">
        <v>3167</v>
      </c>
      <c r="L598" t="s">
        <v>3168</v>
      </c>
      <c r="M598" t="s">
        <v>3169</v>
      </c>
      <c r="N598" t="s">
        <v>2829</v>
      </c>
      <c r="O598" t="s">
        <v>2830</v>
      </c>
      <c r="P598" t="s">
        <v>2027</v>
      </c>
      <c r="Q598" t="s">
        <v>3157</v>
      </c>
      <c r="S598">
        <v>17</v>
      </c>
      <c r="T598" t="s">
        <v>3170</v>
      </c>
      <c r="U598">
        <v>78</v>
      </c>
      <c r="V598">
        <v>1905</v>
      </c>
      <c r="W598">
        <v>4.0899999999999999E-2</v>
      </c>
      <c r="X598" t="s">
        <v>56</v>
      </c>
      <c r="Y598" t="s">
        <v>3159</v>
      </c>
      <c r="Z598">
        <v>2735.97</v>
      </c>
      <c r="AA598">
        <v>20.32</v>
      </c>
      <c r="AB598">
        <v>55605</v>
      </c>
      <c r="AC598" t="b">
        <v>0</v>
      </c>
      <c r="AD598" t="b">
        <v>0</v>
      </c>
      <c r="AE598" t="b">
        <v>0</v>
      </c>
      <c r="AF598" t="b">
        <v>0</v>
      </c>
      <c r="AG598" t="s">
        <v>58</v>
      </c>
      <c r="AH598">
        <v>-15</v>
      </c>
      <c r="AI598" t="s">
        <v>59</v>
      </c>
      <c r="AJ598" t="s">
        <v>60</v>
      </c>
      <c r="AK598" t="s">
        <v>162</v>
      </c>
      <c r="AL598" t="s">
        <v>163</v>
      </c>
      <c r="AM598" t="s">
        <v>245</v>
      </c>
      <c r="AN598" t="s">
        <v>63</v>
      </c>
      <c r="AO598" t="s">
        <v>3160</v>
      </c>
      <c r="AP598" t="s">
        <v>3167</v>
      </c>
    </row>
    <row r="599" spans="1:42" x14ac:dyDescent="0.45">
      <c r="A599" t="s">
        <v>2812</v>
      </c>
      <c r="B599" t="s">
        <v>2813</v>
      </c>
      <c r="C599" t="s">
        <v>3152</v>
      </c>
      <c r="D599">
        <v>2019</v>
      </c>
      <c r="E599" t="s">
        <v>45</v>
      </c>
      <c r="F599" t="s">
        <v>2020</v>
      </c>
      <c r="G599">
        <v>6</v>
      </c>
      <c r="J599" t="s">
        <v>3171</v>
      </c>
      <c r="K599" t="s">
        <v>3172</v>
      </c>
      <c r="L599" t="s">
        <v>3173</v>
      </c>
      <c r="M599" t="s">
        <v>3174</v>
      </c>
      <c r="N599" t="s">
        <v>2829</v>
      </c>
      <c r="O599" t="s">
        <v>2830</v>
      </c>
      <c r="P599" t="s">
        <v>2027</v>
      </c>
      <c r="Q599" t="s">
        <v>3157</v>
      </c>
      <c r="S599">
        <v>16</v>
      </c>
      <c r="T599" t="s">
        <v>3175</v>
      </c>
      <c r="U599">
        <v>63</v>
      </c>
      <c r="V599">
        <v>1905</v>
      </c>
      <c r="W599">
        <v>3.3099999999999997E-2</v>
      </c>
      <c r="X599" t="s">
        <v>56</v>
      </c>
      <c r="Y599" t="s">
        <v>3159</v>
      </c>
      <c r="Z599">
        <v>2741.97</v>
      </c>
      <c r="AA599">
        <v>12.44</v>
      </c>
      <c r="AB599">
        <v>34110</v>
      </c>
      <c r="AC599" t="b">
        <v>0</v>
      </c>
      <c r="AD599" t="b">
        <v>0</v>
      </c>
      <c r="AE599" t="b">
        <v>0</v>
      </c>
      <c r="AF599" t="b">
        <v>0</v>
      </c>
      <c r="AG599" t="s">
        <v>58</v>
      </c>
      <c r="AH599">
        <v>-15</v>
      </c>
      <c r="AI599" t="s">
        <v>59</v>
      </c>
      <c r="AJ599" t="s">
        <v>60</v>
      </c>
      <c r="AK599" t="s">
        <v>162</v>
      </c>
      <c r="AL599" t="s">
        <v>163</v>
      </c>
      <c r="AM599" t="s">
        <v>245</v>
      </c>
      <c r="AN599" t="s">
        <v>63</v>
      </c>
      <c r="AO599" t="s">
        <v>3160</v>
      </c>
      <c r="AP599" t="s">
        <v>3172</v>
      </c>
    </row>
    <row r="600" spans="1:42" x14ac:dyDescent="0.45">
      <c r="A600" t="s">
        <v>2812</v>
      </c>
      <c r="B600" t="s">
        <v>2813</v>
      </c>
      <c r="C600" t="s">
        <v>3152</v>
      </c>
      <c r="D600">
        <v>2019</v>
      </c>
      <c r="E600" t="s">
        <v>45</v>
      </c>
      <c r="F600" t="s">
        <v>2020</v>
      </c>
      <c r="J600" t="s">
        <v>3176</v>
      </c>
      <c r="K600" t="s">
        <v>3177</v>
      </c>
      <c r="L600" t="s">
        <v>3178</v>
      </c>
      <c r="M600" t="s">
        <v>3179</v>
      </c>
      <c r="N600" t="s">
        <v>2829</v>
      </c>
      <c r="O600" t="s">
        <v>2830</v>
      </c>
      <c r="P600" t="s">
        <v>2027</v>
      </c>
      <c r="Q600" t="s">
        <v>3157</v>
      </c>
      <c r="S600">
        <v>10</v>
      </c>
      <c r="T600" t="s">
        <v>3180</v>
      </c>
      <c r="U600">
        <v>179</v>
      </c>
      <c r="V600">
        <v>1905</v>
      </c>
      <c r="W600">
        <v>9.4E-2</v>
      </c>
      <c r="X600" t="s">
        <v>56</v>
      </c>
      <c r="Y600" t="s">
        <v>3159</v>
      </c>
      <c r="Z600">
        <v>2772.96</v>
      </c>
      <c r="AA600">
        <v>191.88</v>
      </c>
      <c r="AB600">
        <v>532078</v>
      </c>
      <c r="AC600" t="b">
        <v>0</v>
      </c>
      <c r="AD600" t="b">
        <v>0</v>
      </c>
      <c r="AE600" t="b">
        <v>0</v>
      </c>
      <c r="AF600" t="b">
        <v>0</v>
      </c>
      <c r="AG600" t="s">
        <v>58</v>
      </c>
      <c r="AH600">
        <v>8</v>
      </c>
      <c r="AI600" t="s">
        <v>169</v>
      </c>
      <c r="AJ600" t="s">
        <v>60</v>
      </c>
      <c r="AL600" t="s">
        <v>380</v>
      </c>
      <c r="AM600" t="s">
        <v>245</v>
      </c>
      <c r="AN600" t="s">
        <v>63</v>
      </c>
      <c r="AO600" t="s">
        <v>3160</v>
      </c>
      <c r="AP600" t="s">
        <v>3177</v>
      </c>
    </row>
    <row r="601" spans="1:42" x14ac:dyDescent="0.45">
      <c r="A601" t="s">
        <v>2812</v>
      </c>
      <c r="B601" t="s">
        <v>2813</v>
      </c>
      <c r="C601" t="s">
        <v>3152</v>
      </c>
      <c r="D601">
        <v>2019</v>
      </c>
      <c r="E601" t="s">
        <v>45</v>
      </c>
      <c r="F601" t="s">
        <v>2020</v>
      </c>
      <c r="G601">
        <v>7</v>
      </c>
      <c r="J601" t="s">
        <v>3181</v>
      </c>
      <c r="K601" t="s">
        <v>3182</v>
      </c>
      <c r="L601" t="s">
        <v>3183</v>
      </c>
      <c r="M601" t="s">
        <v>3184</v>
      </c>
      <c r="N601" t="s">
        <v>2829</v>
      </c>
      <c r="O601" t="s">
        <v>2830</v>
      </c>
      <c r="P601" t="s">
        <v>2027</v>
      </c>
      <c r="Q601" t="s">
        <v>3157</v>
      </c>
      <c r="S601">
        <v>18</v>
      </c>
      <c r="T601" t="s">
        <v>3185</v>
      </c>
      <c r="U601">
        <v>609</v>
      </c>
      <c r="V601">
        <v>1905</v>
      </c>
      <c r="W601">
        <v>0.31969999999999998</v>
      </c>
      <c r="X601" t="s">
        <v>56</v>
      </c>
      <c r="Y601" t="s">
        <v>3159</v>
      </c>
      <c r="Z601">
        <v>2729.97</v>
      </c>
      <c r="AA601">
        <v>125.28</v>
      </c>
      <c r="AB601">
        <v>342020</v>
      </c>
      <c r="AC601" t="b">
        <v>1</v>
      </c>
      <c r="AD601" t="b">
        <v>0</v>
      </c>
      <c r="AE601" t="b">
        <v>0</v>
      </c>
      <c r="AF601" t="b">
        <v>0</v>
      </c>
      <c r="AG601" t="s">
        <v>58</v>
      </c>
      <c r="AH601">
        <v>12</v>
      </c>
      <c r="AI601" t="s">
        <v>59</v>
      </c>
      <c r="AJ601" t="s">
        <v>60</v>
      </c>
      <c r="AK601" t="s">
        <v>252</v>
      </c>
      <c r="AL601" t="s">
        <v>415</v>
      </c>
      <c r="AM601" t="s">
        <v>245</v>
      </c>
      <c r="AN601" t="s">
        <v>63</v>
      </c>
      <c r="AO601" t="s">
        <v>3160</v>
      </c>
      <c r="AP601" t="s">
        <v>3182</v>
      </c>
    </row>
    <row r="602" spans="1:42" x14ac:dyDescent="0.45">
      <c r="A602" t="s">
        <v>2812</v>
      </c>
      <c r="B602" t="s">
        <v>2813</v>
      </c>
      <c r="C602" t="s">
        <v>3152</v>
      </c>
      <c r="D602">
        <v>2019</v>
      </c>
      <c r="E602" t="s">
        <v>45</v>
      </c>
      <c r="F602" t="s">
        <v>2020</v>
      </c>
      <c r="G602">
        <v>2</v>
      </c>
      <c r="J602" t="s">
        <v>3186</v>
      </c>
      <c r="K602" t="s">
        <v>3187</v>
      </c>
      <c r="L602" t="s">
        <v>3188</v>
      </c>
      <c r="M602" t="s">
        <v>3189</v>
      </c>
      <c r="N602" t="s">
        <v>2829</v>
      </c>
      <c r="O602" t="s">
        <v>2830</v>
      </c>
      <c r="P602" t="s">
        <v>2027</v>
      </c>
      <c r="Q602" t="s">
        <v>3157</v>
      </c>
      <c r="S602">
        <v>11</v>
      </c>
      <c r="T602" t="s">
        <v>3190</v>
      </c>
      <c r="U602">
        <v>515</v>
      </c>
      <c r="V602">
        <v>1905</v>
      </c>
      <c r="W602">
        <v>0.27029999999999998</v>
      </c>
      <c r="X602" t="s">
        <v>56</v>
      </c>
      <c r="Y602" t="s">
        <v>3159</v>
      </c>
      <c r="Z602">
        <v>2771.97</v>
      </c>
      <c r="AA602">
        <v>348.17</v>
      </c>
      <c r="AB602">
        <v>965120</v>
      </c>
      <c r="AC602" t="b">
        <v>1</v>
      </c>
      <c r="AD602" t="b">
        <v>0</v>
      </c>
      <c r="AE602" t="b">
        <v>0</v>
      </c>
      <c r="AF602" t="b">
        <v>0</v>
      </c>
      <c r="AG602" t="s">
        <v>58</v>
      </c>
      <c r="AH602">
        <v>12</v>
      </c>
      <c r="AI602" t="s">
        <v>59</v>
      </c>
      <c r="AJ602" t="s">
        <v>60</v>
      </c>
      <c r="AK602" t="s">
        <v>252</v>
      </c>
      <c r="AL602" t="s">
        <v>415</v>
      </c>
      <c r="AM602" t="s">
        <v>245</v>
      </c>
      <c r="AN602" t="s">
        <v>63</v>
      </c>
      <c r="AO602" t="s">
        <v>3160</v>
      </c>
      <c r="AP602" t="s">
        <v>3187</v>
      </c>
    </row>
    <row r="603" spans="1:42" x14ac:dyDescent="0.45">
      <c r="A603" t="s">
        <v>2812</v>
      </c>
      <c r="B603" t="s">
        <v>2813</v>
      </c>
      <c r="C603" t="s">
        <v>3152</v>
      </c>
      <c r="D603">
        <v>2019</v>
      </c>
      <c r="E603" t="s">
        <v>45</v>
      </c>
      <c r="F603" t="s">
        <v>2020</v>
      </c>
      <c r="G603">
        <v>6</v>
      </c>
      <c r="J603" t="s">
        <v>3191</v>
      </c>
      <c r="K603" t="s">
        <v>3192</v>
      </c>
      <c r="L603" t="s">
        <v>3193</v>
      </c>
      <c r="M603" t="s">
        <v>3194</v>
      </c>
      <c r="N603" t="s">
        <v>2829</v>
      </c>
      <c r="O603" t="s">
        <v>2830</v>
      </c>
      <c r="P603" t="s">
        <v>2027</v>
      </c>
      <c r="Q603" t="s">
        <v>3157</v>
      </c>
      <c r="S603">
        <v>5</v>
      </c>
      <c r="T603" t="s">
        <v>3175</v>
      </c>
      <c r="U603">
        <v>1862</v>
      </c>
      <c r="V603">
        <v>1905</v>
      </c>
      <c r="W603">
        <v>0.97740000000000005</v>
      </c>
      <c r="X603" t="s">
        <v>70</v>
      </c>
      <c r="Y603" t="s">
        <v>3159</v>
      </c>
      <c r="Z603">
        <v>2741.97</v>
      </c>
      <c r="AA603">
        <v>1570.71</v>
      </c>
      <c r="AB603">
        <v>4306854</v>
      </c>
      <c r="AC603" t="b">
        <v>1</v>
      </c>
      <c r="AD603" t="b">
        <v>1</v>
      </c>
      <c r="AE603" t="b">
        <v>0</v>
      </c>
      <c r="AF603" t="b">
        <v>0</v>
      </c>
      <c r="AG603" t="s">
        <v>58</v>
      </c>
      <c r="AH603">
        <v>14</v>
      </c>
      <c r="AI603" t="s">
        <v>59</v>
      </c>
      <c r="AJ603" t="s">
        <v>71</v>
      </c>
      <c r="AL603" t="s">
        <v>244</v>
      </c>
      <c r="AM603" t="s">
        <v>245</v>
      </c>
      <c r="AN603" t="s">
        <v>63</v>
      </c>
      <c r="AO603" t="s">
        <v>3160</v>
      </c>
      <c r="AP603" t="s">
        <v>3192</v>
      </c>
    </row>
    <row r="604" spans="1:42" x14ac:dyDescent="0.45">
      <c r="A604" t="s">
        <v>2812</v>
      </c>
      <c r="B604" t="s">
        <v>2813</v>
      </c>
      <c r="C604" t="s">
        <v>3152</v>
      </c>
      <c r="D604">
        <v>2019</v>
      </c>
      <c r="E604" t="s">
        <v>45</v>
      </c>
      <c r="F604" t="s">
        <v>2020</v>
      </c>
      <c r="G604">
        <v>1</v>
      </c>
      <c r="J604" t="s">
        <v>3195</v>
      </c>
      <c r="K604" t="s">
        <v>3196</v>
      </c>
      <c r="L604" t="s">
        <v>3197</v>
      </c>
      <c r="M604" t="s">
        <v>3198</v>
      </c>
      <c r="N604" t="s">
        <v>2829</v>
      </c>
      <c r="O604" t="s">
        <v>2830</v>
      </c>
      <c r="P604" t="s">
        <v>2027</v>
      </c>
      <c r="Q604" t="s">
        <v>3157</v>
      </c>
      <c r="S604">
        <v>0</v>
      </c>
      <c r="T604" t="s">
        <v>3199</v>
      </c>
      <c r="U604">
        <v>1754</v>
      </c>
      <c r="V604">
        <v>1905</v>
      </c>
      <c r="W604">
        <v>0.92069999999999996</v>
      </c>
      <c r="X604" t="s">
        <v>70</v>
      </c>
      <c r="Y604" t="s">
        <v>3159</v>
      </c>
      <c r="Z604">
        <v>2776.97</v>
      </c>
      <c r="AA604">
        <v>3450.12</v>
      </c>
      <c r="AB604">
        <v>9580889</v>
      </c>
      <c r="AC604" t="b">
        <v>1</v>
      </c>
      <c r="AD604" t="b">
        <v>1</v>
      </c>
      <c r="AE604" t="b">
        <v>0</v>
      </c>
      <c r="AF604" t="b">
        <v>0</v>
      </c>
      <c r="AG604" t="s">
        <v>58</v>
      </c>
      <c r="AH604">
        <v>14</v>
      </c>
      <c r="AI604" t="s">
        <v>59</v>
      </c>
      <c r="AJ604" t="s">
        <v>71</v>
      </c>
      <c r="AL604" t="s">
        <v>244</v>
      </c>
      <c r="AM604" t="s">
        <v>245</v>
      </c>
      <c r="AN604" t="s">
        <v>63</v>
      </c>
      <c r="AO604" t="s">
        <v>3160</v>
      </c>
      <c r="AP604" t="s">
        <v>3196</v>
      </c>
    </row>
    <row r="605" spans="1:42" x14ac:dyDescent="0.45">
      <c r="A605" t="s">
        <v>2812</v>
      </c>
      <c r="B605" t="s">
        <v>2813</v>
      </c>
      <c r="C605" t="s">
        <v>3152</v>
      </c>
      <c r="D605">
        <v>2019</v>
      </c>
      <c r="E605" t="s">
        <v>45</v>
      </c>
      <c r="F605" t="s">
        <v>2020</v>
      </c>
      <c r="G605">
        <v>2</v>
      </c>
      <c r="J605" t="s">
        <v>3200</v>
      </c>
      <c r="K605" t="s">
        <v>3201</v>
      </c>
      <c r="L605" t="s">
        <v>3202</v>
      </c>
      <c r="M605" t="s">
        <v>3203</v>
      </c>
      <c r="N605" t="s">
        <v>2829</v>
      </c>
      <c r="O605" t="s">
        <v>2830</v>
      </c>
      <c r="P605" t="s">
        <v>2027</v>
      </c>
      <c r="Q605" t="s">
        <v>3157</v>
      </c>
      <c r="S605">
        <v>1</v>
      </c>
      <c r="T605" t="s">
        <v>3204</v>
      </c>
      <c r="U605">
        <v>1858</v>
      </c>
      <c r="V605">
        <v>1905</v>
      </c>
      <c r="W605">
        <v>0.97529999999999994</v>
      </c>
      <c r="X605" t="s">
        <v>70</v>
      </c>
      <c r="Y605" t="s">
        <v>3159</v>
      </c>
      <c r="Z605">
        <v>2769.97</v>
      </c>
      <c r="AA605">
        <v>1272.82</v>
      </c>
      <c r="AB605">
        <v>3525685</v>
      </c>
      <c r="AC605" t="b">
        <v>1</v>
      </c>
      <c r="AD605" t="b">
        <v>1</v>
      </c>
      <c r="AE605" t="b">
        <v>0</v>
      </c>
      <c r="AF605" t="b">
        <v>0</v>
      </c>
      <c r="AG605" t="s">
        <v>58</v>
      </c>
      <c r="AH605">
        <v>14</v>
      </c>
      <c r="AI605" t="s">
        <v>59</v>
      </c>
      <c r="AJ605" t="s">
        <v>71</v>
      </c>
      <c r="AL605" t="s">
        <v>244</v>
      </c>
      <c r="AM605" t="s">
        <v>245</v>
      </c>
      <c r="AN605" t="s">
        <v>63</v>
      </c>
      <c r="AO605" t="s">
        <v>3160</v>
      </c>
      <c r="AP605" t="s">
        <v>3201</v>
      </c>
    </row>
    <row r="606" spans="1:42" x14ac:dyDescent="0.45">
      <c r="A606" t="s">
        <v>2812</v>
      </c>
      <c r="B606" t="s">
        <v>2813</v>
      </c>
      <c r="C606" t="s">
        <v>3152</v>
      </c>
      <c r="D606">
        <v>2019</v>
      </c>
      <c r="E606" t="s">
        <v>45</v>
      </c>
      <c r="F606" t="s">
        <v>2020</v>
      </c>
      <c r="G606">
        <v>3</v>
      </c>
      <c r="J606" t="s">
        <v>3205</v>
      </c>
      <c r="K606" t="s">
        <v>3206</v>
      </c>
      <c r="L606" t="s">
        <v>3207</v>
      </c>
      <c r="M606" t="s">
        <v>3208</v>
      </c>
      <c r="N606" t="s">
        <v>2829</v>
      </c>
      <c r="O606" t="s">
        <v>2830</v>
      </c>
      <c r="P606" t="s">
        <v>2027</v>
      </c>
      <c r="Q606" t="s">
        <v>3157</v>
      </c>
      <c r="S606">
        <v>2</v>
      </c>
      <c r="T606" t="s">
        <v>3209</v>
      </c>
      <c r="U606">
        <v>2000</v>
      </c>
      <c r="V606">
        <v>1905</v>
      </c>
      <c r="W606">
        <v>1.0499000000000001</v>
      </c>
      <c r="X606" t="s">
        <v>70</v>
      </c>
      <c r="Y606" t="s">
        <v>3159</v>
      </c>
      <c r="Z606">
        <v>2762.97</v>
      </c>
      <c r="AA606">
        <v>789.97</v>
      </c>
      <c r="AB606">
        <v>2182671</v>
      </c>
      <c r="AC606" t="b">
        <v>1</v>
      </c>
      <c r="AD606" t="b">
        <v>1</v>
      </c>
      <c r="AE606" t="b">
        <v>0</v>
      </c>
      <c r="AF606" t="b">
        <v>0</v>
      </c>
      <c r="AG606" t="s">
        <v>58</v>
      </c>
      <c r="AH606">
        <v>14</v>
      </c>
      <c r="AI606" t="s">
        <v>59</v>
      </c>
      <c r="AJ606" t="s">
        <v>71</v>
      </c>
      <c r="AL606" t="s">
        <v>244</v>
      </c>
      <c r="AM606" t="s">
        <v>245</v>
      </c>
      <c r="AN606" t="s">
        <v>63</v>
      </c>
      <c r="AO606" t="s">
        <v>3160</v>
      </c>
      <c r="AP606" t="s">
        <v>3206</v>
      </c>
    </row>
    <row r="607" spans="1:42" x14ac:dyDescent="0.45">
      <c r="A607" t="s">
        <v>2812</v>
      </c>
      <c r="B607" t="s">
        <v>2813</v>
      </c>
      <c r="C607" t="s">
        <v>3152</v>
      </c>
      <c r="D607">
        <v>2019</v>
      </c>
      <c r="E607" t="s">
        <v>45</v>
      </c>
      <c r="F607" t="s">
        <v>2020</v>
      </c>
      <c r="J607" t="s">
        <v>3210</v>
      </c>
      <c r="K607" t="s">
        <v>3211</v>
      </c>
      <c r="L607" t="s">
        <v>3212</v>
      </c>
      <c r="M607" t="s">
        <v>3213</v>
      </c>
      <c r="N607" t="s">
        <v>2829</v>
      </c>
      <c r="O607" t="s">
        <v>2830</v>
      </c>
      <c r="P607" t="s">
        <v>2027</v>
      </c>
      <c r="Q607" t="s">
        <v>3157</v>
      </c>
      <c r="S607">
        <v>9</v>
      </c>
      <c r="T607" t="s">
        <v>3214</v>
      </c>
      <c r="U607">
        <v>132</v>
      </c>
      <c r="V607">
        <v>1905</v>
      </c>
      <c r="W607">
        <v>6.93E-2</v>
      </c>
      <c r="X607" t="s">
        <v>56</v>
      </c>
      <c r="Y607" t="s">
        <v>3159</v>
      </c>
      <c r="Z607">
        <v>2777.77</v>
      </c>
      <c r="AA607">
        <v>499.03</v>
      </c>
      <c r="AB607">
        <v>1386197</v>
      </c>
      <c r="AC607" t="b">
        <v>0</v>
      </c>
      <c r="AD607" t="b">
        <v>0</v>
      </c>
      <c r="AE607" t="b">
        <v>0</v>
      </c>
      <c r="AF607" t="b">
        <v>0</v>
      </c>
      <c r="AG607" t="s">
        <v>58</v>
      </c>
      <c r="AH607">
        <v>8</v>
      </c>
      <c r="AI607" t="s">
        <v>169</v>
      </c>
      <c r="AJ607" t="s">
        <v>60</v>
      </c>
      <c r="AL607" t="s">
        <v>380</v>
      </c>
      <c r="AM607" t="s">
        <v>245</v>
      </c>
      <c r="AN607" t="s">
        <v>63</v>
      </c>
      <c r="AO607" t="s">
        <v>3160</v>
      </c>
      <c r="AP607" t="s">
        <v>3211</v>
      </c>
    </row>
    <row r="608" spans="1:42" x14ac:dyDescent="0.45">
      <c r="A608" t="s">
        <v>2812</v>
      </c>
      <c r="B608" t="s">
        <v>2813</v>
      </c>
      <c r="C608" t="s">
        <v>3152</v>
      </c>
      <c r="D608">
        <v>2019</v>
      </c>
      <c r="E608" t="s">
        <v>45</v>
      </c>
      <c r="F608" t="s">
        <v>2020</v>
      </c>
      <c r="G608">
        <v>8</v>
      </c>
      <c r="J608" t="s">
        <v>3215</v>
      </c>
      <c r="K608" t="s">
        <v>3216</v>
      </c>
      <c r="L608" t="s">
        <v>3217</v>
      </c>
      <c r="M608" t="s">
        <v>3218</v>
      </c>
      <c r="N608" t="s">
        <v>2829</v>
      </c>
      <c r="O608" t="s">
        <v>2830</v>
      </c>
      <c r="P608" t="s">
        <v>2027</v>
      </c>
      <c r="Q608" t="s">
        <v>3157</v>
      </c>
      <c r="S608">
        <v>7</v>
      </c>
      <c r="T608" t="s">
        <v>3219</v>
      </c>
      <c r="U608">
        <v>1971</v>
      </c>
      <c r="V608">
        <v>1905</v>
      </c>
      <c r="W608">
        <v>1.0346</v>
      </c>
      <c r="X608" t="s">
        <v>70</v>
      </c>
      <c r="Y608" t="s">
        <v>3159</v>
      </c>
      <c r="Z608">
        <v>2727.94</v>
      </c>
      <c r="AA608">
        <v>551.30999999999995</v>
      </c>
      <c r="AB608">
        <v>1503931</v>
      </c>
      <c r="AC608" t="b">
        <v>1</v>
      </c>
      <c r="AD608" t="b">
        <v>1</v>
      </c>
      <c r="AE608" t="b">
        <v>0</v>
      </c>
      <c r="AF608" t="b">
        <v>0</v>
      </c>
      <c r="AG608" t="s">
        <v>58</v>
      </c>
      <c r="AH608">
        <v>14</v>
      </c>
      <c r="AI608" t="s">
        <v>59</v>
      </c>
      <c r="AJ608" t="s">
        <v>71</v>
      </c>
      <c r="AL608" t="s">
        <v>244</v>
      </c>
      <c r="AM608" t="s">
        <v>245</v>
      </c>
      <c r="AN608" t="s">
        <v>63</v>
      </c>
      <c r="AO608" t="s">
        <v>3160</v>
      </c>
      <c r="AP608" t="s">
        <v>3216</v>
      </c>
    </row>
    <row r="609" spans="1:42" x14ac:dyDescent="0.45">
      <c r="A609" t="s">
        <v>2812</v>
      </c>
      <c r="B609" t="s">
        <v>2813</v>
      </c>
      <c r="C609" t="s">
        <v>3152</v>
      </c>
      <c r="D609">
        <v>2019</v>
      </c>
      <c r="E609" t="s">
        <v>45</v>
      </c>
      <c r="F609" t="s">
        <v>2020</v>
      </c>
      <c r="G609">
        <v>5</v>
      </c>
      <c r="J609" t="s">
        <v>3220</v>
      </c>
      <c r="K609" t="s">
        <v>3221</v>
      </c>
      <c r="L609" t="s">
        <v>3222</v>
      </c>
      <c r="M609" t="s">
        <v>3223</v>
      </c>
      <c r="N609" t="s">
        <v>2829</v>
      </c>
      <c r="O609" t="s">
        <v>2830</v>
      </c>
      <c r="P609" t="s">
        <v>2027</v>
      </c>
      <c r="Q609" t="s">
        <v>3157</v>
      </c>
      <c r="S609">
        <v>15</v>
      </c>
      <c r="T609" t="s">
        <v>3224</v>
      </c>
      <c r="U609">
        <v>54</v>
      </c>
      <c r="V609">
        <v>1905</v>
      </c>
      <c r="W609">
        <v>2.8299999999999999E-2</v>
      </c>
      <c r="X609" t="s">
        <v>56</v>
      </c>
      <c r="Y609" t="s">
        <v>3159</v>
      </c>
      <c r="Z609">
        <v>2749.97</v>
      </c>
      <c r="AA609">
        <v>17.34</v>
      </c>
      <c r="AB609">
        <v>47682</v>
      </c>
      <c r="AC609" t="b">
        <v>0</v>
      </c>
      <c r="AD609" t="b">
        <v>0</v>
      </c>
      <c r="AE609" t="b">
        <v>0</v>
      </c>
      <c r="AF609" t="b">
        <v>0</v>
      </c>
      <c r="AG609" t="s">
        <v>58</v>
      </c>
      <c r="AH609">
        <v>-15</v>
      </c>
      <c r="AI609" t="s">
        <v>59</v>
      </c>
      <c r="AJ609" t="s">
        <v>60</v>
      </c>
      <c r="AK609" t="s">
        <v>162</v>
      </c>
      <c r="AL609" t="s">
        <v>163</v>
      </c>
      <c r="AM609" t="s">
        <v>245</v>
      </c>
      <c r="AN609" t="s">
        <v>63</v>
      </c>
      <c r="AO609" t="s">
        <v>3160</v>
      </c>
      <c r="AP609" t="s">
        <v>3221</v>
      </c>
    </row>
    <row r="610" spans="1:42" x14ac:dyDescent="0.45">
      <c r="A610" t="s">
        <v>2812</v>
      </c>
      <c r="B610" t="s">
        <v>2813</v>
      </c>
      <c r="C610" t="s">
        <v>3152</v>
      </c>
      <c r="D610">
        <v>2019</v>
      </c>
      <c r="E610" t="s">
        <v>45</v>
      </c>
      <c r="F610" t="s">
        <v>2020</v>
      </c>
      <c r="G610">
        <v>7</v>
      </c>
      <c r="J610" t="s">
        <v>3225</v>
      </c>
      <c r="K610" t="s">
        <v>3226</v>
      </c>
      <c r="L610" t="s">
        <v>3227</v>
      </c>
      <c r="M610" t="s">
        <v>3228</v>
      </c>
      <c r="N610" t="s">
        <v>2829</v>
      </c>
      <c r="O610" t="s">
        <v>2830</v>
      </c>
      <c r="P610" t="s">
        <v>2027</v>
      </c>
      <c r="Q610" t="s">
        <v>3157</v>
      </c>
      <c r="S610">
        <v>6</v>
      </c>
      <c r="T610" t="s">
        <v>3229</v>
      </c>
      <c r="U610">
        <v>1957</v>
      </c>
      <c r="V610">
        <v>1905</v>
      </c>
      <c r="W610">
        <v>1.0273000000000001</v>
      </c>
      <c r="X610" t="s">
        <v>70</v>
      </c>
      <c r="Y610" t="s">
        <v>3159</v>
      </c>
      <c r="Z610">
        <v>2734.97</v>
      </c>
      <c r="AA610">
        <v>633.49</v>
      </c>
      <c r="AB610">
        <v>1732575</v>
      </c>
      <c r="AC610" t="b">
        <v>1</v>
      </c>
      <c r="AD610" t="b">
        <v>1</v>
      </c>
      <c r="AE610" t="b">
        <v>0</v>
      </c>
      <c r="AF610" t="b">
        <v>0</v>
      </c>
      <c r="AG610" t="s">
        <v>58</v>
      </c>
      <c r="AH610">
        <v>14</v>
      </c>
      <c r="AI610" t="s">
        <v>59</v>
      </c>
      <c r="AJ610" t="s">
        <v>71</v>
      </c>
      <c r="AL610" t="s">
        <v>244</v>
      </c>
      <c r="AM610" t="s">
        <v>245</v>
      </c>
      <c r="AN610" t="s">
        <v>63</v>
      </c>
      <c r="AO610" t="s">
        <v>3160</v>
      </c>
      <c r="AP610" t="s">
        <v>3226</v>
      </c>
    </row>
    <row r="611" spans="1:42" x14ac:dyDescent="0.45">
      <c r="A611" t="s">
        <v>2812</v>
      </c>
      <c r="B611" t="s">
        <v>2813</v>
      </c>
      <c r="C611" t="s">
        <v>3152</v>
      </c>
      <c r="D611">
        <v>2019</v>
      </c>
      <c r="E611" t="s">
        <v>45</v>
      </c>
      <c r="F611" t="s">
        <v>2020</v>
      </c>
      <c r="G611">
        <v>5</v>
      </c>
      <c r="J611" t="s">
        <v>3230</v>
      </c>
      <c r="K611" t="s">
        <v>3231</v>
      </c>
      <c r="L611" t="s">
        <v>3232</v>
      </c>
      <c r="M611" t="s">
        <v>3233</v>
      </c>
      <c r="N611" t="s">
        <v>2829</v>
      </c>
      <c r="O611" t="s">
        <v>2830</v>
      </c>
      <c r="P611" t="s">
        <v>2027</v>
      </c>
      <c r="Q611" t="s">
        <v>3157</v>
      </c>
      <c r="S611">
        <v>4</v>
      </c>
      <c r="T611" t="s">
        <v>3234</v>
      </c>
      <c r="U611">
        <v>1948</v>
      </c>
      <c r="V611">
        <v>1905</v>
      </c>
      <c r="W611">
        <v>1.0226</v>
      </c>
      <c r="X611" t="s">
        <v>70</v>
      </c>
      <c r="Y611" t="s">
        <v>3159</v>
      </c>
      <c r="Z611">
        <v>2748.97</v>
      </c>
      <c r="AA611">
        <v>877.33</v>
      </c>
      <c r="AB611">
        <v>2411744</v>
      </c>
      <c r="AC611" t="b">
        <v>1</v>
      </c>
      <c r="AD611" t="b">
        <v>1</v>
      </c>
      <c r="AE611" t="b">
        <v>0</v>
      </c>
      <c r="AF611" t="b">
        <v>0</v>
      </c>
      <c r="AG611" t="s">
        <v>58</v>
      </c>
      <c r="AH611">
        <v>14</v>
      </c>
      <c r="AI611" t="s">
        <v>59</v>
      </c>
      <c r="AJ611" t="s">
        <v>71</v>
      </c>
      <c r="AL611" t="s">
        <v>244</v>
      </c>
      <c r="AM611" t="s">
        <v>245</v>
      </c>
      <c r="AN611" t="s">
        <v>63</v>
      </c>
      <c r="AO611" t="s">
        <v>3160</v>
      </c>
      <c r="AP611" t="s">
        <v>3231</v>
      </c>
    </row>
    <row r="612" spans="1:42" x14ac:dyDescent="0.45">
      <c r="A612" t="s">
        <v>2812</v>
      </c>
      <c r="B612" t="s">
        <v>2813</v>
      </c>
      <c r="C612" t="s">
        <v>3152</v>
      </c>
      <c r="D612">
        <v>2019</v>
      </c>
      <c r="E612" t="s">
        <v>45</v>
      </c>
      <c r="F612" t="s">
        <v>2020</v>
      </c>
      <c r="G612">
        <v>4</v>
      </c>
      <c r="J612" t="s">
        <v>3235</v>
      </c>
      <c r="K612" t="s">
        <v>3236</v>
      </c>
      <c r="L612" t="s">
        <v>3237</v>
      </c>
      <c r="M612" t="s">
        <v>3238</v>
      </c>
      <c r="N612" t="s">
        <v>2829</v>
      </c>
      <c r="O612" t="s">
        <v>2830</v>
      </c>
      <c r="P612" t="s">
        <v>2027</v>
      </c>
      <c r="Q612" t="s">
        <v>3157</v>
      </c>
      <c r="S612">
        <v>14</v>
      </c>
      <c r="T612" t="s">
        <v>3239</v>
      </c>
      <c r="U612">
        <v>65</v>
      </c>
      <c r="V612">
        <v>1905</v>
      </c>
      <c r="W612">
        <v>3.4099999999999998E-2</v>
      </c>
      <c r="X612" t="s">
        <v>56</v>
      </c>
      <c r="Y612" t="s">
        <v>3159</v>
      </c>
      <c r="Z612">
        <v>2756.97</v>
      </c>
      <c r="AA612">
        <v>17.46</v>
      </c>
      <c r="AB612">
        <v>48146</v>
      </c>
      <c r="AC612" t="b">
        <v>0</v>
      </c>
      <c r="AD612" t="b">
        <v>0</v>
      </c>
      <c r="AE612" t="b">
        <v>0</v>
      </c>
      <c r="AF612" t="b">
        <v>0</v>
      </c>
      <c r="AG612" t="s">
        <v>58</v>
      </c>
      <c r="AH612">
        <v>-15</v>
      </c>
      <c r="AI612" t="s">
        <v>59</v>
      </c>
      <c r="AJ612" t="s">
        <v>60</v>
      </c>
      <c r="AK612" t="s">
        <v>162</v>
      </c>
      <c r="AL612" t="s">
        <v>163</v>
      </c>
      <c r="AM612" t="s">
        <v>245</v>
      </c>
      <c r="AN612" t="s">
        <v>63</v>
      </c>
      <c r="AO612" t="s">
        <v>3160</v>
      </c>
      <c r="AP612" t="s">
        <v>3236</v>
      </c>
    </row>
    <row r="613" spans="1:42" x14ac:dyDescent="0.45">
      <c r="A613" t="s">
        <v>2812</v>
      </c>
      <c r="B613" t="s">
        <v>2813</v>
      </c>
      <c r="C613" t="s">
        <v>3152</v>
      </c>
      <c r="D613">
        <v>2019</v>
      </c>
      <c r="E613" t="s">
        <v>45</v>
      </c>
      <c r="F613" t="s">
        <v>2020</v>
      </c>
      <c r="J613" t="s">
        <v>3240</v>
      </c>
      <c r="K613" t="s">
        <v>3241</v>
      </c>
      <c r="L613" t="s">
        <v>3242</v>
      </c>
      <c r="M613" t="s">
        <v>3243</v>
      </c>
      <c r="N613" t="s">
        <v>2829</v>
      </c>
      <c r="O613" t="s">
        <v>2830</v>
      </c>
      <c r="P613" t="s">
        <v>2027</v>
      </c>
      <c r="Q613" t="s">
        <v>3157</v>
      </c>
      <c r="S613">
        <v>8</v>
      </c>
      <c r="T613" t="s">
        <v>3244</v>
      </c>
      <c r="U613">
        <v>626</v>
      </c>
      <c r="V613">
        <v>1905</v>
      </c>
      <c r="W613">
        <v>0.3286</v>
      </c>
      <c r="X613" t="s">
        <v>56</v>
      </c>
      <c r="Y613" t="s">
        <v>3159</v>
      </c>
      <c r="Z613">
        <v>2766.97</v>
      </c>
      <c r="AA613">
        <v>230.22</v>
      </c>
      <c r="AB613">
        <v>637013</v>
      </c>
      <c r="AC613" t="b">
        <v>0</v>
      </c>
      <c r="AD613" t="b">
        <v>0</v>
      </c>
      <c r="AE613" t="b">
        <v>0</v>
      </c>
      <c r="AF613" t="b">
        <v>0</v>
      </c>
      <c r="AG613" t="s">
        <v>58</v>
      </c>
      <c r="AH613">
        <v>8</v>
      </c>
      <c r="AI613" t="s">
        <v>169</v>
      </c>
      <c r="AJ613" t="s">
        <v>60</v>
      </c>
      <c r="AL613" t="s">
        <v>380</v>
      </c>
      <c r="AM613" t="s">
        <v>245</v>
      </c>
      <c r="AN613" t="s">
        <v>63</v>
      </c>
      <c r="AO613" t="s">
        <v>3160</v>
      </c>
      <c r="AP613" t="s">
        <v>3241</v>
      </c>
    </row>
    <row r="614" spans="1:42" x14ac:dyDescent="0.45">
      <c r="A614" t="s">
        <v>2812</v>
      </c>
      <c r="B614" t="s">
        <v>2813</v>
      </c>
      <c r="C614" t="s">
        <v>3152</v>
      </c>
      <c r="D614">
        <v>2019</v>
      </c>
      <c r="E614" t="s">
        <v>45</v>
      </c>
      <c r="F614" t="s">
        <v>2020</v>
      </c>
      <c r="G614">
        <v>4</v>
      </c>
      <c r="J614" t="s">
        <v>3245</v>
      </c>
      <c r="K614" t="s">
        <v>3246</v>
      </c>
      <c r="L614" t="s">
        <v>3247</v>
      </c>
      <c r="M614" t="s">
        <v>3248</v>
      </c>
      <c r="N614" t="s">
        <v>2829</v>
      </c>
      <c r="O614" t="s">
        <v>2830</v>
      </c>
      <c r="P614" t="s">
        <v>2027</v>
      </c>
      <c r="Q614" t="s">
        <v>3157</v>
      </c>
      <c r="S614">
        <v>3</v>
      </c>
      <c r="T614" t="s">
        <v>3249</v>
      </c>
      <c r="U614">
        <v>1715</v>
      </c>
      <c r="V614">
        <v>1905</v>
      </c>
      <c r="W614">
        <v>0.90029999999999999</v>
      </c>
      <c r="X614" t="s">
        <v>70</v>
      </c>
      <c r="Y614" t="s">
        <v>3159</v>
      </c>
      <c r="Z614">
        <v>2755.97</v>
      </c>
      <c r="AA614">
        <v>799.19</v>
      </c>
      <c r="AB614">
        <v>2202551</v>
      </c>
      <c r="AC614" t="b">
        <v>1</v>
      </c>
      <c r="AD614" t="b">
        <v>1</v>
      </c>
      <c r="AE614" t="b">
        <v>0</v>
      </c>
      <c r="AF614" t="b">
        <v>0</v>
      </c>
      <c r="AG614" t="s">
        <v>58</v>
      </c>
      <c r="AH614">
        <v>14</v>
      </c>
      <c r="AI614" t="s">
        <v>59</v>
      </c>
      <c r="AJ614" t="s">
        <v>71</v>
      </c>
      <c r="AL614" t="s">
        <v>244</v>
      </c>
      <c r="AM614" t="s">
        <v>245</v>
      </c>
      <c r="AN614" t="s">
        <v>63</v>
      </c>
      <c r="AO614" t="s">
        <v>3160</v>
      </c>
      <c r="AP614" t="s">
        <v>3246</v>
      </c>
    </row>
    <row r="615" spans="1:42" x14ac:dyDescent="0.45">
      <c r="A615" t="s">
        <v>2812</v>
      </c>
      <c r="B615" t="s">
        <v>2813</v>
      </c>
      <c r="C615" t="s">
        <v>3250</v>
      </c>
      <c r="D615">
        <v>2020</v>
      </c>
      <c r="E615" t="s">
        <v>45</v>
      </c>
      <c r="F615" t="s">
        <v>2020</v>
      </c>
      <c r="G615">
        <v>11</v>
      </c>
      <c r="J615" t="s">
        <v>3251</v>
      </c>
      <c r="K615" t="s">
        <v>3252</v>
      </c>
      <c r="L615" t="s">
        <v>3253</v>
      </c>
      <c r="M615" t="s">
        <v>3254</v>
      </c>
      <c r="N615" t="s">
        <v>2829</v>
      </c>
      <c r="O615" t="s">
        <v>2830</v>
      </c>
      <c r="P615" t="s">
        <v>2027</v>
      </c>
      <c r="Q615" t="s">
        <v>3255</v>
      </c>
      <c r="S615">
        <v>16</v>
      </c>
      <c r="T615" t="s">
        <v>3256</v>
      </c>
      <c r="U615">
        <v>5003</v>
      </c>
      <c r="V615">
        <v>2625</v>
      </c>
      <c r="W615">
        <v>1.9058999999999999</v>
      </c>
      <c r="X615" t="s">
        <v>242</v>
      </c>
      <c r="Y615" t="s">
        <v>3257</v>
      </c>
      <c r="Z615">
        <v>2005.18</v>
      </c>
      <c r="AA615">
        <v>4940.8999999999996</v>
      </c>
      <c r="AB615">
        <v>9907405</v>
      </c>
      <c r="AC615" t="b">
        <v>0</v>
      </c>
      <c r="AD615" t="b">
        <v>0</v>
      </c>
      <c r="AE615" t="b">
        <v>0</v>
      </c>
      <c r="AF615" t="b">
        <v>0</v>
      </c>
      <c r="AG615" t="s">
        <v>58</v>
      </c>
      <c r="AH615">
        <v>-15</v>
      </c>
      <c r="AI615" t="s">
        <v>59</v>
      </c>
      <c r="AJ615" t="s">
        <v>60</v>
      </c>
      <c r="AK615" t="s">
        <v>333</v>
      </c>
      <c r="AL615" t="s">
        <v>334</v>
      </c>
      <c r="AM615" t="s">
        <v>245</v>
      </c>
      <c r="AN615" t="s">
        <v>63</v>
      </c>
      <c r="AO615" t="s">
        <v>3258</v>
      </c>
      <c r="AP615" t="s">
        <v>3252</v>
      </c>
    </row>
    <row r="616" spans="1:42" x14ac:dyDescent="0.45">
      <c r="A616" t="s">
        <v>2812</v>
      </c>
      <c r="B616" t="s">
        <v>2813</v>
      </c>
      <c r="C616" t="s">
        <v>3250</v>
      </c>
      <c r="D616">
        <v>2020</v>
      </c>
      <c r="E616" t="s">
        <v>45</v>
      </c>
      <c r="F616" t="s">
        <v>2020</v>
      </c>
      <c r="G616">
        <v>10</v>
      </c>
      <c r="J616" t="s">
        <v>3259</v>
      </c>
      <c r="K616" t="s">
        <v>3260</v>
      </c>
      <c r="L616" t="s">
        <v>3261</v>
      </c>
      <c r="M616" t="s">
        <v>3262</v>
      </c>
      <c r="N616" t="s">
        <v>2829</v>
      </c>
      <c r="O616" t="s">
        <v>2830</v>
      </c>
      <c r="P616" t="s">
        <v>2027</v>
      </c>
      <c r="Q616" t="s">
        <v>3255</v>
      </c>
      <c r="S616">
        <v>20</v>
      </c>
      <c r="T616" t="s">
        <v>3263</v>
      </c>
      <c r="U616">
        <v>135</v>
      </c>
      <c r="V616">
        <v>2625</v>
      </c>
      <c r="W616">
        <v>5.1400000000000001E-2</v>
      </c>
      <c r="X616" t="s">
        <v>56</v>
      </c>
      <c r="Y616" t="s">
        <v>3257</v>
      </c>
      <c r="Z616">
        <v>2013.71</v>
      </c>
      <c r="AA616">
        <v>264.14999999999998</v>
      </c>
      <c r="AB616">
        <v>531929</v>
      </c>
      <c r="AC616" t="b">
        <v>1</v>
      </c>
      <c r="AD616" t="b">
        <v>1</v>
      </c>
      <c r="AE616" t="b">
        <v>0</v>
      </c>
      <c r="AF616" t="b">
        <v>0</v>
      </c>
      <c r="AG616" t="s">
        <v>58</v>
      </c>
      <c r="AH616">
        <v>12</v>
      </c>
      <c r="AI616" t="s">
        <v>59</v>
      </c>
      <c r="AJ616" t="s">
        <v>71</v>
      </c>
      <c r="AL616" t="s">
        <v>1988</v>
      </c>
      <c r="AM616" t="s">
        <v>245</v>
      </c>
      <c r="AN616" t="s">
        <v>63</v>
      </c>
      <c r="AO616" t="s">
        <v>3258</v>
      </c>
      <c r="AP616" t="s">
        <v>3260</v>
      </c>
    </row>
    <row r="617" spans="1:42" x14ac:dyDescent="0.45">
      <c r="A617" t="s">
        <v>2812</v>
      </c>
      <c r="B617" t="s">
        <v>2813</v>
      </c>
      <c r="C617" t="s">
        <v>3250</v>
      </c>
      <c r="D617">
        <v>2020</v>
      </c>
      <c r="E617" t="s">
        <v>45</v>
      </c>
      <c r="F617" t="s">
        <v>2020</v>
      </c>
      <c r="G617">
        <v>11</v>
      </c>
      <c r="J617" t="e">
        <v>#NAME?</v>
      </c>
      <c r="K617" t="s">
        <v>3264</v>
      </c>
      <c r="L617" t="s">
        <v>3265</v>
      </c>
      <c r="M617" t="s">
        <v>3266</v>
      </c>
      <c r="N617" t="s">
        <v>2829</v>
      </c>
      <c r="O617" t="s">
        <v>2830</v>
      </c>
      <c r="P617" t="s">
        <v>2027</v>
      </c>
      <c r="Q617" t="s">
        <v>3255</v>
      </c>
      <c r="S617">
        <v>17</v>
      </c>
      <c r="T617" t="s">
        <v>3267</v>
      </c>
      <c r="U617">
        <v>245</v>
      </c>
      <c r="V617">
        <v>2625</v>
      </c>
      <c r="W617">
        <v>9.3299999999999994E-2</v>
      </c>
      <c r="X617" t="s">
        <v>56</v>
      </c>
      <c r="Y617" t="s">
        <v>3257</v>
      </c>
      <c r="Z617">
        <v>2006.76</v>
      </c>
      <c r="AA617">
        <v>310.7</v>
      </c>
      <c r="AB617">
        <v>623507</v>
      </c>
      <c r="AC617" t="b">
        <v>0</v>
      </c>
      <c r="AD617" t="b">
        <v>0</v>
      </c>
      <c r="AE617" t="b">
        <v>0</v>
      </c>
      <c r="AF617" t="b">
        <v>0</v>
      </c>
      <c r="AG617" t="s">
        <v>58</v>
      </c>
      <c r="AH617">
        <v>-15</v>
      </c>
      <c r="AI617" t="s">
        <v>59</v>
      </c>
      <c r="AJ617" t="s">
        <v>60</v>
      </c>
      <c r="AK617" t="s">
        <v>162</v>
      </c>
      <c r="AL617" t="s">
        <v>163</v>
      </c>
      <c r="AM617" t="s">
        <v>245</v>
      </c>
      <c r="AN617" t="s">
        <v>63</v>
      </c>
      <c r="AO617" t="s">
        <v>3258</v>
      </c>
      <c r="AP617" t="s">
        <v>3264</v>
      </c>
    </row>
    <row r="618" spans="1:42" x14ac:dyDescent="0.45">
      <c r="A618" t="s">
        <v>2812</v>
      </c>
      <c r="B618" t="s">
        <v>2813</v>
      </c>
      <c r="C618" t="s">
        <v>3250</v>
      </c>
      <c r="D618">
        <v>2020</v>
      </c>
      <c r="E618" t="s">
        <v>45</v>
      </c>
      <c r="F618" t="s">
        <v>2020</v>
      </c>
      <c r="G618">
        <v>14</v>
      </c>
      <c r="J618" t="s">
        <v>3268</v>
      </c>
      <c r="K618" t="s">
        <v>3269</v>
      </c>
      <c r="L618" t="s">
        <v>3270</v>
      </c>
      <c r="M618" t="s">
        <v>3271</v>
      </c>
      <c r="N618" t="s">
        <v>2829</v>
      </c>
      <c r="O618" t="s">
        <v>2830</v>
      </c>
      <c r="P618" t="s">
        <v>2027</v>
      </c>
      <c r="Q618" t="s">
        <v>3255</v>
      </c>
      <c r="S618">
        <v>11</v>
      </c>
      <c r="T618" t="s">
        <v>3272</v>
      </c>
      <c r="U618">
        <v>376</v>
      </c>
      <c r="V618">
        <v>2625</v>
      </c>
      <c r="W618">
        <v>0.14319999999999999</v>
      </c>
      <c r="X618" t="s">
        <v>56</v>
      </c>
      <c r="Y618" t="s">
        <v>3257</v>
      </c>
      <c r="Z618">
        <v>1984.85</v>
      </c>
      <c r="AA618">
        <v>468.79</v>
      </c>
      <c r="AB618">
        <v>930478</v>
      </c>
      <c r="AC618" t="b">
        <v>0</v>
      </c>
      <c r="AD618" t="b">
        <v>0</v>
      </c>
      <c r="AE618" t="b">
        <v>0</v>
      </c>
      <c r="AF618" t="b">
        <v>0</v>
      </c>
      <c r="AG618" t="s">
        <v>58</v>
      </c>
      <c r="AH618">
        <v>-15</v>
      </c>
      <c r="AI618" t="s">
        <v>59</v>
      </c>
      <c r="AJ618" t="s">
        <v>60</v>
      </c>
      <c r="AK618" t="s">
        <v>162</v>
      </c>
      <c r="AL618" t="s">
        <v>163</v>
      </c>
      <c r="AM618" t="s">
        <v>245</v>
      </c>
      <c r="AN618" t="s">
        <v>63</v>
      </c>
      <c r="AO618" t="s">
        <v>3258</v>
      </c>
      <c r="AP618" t="s">
        <v>3269</v>
      </c>
    </row>
    <row r="619" spans="1:42" x14ac:dyDescent="0.45">
      <c r="A619" t="s">
        <v>2812</v>
      </c>
      <c r="B619" t="s">
        <v>2813</v>
      </c>
      <c r="C619" t="s">
        <v>3250</v>
      </c>
      <c r="D619">
        <v>2020</v>
      </c>
      <c r="E619" t="s">
        <v>45</v>
      </c>
      <c r="F619" t="s">
        <v>2020</v>
      </c>
      <c r="G619">
        <v>9</v>
      </c>
      <c r="J619" t="s">
        <v>3273</v>
      </c>
      <c r="K619" t="s">
        <v>3274</v>
      </c>
      <c r="L619" t="s">
        <v>3275</v>
      </c>
      <c r="M619" t="s">
        <v>3276</v>
      </c>
      <c r="N619" t="s">
        <v>2829</v>
      </c>
      <c r="O619" t="s">
        <v>2830</v>
      </c>
      <c r="P619" t="s">
        <v>2027</v>
      </c>
      <c r="Q619" t="s">
        <v>3255</v>
      </c>
      <c r="S619">
        <v>21</v>
      </c>
      <c r="T619" t="s">
        <v>3277</v>
      </c>
      <c r="U619">
        <v>4205</v>
      </c>
      <c r="V619">
        <v>2625</v>
      </c>
      <c r="W619">
        <v>1.6019000000000001</v>
      </c>
      <c r="X619" t="s">
        <v>242</v>
      </c>
      <c r="Y619" t="s">
        <v>3257</v>
      </c>
      <c r="Z619">
        <v>2019.18</v>
      </c>
      <c r="AA619">
        <v>4336.7299999999996</v>
      </c>
      <c r="AB619">
        <v>8756638</v>
      </c>
      <c r="AC619" t="b">
        <v>0</v>
      </c>
      <c r="AD619" t="b">
        <v>0</v>
      </c>
      <c r="AE619" t="b">
        <v>0</v>
      </c>
      <c r="AF619" t="b">
        <v>0</v>
      </c>
      <c r="AG619" t="s">
        <v>58</v>
      </c>
      <c r="AH619">
        <v>-15</v>
      </c>
      <c r="AI619" t="s">
        <v>59</v>
      </c>
      <c r="AJ619" t="s">
        <v>60</v>
      </c>
      <c r="AK619" t="s">
        <v>333</v>
      </c>
      <c r="AL619" t="s">
        <v>334</v>
      </c>
      <c r="AM619" t="s">
        <v>245</v>
      </c>
      <c r="AN619" t="s">
        <v>63</v>
      </c>
      <c r="AO619" t="s">
        <v>3258</v>
      </c>
      <c r="AP619" t="s">
        <v>3274</v>
      </c>
    </row>
    <row r="620" spans="1:42" x14ac:dyDescent="0.45">
      <c r="A620" t="s">
        <v>2812</v>
      </c>
      <c r="B620" t="s">
        <v>2813</v>
      </c>
      <c r="C620" t="s">
        <v>3250</v>
      </c>
      <c r="D620">
        <v>2020</v>
      </c>
      <c r="E620" t="s">
        <v>45</v>
      </c>
      <c r="F620" t="s">
        <v>2020</v>
      </c>
      <c r="G620">
        <v>10</v>
      </c>
      <c r="J620" t="s">
        <v>3278</v>
      </c>
      <c r="K620" t="s">
        <v>3279</v>
      </c>
      <c r="L620" t="s">
        <v>3280</v>
      </c>
      <c r="M620" t="s">
        <v>3281</v>
      </c>
      <c r="N620" t="s">
        <v>2829</v>
      </c>
      <c r="O620" t="s">
        <v>2830</v>
      </c>
      <c r="P620" t="s">
        <v>2027</v>
      </c>
      <c r="Q620" t="s">
        <v>3255</v>
      </c>
      <c r="S620">
        <v>19</v>
      </c>
      <c r="T620" t="s">
        <v>3282</v>
      </c>
      <c r="U620">
        <v>249</v>
      </c>
      <c r="V620">
        <v>2625</v>
      </c>
      <c r="W620">
        <v>9.4899999999999998E-2</v>
      </c>
      <c r="X620" t="s">
        <v>56</v>
      </c>
      <c r="Y620" t="s">
        <v>3257</v>
      </c>
      <c r="Z620">
        <v>2013.11</v>
      </c>
      <c r="AA620">
        <v>389.93</v>
      </c>
      <c r="AB620">
        <v>784976</v>
      </c>
      <c r="AC620" t="b">
        <v>0</v>
      </c>
      <c r="AD620" t="b">
        <v>0</v>
      </c>
      <c r="AE620" t="b">
        <v>0</v>
      </c>
      <c r="AF620" t="b">
        <v>0</v>
      </c>
      <c r="AG620" t="s">
        <v>58</v>
      </c>
      <c r="AH620">
        <v>-15</v>
      </c>
      <c r="AI620" t="s">
        <v>59</v>
      </c>
      <c r="AJ620" t="s">
        <v>60</v>
      </c>
      <c r="AK620" t="s">
        <v>162</v>
      </c>
      <c r="AL620" t="s">
        <v>163</v>
      </c>
      <c r="AM620" t="s">
        <v>245</v>
      </c>
      <c r="AN620" t="s">
        <v>63</v>
      </c>
      <c r="AO620" t="s">
        <v>3258</v>
      </c>
      <c r="AP620" t="s">
        <v>3279</v>
      </c>
    </row>
    <row r="621" spans="1:42" x14ac:dyDescent="0.45">
      <c r="A621" t="s">
        <v>2812</v>
      </c>
      <c r="B621" t="s">
        <v>2813</v>
      </c>
      <c r="C621" t="s">
        <v>3250</v>
      </c>
      <c r="D621">
        <v>2020</v>
      </c>
      <c r="E621" t="s">
        <v>45</v>
      </c>
      <c r="F621" t="s">
        <v>2020</v>
      </c>
      <c r="G621">
        <v>12</v>
      </c>
      <c r="J621" t="s">
        <v>3283</v>
      </c>
      <c r="K621" t="s">
        <v>3284</v>
      </c>
      <c r="L621" t="s">
        <v>3285</v>
      </c>
      <c r="M621" t="s">
        <v>3286</v>
      </c>
      <c r="N621" t="s">
        <v>2829</v>
      </c>
      <c r="O621" t="s">
        <v>2830</v>
      </c>
      <c r="P621" t="s">
        <v>2027</v>
      </c>
      <c r="Q621" t="s">
        <v>3255</v>
      </c>
      <c r="S621">
        <v>15</v>
      </c>
      <c r="T621" t="s">
        <v>3287</v>
      </c>
      <c r="U621">
        <v>217</v>
      </c>
      <c r="V621">
        <v>2625</v>
      </c>
      <c r="W621">
        <v>8.2699999999999996E-2</v>
      </c>
      <c r="X621" t="s">
        <v>56</v>
      </c>
      <c r="Y621" t="s">
        <v>3257</v>
      </c>
      <c r="Z621">
        <v>1999.24</v>
      </c>
      <c r="AA621">
        <v>473.78</v>
      </c>
      <c r="AB621">
        <v>947208</v>
      </c>
      <c r="AC621" t="b">
        <v>0</v>
      </c>
      <c r="AD621" t="b">
        <v>0</v>
      </c>
      <c r="AE621" t="b">
        <v>0</v>
      </c>
      <c r="AF621" t="b">
        <v>0</v>
      </c>
      <c r="AG621" t="s">
        <v>58</v>
      </c>
      <c r="AH621">
        <v>-15</v>
      </c>
      <c r="AI621" t="s">
        <v>59</v>
      </c>
      <c r="AJ621" t="s">
        <v>60</v>
      </c>
      <c r="AK621" t="s">
        <v>162</v>
      </c>
      <c r="AL621" t="s">
        <v>163</v>
      </c>
      <c r="AM621" t="s">
        <v>245</v>
      </c>
      <c r="AN621" t="s">
        <v>63</v>
      </c>
      <c r="AO621" t="s">
        <v>3258</v>
      </c>
      <c r="AP621" t="s">
        <v>3284</v>
      </c>
    </row>
    <row r="622" spans="1:42" x14ac:dyDescent="0.45">
      <c r="A622" t="s">
        <v>2812</v>
      </c>
      <c r="B622" t="s">
        <v>2813</v>
      </c>
      <c r="C622" t="s">
        <v>3250</v>
      </c>
      <c r="D622">
        <v>2020</v>
      </c>
      <c r="E622" t="s">
        <v>45</v>
      </c>
      <c r="F622" t="s">
        <v>2020</v>
      </c>
      <c r="G622">
        <v>5</v>
      </c>
      <c r="J622" t="s">
        <v>3288</v>
      </c>
      <c r="K622" t="s">
        <v>3289</v>
      </c>
      <c r="L622" t="s">
        <v>3290</v>
      </c>
      <c r="M622" t="s">
        <v>3291</v>
      </c>
      <c r="N622" t="s">
        <v>2829</v>
      </c>
      <c r="O622" t="s">
        <v>2830</v>
      </c>
      <c r="P622" t="s">
        <v>2027</v>
      </c>
      <c r="Q622" t="s">
        <v>3255</v>
      </c>
      <c r="S622">
        <v>31</v>
      </c>
      <c r="T622" t="s">
        <v>3292</v>
      </c>
      <c r="U622">
        <v>286</v>
      </c>
      <c r="V622">
        <v>2625</v>
      </c>
      <c r="W622">
        <v>0.109</v>
      </c>
      <c r="X622" t="s">
        <v>56</v>
      </c>
      <c r="Y622" t="s">
        <v>3257</v>
      </c>
      <c r="Z622">
        <v>2044.72</v>
      </c>
      <c r="AA622">
        <v>418.15</v>
      </c>
      <c r="AB622">
        <v>855007</v>
      </c>
      <c r="AC622" t="b">
        <v>0</v>
      </c>
      <c r="AD622" t="b">
        <v>0</v>
      </c>
      <c r="AE622" t="b">
        <v>0</v>
      </c>
      <c r="AF622" t="b">
        <v>0</v>
      </c>
      <c r="AG622" t="s">
        <v>58</v>
      </c>
      <c r="AH622">
        <v>-15</v>
      </c>
      <c r="AI622" t="s">
        <v>59</v>
      </c>
      <c r="AJ622" t="s">
        <v>60</v>
      </c>
      <c r="AK622" t="s">
        <v>333</v>
      </c>
      <c r="AL622" t="s">
        <v>334</v>
      </c>
      <c r="AM622" t="s">
        <v>245</v>
      </c>
      <c r="AN622" t="s">
        <v>63</v>
      </c>
      <c r="AO622" t="s">
        <v>3258</v>
      </c>
      <c r="AP622" t="s">
        <v>3289</v>
      </c>
    </row>
    <row r="623" spans="1:42" x14ac:dyDescent="0.45">
      <c r="A623" t="s">
        <v>2812</v>
      </c>
      <c r="B623" t="s">
        <v>2813</v>
      </c>
      <c r="C623" t="s">
        <v>3250</v>
      </c>
      <c r="D623">
        <v>2020</v>
      </c>
      <c r="E623" t="s">
        <v>45</v>
      </c>
      <c r="F623" t="s">
        <v>2020</v>
      </c>
      <c r="G623">
        <v>8</v>
      </c>
      <c r="J623" t="s">
        <v>3293</v>
      </c>
      <c r="K623" t="s">
        <v>3294</v>
      </c>
      <c r="L623" t="s">
        <v>3295</v>
      </c>
      <c r="M623" t="s">
        <v>3296</v>
      </c>
      <c r="N623" t="s">
        <v>2829</v>
      </c>
      <c r="O623" t="s">
        <v>2830</v>
      </c>
      <c r="P623" t="s">
        <v>2027</v>
      </c>
      <c r="Q623" t="s">
        <v>3255</v>
      </c>
      <c r="S623">
        <v>23</v>
      </c>
      <c r="T623" t="s">
        <v>3297</v>
      </c>
      <c r="U623">
        <v>2317</v>
      </c>
      <c r="V623">
        <v>2625</v>
      </c>
      <c r="W623">
        <v>0.88270000000000004</v>
      </c>
      <c r="X623" t="s">
        <v>70</v>
      </c>
      <c r="Y623" t="s">
        <v>3257</v>
      </c>
      <c r="Z623">
        <v>2026.18</v>
      </c>
      <c r="AA623">
        <v>4127.7</v>
      </c>
      <c r="AB623">
        <v>8363474</v>
      </c>
      <c r="AC623" t="b">
        <v>0</v>
      </c>
      <c r="AD623" t="b">
        <v>0</v>
      </c>
      <c r="AE623" t="b">
        <v>0</v>
      </c>
      <c r="AF623" t="b">
        <v>0</v>
      </c>
      <c r="AG623" t="s">
        <v>58</v>
      </c>
      <c r="AH623">
        <v>10</v>
      </c>
      <c r="AI623" t="s">
        <v>59</v>
      </c>
      <c r="AJ623" t="s">
        <v>60</v>
      </c>
      <c r="AL623" t="s">
        <v>281</v>
      </c>
      <c r="AM623" t="s">
        <v>245</v>
      </c>
      <c r="AN623" t="s">
        <v>63</v>
      </c>
      <c r="AO623" t="s">
        <v>3258</v>
      </c>
      <c r="AP623" t="s">
        <v>3294</v>
      </c>
    </row>
    <row r="624" spans="1:42" x14ac:dyDescent="0.45">
      <c r="A624" t="s">
        <v>2812</v>
      </c>
      <c r="B624" t="s">
        <v>2813</v>
      </c>
      <c r="C624" t="s">
        <v>3250</v>
      </c>
      <c r="D624">
        <v>2020</v>
      </c>
      <c r="E624" t="s">
        <v>45</v>
      </c>
      <c r="F624" t="s">
        <v>2020</v>
      </c>
      <c r="J624" t="s">
        <v>3298</v>
      </c>
      <c r="K624" t="s">
        <v>3299</v>
      </c>
      <c r="L624" t="s">
        <v>3300</v>
      </c>
      <c r="M624" t="s">
        <v>3301</v>
      </c>
      <c r="N624" t="s">
        <v>2829</v>
      </c>
      <c r="O624" t="s">
        <v>2830</v>
      </c>
      <c r="P624" t="s">
        <v>2027</v>
      </c>
      <c r="Q624" t="s">
        <v>3255</v>
      </c>
      <c r="S624">
        <v>0</v>
      </c>
      <c r="T624" t="s">
        <v>3302</v>
      </c>
      <c r="U624">
        <v>2329</v>
      </c>
      <c r="V624">
        <v>2625</v>
      </c>
      <c r="W624">
        <v>0.88719999999999999</v>
      </c>
      <c r="X624" t="s">
        <v>70</v>
      </c>
      <c r="Y624" t="s">
        <v>3257</v>
      </c>
      <c r="Z624">
        <v>1910.76</v>
      </c>
      <c r="AA624">
        <v>417.08</v>
      </c>
      <c r="AB624">
        <v>796939</v>
      </c>
      <c r="AC624" t="b">
        <v>0</v>
      </c>
      <c r="AD624" t="b">
        <v>0</v>
      </c>
      <c r="AE624" t="b">
        <v>0</v>
      </c>
      <c r="AF624" t="b">
        <v>0</v>
      </c>
      <c r="AG624" t="s">
        <v>58</v>
      </c>
      <c r="AH624">
        <v>6</v>
      </c>
      <c r="AI624" t="s">
        <v>59</v>
      </c>
      <c r="AJ624" t="s">
        <v>60</v>
      </c>
      <c r="AL624" t="s">
        <v>3303</v>
      </c>
      <c r="AM624" t="s">
        <v>245</v>
      </c>
      <c r="AN624" t="s">
        <v>63</v>
      </c>
      <c r="AO624" t="s">
        <v>3258</v>
      </c>
      <c r="AP624" t="s">
        <v>3299</v>
      </c>
    </row>
    <row r="625" spans="1:42" x14ac:dyDescent="0.45">
      <c r="A625" t="s">
        <v>2812</v>
      </c>
      <c r="B625" t="s">
        <v>2813</v>
      </c>
      <c r="C625" t="s">
        <v>3250</v>
      </c>
      <c r="D625">
        <v>2020</v>
      </c>
      <c r="E625" t="s">
        <v>45</v>
      </c>
      <c r="F625" t="s">
        <v>2020</v>
      </c>
      <c r="J625" t="s">
        <v>3304</v>
      </c>
      <c r="K625" t="s">
        <v>3305</v>
      </c>
      <c r="L625" t="s">
        <v>3306</v>
      </c>
      <c r="M625" t="s">
        <v>3307</v>
      </c>
      <c r="N625" t="s">
        <v>2829</v>
      </c>
      <c r="O625" t="s">
        <v>2830</v>
      </c>
      <c r="P625" t="s">
        <v>2027</v>
      </c>
      <c r="Q625" t="s">
        <v>3255</v>
      </c>
      <c r="S625">
        <v>1</v>
      </c>
      <c r="T625" t="s">
        <v>3308</v>
      </c>
      <c r="U625">
        <v>619</v>
      </c>
      <c r="V625">
        <v>2625</v>
      </c>
      <c r="W625">
        <v>0.23580000000000001</v>
      </c>
      <c r="X625" t="s">
        <v>56</v>
      </c>
      <c r="Y625" t="s">
        <v>3257</v>
      </c>
      <c r="Z625">
        <v>1935.18</v>
      </c>
      <c r="AA625">
        <v>570.29</v>
      </c>
      <c r="AB625">
        <v>1103608</v>
      </c>
      <c r="AC625" t="b">
        <v>0</v>
      </c>
      <c r="AD625" t="b">
        <v>0</v>
      </c>
      <c r="AE625" t="b">
        <v>0</v>
      </c>
      <c r="AF625" t="b">
        <v>0</v>
      </c>
      <c r="AG625" t="s">
        <v>58</v>
      </c>
      <c r="AH625">
        <v>8</v>
      </c>
      <c r="AI625" t="s">
        <v>169</v>
      </c>
      <c r="AJ625" t="s">
        <v>60</v>
      </c>
      <c r="AL625" t="s">
        <v>380</v>
      </c>
      <c r="AM625" t="s">
        <v>245</v>
      </c>
      <c r="AN625" t="s">
        <v>63</v>
      </c>
      <c r="AO625" t="s">
        <v>3258</v>
      </c>
      <c r="AP625" t="s">
        <v>3305</v>
      </c>
    </row>
    <row r="626" spans="1:42" x14ac:dyDescent="0.45">
      <c r="A626" t="s">
        <v>2812</v>
      </c>
      <c r="B626" t="s">
        <v>2813</v>
      </c>
      <c r="C626" t="s">
        <v>3250</v>
      </c>
      <c r="D626">
        <v>2020</v>
      </c>
      <c r="E626" t="s">
        <v>45</v>
      </c>
      <c r="F626" t="s">
        <v>2020</v>
      </c>
      <c r="G626">
        <v>5</v>
      </c>
      <c r="J626" t="s">
        <v>3309</v>
      </c>
      <c r="K626" t="s">
        <v>3310</v>
      </c>
      <c r="L626" t="s">
        <v>3311</v>
      </c>
      <c r="M626" t="s">
        <v>3312</v>
      </c>
      <c r="N626" t="s">
        <v>2829</v>
      </c>
      <c r="O626" t="s">
        <v>2830</v>
      </c>
      <c r="P626" t="s">
        <v>2027</v>
      </c>
      <c r="Q626" t="s">
        <v>3255</v>
      </c>
      <c r="S626">
        <v>34</v>
      </c>
      <c r="T626" t="s">
        <v>3313</v>
      </c>
      <c r="U626">
        <v>166</v>
      </c>
      <c r="V626">
        <v>2625</v>
      </c>
      <c r="W626">
        <v>6.3200000000000006E-2</v>
      </c>
      <c r="X626" t="s">
        <v>56</v>
      </c>
      <c r="Y626" t="s">
        <v>3257</v>
      </c>
      <c r="Z626">
        <v>2049.1799999999998</v>
      </c>
      <c r="AA626">
        <v>956.08</v>
      </c>
      <c r="AB626">
        <v>1959185</v>
      </c>
      <c r="AC626" t="b">
        <v>0</v>
      </c>
      <c r="AD626" t="b">
        <v>0</v>
      </c>
      <c r="AE626" t="b">
        <v>0</v>
      </c>
      <c r="AF626" t="b">
        <v>0</v>
      </c>
      <c r="AG626" t="s">
        <v>58</v>
      </c>
      <c r="AH626">
        <v>-15</v>
      </c>
      <c r="AI626" t="s">
        <v>59</v>
      </c>
      <c r="AJ626" t="s">
        <v>60</v>
      </c>
      <c r="AK626" t="s">
        <v>162</v>
      </c>
      <c r="AL626" t="s">
        <v>163</v>
      </c>
      <c r="AM626" t="s">
        <v>245</v>
      </c>
      <c r="AN626" t="s">
        <v>63</v>
      </c>
      <c r="AO626" t="s">
        <v>3258</v>
      </c>
      <c r="AP626" t="s">
        <v>3310</v>
      </c>
    </row>
    <row r="627" spans="1:42" x14ac:dyDescent="0.45">
      <c r="A627" t="s">
        <v>2812</v>
      </c>
      <c r="B627" t="s">
        <v>2813</v>
      </c>
      <c r="C627" t="s">
        <v>3250</v>
      </c>
      <c r="D627">
        <v>2020</v>
      </c>
      <c r="E627" t="s">
        <v>45</v>
      </c>
      <c r="F627" t="s">
        <v>2020</v>
      </c>
      <c r="G627">
        <v>4</v>
      </c>
      <c r="J627" t="s">
        <v>3314</v>
      </c>
      <c r="K627" t="s">
        <v>3315</v>
      </c>
      <c r="L627" t="s">
        <v>3316</v>
      </c>
      <c r="M627" t="s">
        <v>3317</v>
      </c>
      <c r="N627" t="s">
        <v>2829</v>
      </c>
      <c r="O627" t="s">
        <v>2830</v>
      </c>
      <c r="P627" t="s">
        <v>2027</v>
      </c>
      <c r="Q627" t="s">
        <v>3255</v>
      </c>
      <c r="S627">
        <v>35</v>
      </c>
      <c r="T627" t="s">
        <v>3318</v>
      </c>
      <c r="U627">
        <v>269</v>
      </c>
      <c r="V627">
        <v>2625</v>
      </c>
      <c r="W627">
        <v>0.10249999999999999</v>
      </c>
      <c r="X627" t="s">
        <v>56</v>
      </c>
      <c r="Y627" t="s">
        <v>3257</v>
      </c>
      <c r="Z627">
        <v>2050.25</v>
      </c>
      <c r="AA627">
        <v>143.91</v>
      </c>
      <c r="AB627">
        <v>295051</v>
      </c>
      <c r="AC627" t="b">
        <v>1</v>
      </c>
      <c r="AD627" t="b">
        <v>1</v>
      </c>
      <c r="AE627" t="b">
        <v>0</v>
      </c>
      <c r="AF627" t="b">
        <v>0</v>
      </c>
      <c r="AG627" t="s">
        <v>58</v>
      </c>
      <c r="AH627">
        <v>12</v>
      </c>
      <c r="AI627" t="s">
        <v>59</v>
      </c>
      <c r="AJ627" t="s">
        <v>71</v>
      </c>
      <c r="AL627" t="s">
        <v>1988</v>
      </c>
      <c r="AM627" t="s">
        <v>245</v>
      </c>
      <c r="AN627" t="s">
        <v>63</v>
      </c>
      <c r="AO627" t="s">
        <v>3258</v>
      </c>
      <c r="AP627" t="s">
        <v>3315</v>
      </c>
    </row>
    <row r="628" spans="1:42" x14ac:dyDescent="0.45">
      <c r="A628" t="s">
        <v>2812</v>
      </c>
      <c r="B628" t="s">
        <v>2813</v>
      </c>
      <c r="C628" t="s">
        <v>3250</v>
      </c>
      <c r="D628">
        <v>2020</v>
      </c>
      <c r="E628" t="s">
        <v>45</v>
      </c>
      <c r="F628" t="s">
        <v>2020</v>
      </c>
      <c r="G628">
        <v>5</v>
      </c>
      <c r="J628" t="s">
        <v>3319</v>
      </c>
      <c r="K628" t="s">
        <v>3320</v>
      </c>
      <c r="L628" t="s">
        <v>3321</v>
      </c>
      <c r="M628" t="s">
        <v>3322</v>
      </c>
      <c r="N628" t="s">
        <v>2829</v>
      </c>
      <c r="O628" t="s">
        <v>2830</v>
      </c>
      <c r="P628" t="s">
        <v>2027</v>
      </c>
      <c r="Q628" t="s">
        <v>3255</v>
      </c>
      <c r="S628">
        <v>33</v>
      </c>
      <c r="T628" t="s">
        <v>3323</v>
      </c>
      <c r="U628">
        <v>38</v>
      </c>
      <c r="V628">
        <v>2625</v>
      </c>
      <c r="W628">
        <v>1.4500000000000001E-2</v>
      </c>
      <c r="X628" t="s">
        <v>56</v>
      </c>
      <c r="Y628" t="s">
        <v>3257</v>
      </c>
      <c r="Z628">
        <v>2049.17</v>
      </c>
      <c r="AA628">
        <v>437.64</v>
      </c>
      <c r="AB628">
        <v>896807</v>
      </c>
      <c r="AC628" t="b">
        <v>0</v>
      </c>
      <c r="AD628" t="b">
        <v>0</v>
      </c>
      <c r="AE628" t="b">
        <v>0</v>
      </c>
      <c r="AF628" t="b">
        <v>0</v>
      </c>
      <c r="AG628" t="s">
        <v>58</v>
      </c>
      <c r="AH628">
        <v>-15</v>
      </c>
      <c r="AI628" t="s">
        <v>59</v>
      </c>
      <c r="AJ628" t="s">
        <v>60</v>
      </c>
      <c r="AK628" t="s">
        <v>162</v>
      </c>
      <c r="AL628" t="s">
        <v>163</v>
      </c>
      <c r="AM628" t="s">
        <v>245</v>
      </c>
      <c r="AN628" t="s">
        <v>63</v>
      </c>
      <c r="AO628" t="s">
        <v>3258</v>
      </c>
      <c r="AP628" t="s">
        <v>3320</v>
      </c>
    </row>
    <row r="629" spans="1:42" x14ac:dyDescent="0.45">
      <c r="A629" t="s">
        <v>2812</v>
      </c>
      <c r="B629" t="s">
        <v>2813</v>
      </c>
      <c r="C629" t="s">
        <v>3250</v>
      </c>
      <c r="D629">
        <v>2020</v>
      </c>
      <c r="E629" t="s">
        <v>45</v>
      </c>
      <c r="F629" t="s">
        <v>2020</v>
      </c>
      <c r="G629">
        <v>6</v>
      </c>
      <c r="J629" t="s">
        <v>3324</v>
      </c>
      <c r="K629" t="s">
        <v>3325</v>
      </c>
      <c r="L629" t="s">
        <v>3326</v>
      </c>
      <c r="M629" t="s">
        <v>3327</v>
      </c>
      <c r="N629" t="s">
        <v>2829</v>
      </c>
      <c r="O629" t="s">
        <v>2830</v>
      </c>
      <c r="P629" t="s">
        <v>2027</v>
      </c>
      <c r="Q629" t="s">
        <v>3255</v>
      </c>
      <c r="S629">
        <v>30</v>
      </c>
      <c r="T629" t="s">
        <v>3328</v>
      </c>
      <c r="U629">
        <v>162</v>
      </c>
      <c r="V629">
        <v>2625</v>
      </c>
      <c r="W629">
        <v>6.1699999999999998E-2</v>
      </c>
      <c r="X629" t="s">
        <v>56</v>
      </c>
      <c r="Y629" t="s">
        <v>3257</v>
      </c>
      <c r="Z629">
        <v>2042.76</v>
      </c>
      <c r="AA629">
        <v>783.38</v>
      </c>
      <c r="AB629">
        <v>1600268</v>
      </c>
      <c r="AC629" t="b">
        <v>0</v>
      </c>
      <c r="AD629" t="b">
        <v>0</v>
      </c>
      <c r="AE629" t="b">
        <v>0</v>
      </c>
      <c r="AF629" t="b">
        <v>0</v>
      </c>
      <c r="AG629" t="s">
        <v>58</v>
      </c>
      <c r="AH629">
        <v>-15</v>
      </c>
      <c r="AI629" t="s">
        <v>59</v>
      </c>
      <c r="AJ629" t="s">
        <v>60</v>
      </c>
      <c r="AK629" t="s">
        <v>162</v>
      </c>
      <c r="AL629" t="s">
        <v>163</v>
      </c>
      <c r="AM629" t="s">
        <v>245</v>
      </c>
      <c r="AN629" t="s">
        <v>63</v>
      </c>
      <c r="AO629" t="s">
        <v>3258</v>
      </c>
      <c r="AP629" t="s">
        <v>3325</v>
      </c>
    </row>
    <row r="630" spans="1:42" x14ac:dyDescent="0.45">
      <c r="A630" t="s">
        <v>2812</v>
      </c>
      <c r="B630" t="s">
        <v>2813</v>
      </c>
      <c r="C630" t="s">
        <v>3250</v>
      </c>
      <c r="D630">
        <v>2020</v>
      </c>
      <c r="E630" t="s">
        <v>45</v>
      </c>
      <c r="F630" t="s">
        <v>2020</v>
      </c>
      <c r="G630">
        <v>9</v>
      </c>
      <c r="J630" t="s">
        <v>3329</v>
      </c>
      <c r="K630" t="s">
        <v>3330</v>
      </c>
      <c r="L630" t="s">
        <v>3331</v>
      </c>
      <c r="M630" t="s">
        <v>3332</v>
      </c>
      <c r="N630" t="s">
        <v>2829</v>
      </c>
      <c r="O630" t="s">
        <v>2830</v>
      </c>
      <c r="P630" t="s">
        <v>2027</v>
      </c>
      <c r="Q630" t="s">
        <v>3255</v>
      </c>
      <c r="S630">
        <v>22</v>
      </c>
      <c r="T630" t="s">
        <v>3333</v>
      </c>
      <c r="U630">
        <v>271</v>
      </c>
      <c r="V630">
        <v>2625</v>
      </c>
      <c r="W630">
        <v>0.1032</v>
      </c>
      <c r="X630" t="s">
        <v>56</v>
      </c>
      <c r="Y630" t="s">
        <v>3257</v>
      </c>
      <c r="Z630">
        <v>2020.76</v>
      </c>
      <c r="AA630">
        <v>586.23</v>
      </c>
      <c r="AB630">
        <v>1184642</v>
      </c>
      <c r="AC630" t="b">
        <v>0</v>
      </c>
      <c r="AD630" t="b">
        <v>0</v>
      </c>
      <c r="AE630" t="b">
        <v>0</v>
      </c>
      <c r="AF630" t="b">
        <v>0</v>
      </c>
      <c r="AG630" t="s">
        <v>58</v>
      </c>
      <c r="AH630">
        <v>-15</v>
      </c>
      <c r="AI630" t="s">
        <v>59</v>
      </c>
      <c r="AJ630" t="s">
        <v>60</v>
      </c>
      <c r="AK630" t="s">
        <v>162</v>
      </c>
      <c r="AL630" t="s">
        <v>163</v>
      </c>
      <c r="AM630" t="s">
        <v>245</v>
      </c>
      <c r="AN630" t="s">
        <v>63</v>
      </c>
      <c r="AO630" t="s">
        <v>3258</v>
      </c>
      <c r="AP630" t="s">
        <v>3330</v>
      </c>
    </row>
    <row r="631" spans="1:42" x14ac:dyDescent="0.45">
      <c r="A631" t="s">
        <v>2812</v>
      </c>
      <c r="B631" t="s">
        <v>2813</v>
      </c>
      <c r="C631" t="s">
        <v>3250</v>
      </c>
      <c r="D631">
        <v>2020</v>
      </c>
      <c r="E631" t="s">
        <v>45</v>
      </c>
      <c r="F631" t="s">
        <v>2020</v>
      </c>
      <c r="J631" t="s">
        <v>3334</v>
      </c>
      <c r="K631" t="s">
        <v>3335</v>
      </c>
      <c r="L631" t="s">
        <v>3336</v>
      </c>
      <c r="M631" t="s">
        <v>3337</v>
      </c>
      <c r="N631" t="s">
        <v>2829</v>
      </c>
      <c r="O631" t="s">
        <v>2830</v>
      </c>
      <c r="P631" t="s">
        <v>2027</v>
      </c>
      <c r="Q631" t="s">
        <v>3255</v>
      </c>
      <c r="S631">
        <v>5</v>
      </c>
      <c r="T631" t="s">
        <v>3338</v>
      </c>
      <c r="U631">
        <v>535</v>
      </c>
      <c r="V631">
        <v>2625</v>
      </c>
      <c r="W631">
        <v>0.20380000000000001</v>
      </c>
      <c r="X631" t="s">
        <v>56</v>
      </c>
      <c r="Y631" t="s">
        <v>3257</v>
      </c>
      <c r="Z631">
        <v>1963.18</v>
      </c>
      <c r="AA631">
        <v>373.31</v>
      </c>
      <c r="AB631">
        <v>732866</v>
      </c>
      <c r="AC631" t="b">
        <v>0</v>
      </c>
      <c r="AD631" t="b">
        <v>0</v>
      </c>
      <c r="AE631" t="b">
        <v>0</v>
      </c>
      <c r="AF631" t="b">
        <v>0</v>
      </c>
      <c r="AG631" t="s">
        <v>58</v>
      </c>
      <c r="AH631">
        <v>4</v>
      </c>
      <c r="AI631" t="s">
        <v>59</v>
      </c>
      <c r="AJ631" t="s">
        <v>60</v>
      </c>
      <c r="AL631" t="s">
        <v>476</v>
      </c>
      <c r="AM631" t="s">
        <v>245</v>
      </c>
      <c r="AN631" t="s">
        <v>63</v>
      </c>
      <c r="AO631" t="s">
        <v>3258</v>
      </c>
      <c r="AP631" t="s">
        <v>3335</v>
      </c>
    </row>
    <row r="632" spans="1:42" x14ac:dyDescent="0.45">
      <c r="A632" t="s">
        <v>2812</v>
      </c>
      <c r="B632" t="s">
        <v>2813</v>
      </c>
      <c r="C632" t="s">
        <v>3250</v>
      </c>
      <c r="D632">
        <v>2020</v>
      </c>
      <c r="E632" t="s">
        <v>45</v>
      </c>
      <c r="F632" t="s">
        <v>2020</v>
      </c>
      <c r="G632">
        <v>6</v>
      </c>
      <c r="J632" t="s">
        <v>3339</v>
      </c>
      <c r="K632" t="s">
        <v>3340</v>
      </c>
      <c r="L632" t="s">
        <v>3341</v>
      </c>
      <c r="M632" t="s">
        <v>3342</v>
      </c>
      <c r="N632" t="s">
        <v>2829</v>
      </c>
      <c r="O632" t="s">
        <v>2830</v>
      </c>
      <c r="P632" t="s">
        <v>2027</v>
      </c>
      <c r="Q632" t="s">
        <v>3255</v>
      </c>
      <c r="S632">
        <v>28</v>
      </c>
      <c r="T632" t="s">
        <v>3343</v>
      </c>
      <c r="U632">
        <v>3413</v>
      </c>
      <c r="V632">
        <v>2625</v>
      </c>
      <c r="W632">
        <v>1.3002</v>
      </c>
      <c r="X632" t="s">
        <v>70</v>
      </c>
      <c r="Y632" t="s">
        <v>3257</v>
      </c>
      <c r="Z632">
        <v>2040.18</v>
      </c>
      <c r="AA632">
        <v>6153.43</v>
      </c>
      <c r="AB632">
        <v>12554106</v>
      </c>
      <c r="AC632" t="b">
        <v>1</v>
      </c>
      <c r="AD632" t="b">
        <v>1</v>
      </c>
      <c r="AE632" t="b">
        <v>0</v>
      </c>
      <c r="AF632" t="b">
        <v>0</v>
      </c>
      <c r="AG632" t="s">
        <v>58</v>
      </c>
      <c r="AH632">
        <v>14</v>
      </c>
      <c r="AI632" t="s">
        <v>59</v>
      </c>
      <c r="AJ632" t="s">
        <v>71</v>
      </c>
      <c r="AL632" t="s">
        <v>244</v>
      </c>
      <c r="AM632" t="s">
        <v>245</v>
      </c>
      <c r="AN632" t="s">
        <v>63</v>
      </c>
      <c r="AO632" t="s">
        <v>3258</v>
      </c>
      <c r="AP632" t="s">
        <v>3340</v>
      </c>
    </row>
    <row r="633" spans="1:42" x14ac:dyDescent="0.45">
      <c r="A633" t="s">
        <v>2812</v>
      </c>
      <c r="B633" t="s">
        <v>2813</v>
      </c>
      <c r="C633" t="s">
        <v>3250</v>
      </c>
      <c r="D633">
        <v>2020</v>
      </c>
      <c r="E633" t="s">
        <v>45</v>
      </c>
      <c r="F633" t="s">
        <v>2020</v>
      </c>
      <c r="J633" t="s">
        <v>3344</v>
      </c>
      <c r="K633" t="s">
        <v>3345</v>
      </c>
      <c r="L633" t="s">
        <v>3346</v>
      </c>
      <c r="M633" t="s">
        <v>3347</v>
      </c>
      <c r="N633" t="s">
        <v>2829</v>
      </c>
      <c r="O633" t="s">
        <v>2830</v>
      </c>
      <c r="P633" t="s">
        <v>2027</v>
      </c>
      <c r="Q633" t="s">
        <v>3255</v>
      </c>
      <c r="S633">
        <v>2</v>
      </c>
      <c r="T633" t="s">
        <v>3348</v>
      </c>
      <c r="U633">
        <v>1335</v>
      </c>
      <c r="V633">
        <v>2625</v>
      </c>
      <c r="W633">
        <v>0.50860000000000005</v>
      </c>
      <c r="X633" t="s">
        <v>196</v>
      </c>
      <c r="Y633" t="s">
        <v>3257</v>
      </c>
      <c r="Z633">
        <v>1941.97</v>
      </c>
      <c r="AA633">
        <v>151.34</v>
      </c>
      <c r="AB633">
        <v>293901</v>
      </c>
      <c r="AC633" t="b">
        <v>0</v>
      </c>
      <c r="AD633" t="b">
        <v>0</v>
      </c>
      <c r="AE633" t="b">
        <v>0</v>
      </c>
      <c r="AF633" t="b">
        <v>0</v>
      </c>
      <c r="AG633" t="s">
        <v>58</v>
      </c>
      <c r="AH633">
        <v>4</v>
      </c>
      <c r="AI633" t="s">
        <v>59</v>
      </c>
      <c r="AJ633" t="s">
        <v>60</v>
      </c>
      <c r="AL633" t="s">
        <v>476</v>
      </c>
      <c r="AM633" t="s">
        <v>245</v>
      </c>
      <c r="AN633" t="s">
        <v>63</v>
      </c>
      <c r="AO633" t="s">
        <v>3258</v>
      </c>
      <c r="AP633" t="s">
        <v>3345</v>
      </c>
    </row>
    <row r="634" spans="1:42" x14ac:dyDescent="0.45">
      <c r="A634" t="s">
        <v>2812</v>
      </c>
      <c r="B634" t="s">
        <v>2813</v>
      </c>
      <c r="C634" t="s">
        <v>3250</v>
      </c>
      <c r="D634">
        <v>2020</v>
      </c>
      <c r="E634" t="s">
        <v>45</v>
      </c>
      <c r="F634" t="s">
        <v>2020</v>
      </c>
      <c r="G634">
        <v>7</v>
      </c>
      <c r="J634" t="s">
        <v>3349</v>
      </c>
      <c r="K634" t="s">
        <v>3350</v>
      </c>
      <c r="L634" t="s">
        <v>3351</v>
      </c>
      <c r="M634" t="s">
        <v>3352</v>
      </c>
      <c r="N634" t="s">
        <v>2829</v>
      </c>
      <c r="O634" t="s">
        <v>2830</v>
      </c>
      <c r="P634" t="s">
        <v>2027</v>
      </c>
      <c r="Q634" t="s">
        <v>3255</v>
      </c>
      <c r="S634">
        <v>27</v>
      </c>
      <c r="T634" t="s">
        <v>3353</v>
      </c>
      <c r="U634">
        <v>203</v>
      </c>
      <c r="V634">
        <v>2625</v>
      </c>
      <c r="W634">
        <v>7.7299999999999994E-2</v>
      </c>
      <c r="X634" t="s">
        <v>56</v>
      </c>
      <c r="Y634" t="s">
        <v>3257</v>
      </c>
      <c r="Z634">
        <v>2035.76</v>
      </c>
      <c r="AA634">
        <v>700.19</v>
      </c>
      <c r="AB634">
        <v>1425430</v>
      </c>
      <c r="AC634" t="b">
        <v>0</v>
      </c>
      <c r="AD634" t="b">
        <v>0</v>
      </c>
      <c r="AE634" t="b">
        <v>0</v>
      </c>
      <c r="AF634" t="b">
        <v>0</v>
      </c>
      <c r="AG634" t="s">
        <v>58</v>
      </c>
      <c r="AH634">
        <v>-15</v>
      </c>
      <c r="AI634" t="s">
        <v>59</v>
      </c>
      <c r="AJ634" t="s">
        <v>60</v>
      </c>
      <c r="AK634" t="s">
        <v>162</v>
      </c>
      <c r="AL634" t="s">
        <v>163</v>
      </c>
      <c r="AM634" t="s">
        <v>245</v>
      </c>
      <c r="AN634" t="s">
        <v>63</v>
      </c>
      <c r="AO634" t="s">
        <v>3258</v>
      </c>
      <c r="AP634" t="s">
        <v>3350</v>
      </c>
    </row>
    <row r="635" spans="1:42" x14ac:dyDescent="0.45">
      <c r="A635" t="s">
        <v>2812</v>
      </c>
      <c r="B635" t="s">
        <v>2813</v>
      </c>
      <c r="C635" t="s">
        <v>3250</v>
      </c>
      <c r="D635">
        <v>2020</v>
      </c>
      <c r="E635" t="s">
        <v>45</v>
      </c>
      <c r="F635" t="s">
        <v>2020</v>
      </c>
      <c r="G635">
        <v>16</v>
      </c>
      <c r="J635" t="s">
        <v>3354</v>
      </c>
      <c r="K635" t="s">
        <v>3355</v>
      </c>
      <c r="L635" t="s">
        <v>3356</v>
      </c>
      <c r="M635" t="s">
        <v>3357</v>
      </c>
      <c r="N635" t="s">
        <v>2829</v>
      </c>
      <c r="O635" t="s">
        <v>2830</v>
      </c>
      <c r="P635" t="s">
        <v>2027</v>
      </c>
      <c r="Q635" t="s">
        <v>3255</v>
      </c>
      <c r="S635">
        <v>7</v>
      </c>
      <c r="T635" t="s">
        <v>3358</v>
      </c>
      <c r="U635">
        <v>477</v>
      </c>
      <c r="V635">
        <v>2625</v>
      </c>
      <c r="W635">
        <v>0.1817</v>
      </c>
      <c r="X635" t="s">
        <v>56</v>
      </c>
      <c r="Y635" t="s">
        <v>3257</v>
      </c>
      <c r="Z635">
        <v>1970.85</v>
      </c>
      <c r="AA635">
        <v>528.15</v>
      </c>
      <c r="AB635">
        <v>1040894</v>
      </c>
      <c r="AC635" t="b">
        <v>0</v>
      </c>
      <c r="AD635" t="b">
        <v>0</v>
      </c>
      <c r="AE635" t="b">
        <v>0</v>
      </c>
      <c r="AF635" t="b">
        <v>0</v>
      </c>
      <c r="AG635" t="s">
        <v>58</v>
      </c>
      <c r="AH635">
        <v>-15</v>
      </c>
      <c r="AI635" t="s">
        <v>59</v>
      </c>
      <c r="AJ635" t="s">
        <v>60</v>
      </c>
      <c r="AK635" t="s">
        <v>162</v>
      </c>
      <c r="AL635" t="s">
        <v>163</v>
      </c>
      <c r="AM635" t="s">
        <v>245</v>
      </c>
      <c r="AN635" t="s">
        <v>63</v>
      </c>
      <c r="AO635" t="s">
        <v>3258</v>
      </c>
      <c r="AP635" t="s">
        <v>3355</v>
      </c>
    </row>
    <row r="636" spans="1:42" x14ac:dyDescent="0.45">
      <c r="A636" t="s">
        <v>2812</v>
      </c>
      <c r="B636" t="s">
        <v>2813</v>
      </c>
      <c r="C636" t="s">
        <v>3250</v>
      </c>
      <c r="D636">
        <v>2020</v>
      </c>
      <c r="E636" t="s">
        <v>45</v>
      </c>
      <c r="F636" t="s">
        <v>2020</v>
      </c>
      <c r="G636">
        <v>15</v>
      </c>
      <c r="J636" t="s">
        <v>3359</v>
      </c>
      <c r="K636" t="s">
        <v>3360</v>
      </c>
      <c r="L636" t="s">
        <v>3361</v>
      </c>
      <c r="M636" t="s">
        <v>3362</v>
      </c>
      <c r="N636" t="s">
        <v>2829</v>
      </c>
      <c r="O636" t="s">
        <v>2830</v>
      </c>
      <c r="P636" t="s">
        <v>2027</v>
      </c>
      <c r="Q636" t="s">
        <v>3255</v>
      </c>
      <c r="S636">
        <v>9</v>
      </c>
      <c r="T636" t="s">
        <v>3363</v>
      </c>
      <c r="U636">
        <v>374</v>
      </c>
      <c r="V636">
        <v>2625</v>
      </c>
      <c r="W636">
        <v>0.14249999999999999</v>
      </c>
      <c r="X636" t="s">
        <v>56</v>
      </c>
      <c r="Y636" t="s">
        <v>3257</v>
      </c>
      <c r="Z636">
        <v>1978.15</v>
      </c>
      <c r="AA636">
        <v>380.07</v>
      </c>
      <c r="AB636">
        <v>751832</v>
      </c>
      <c r="AC636" t="b">
        <v>0</v>
      </c>
      <c r="AD636" t="b">
        <v>0</v>
      </c>
      <c r="AE636" t="b">
        <v>0</v>
      </c>
      <c r="AF636" t="b">
        <v>0</v>
      </c>
      <c r="AG636" t="s">
        <v>58</v>
      </c>
      <c r="AH636">
        <v>-15</v>
      </c>
      <c r="AI636" t="s">
        <v>59</v>
      </c>
      <c r="AJ636" t="s">
        <v>60</v>
      </c>
      <c r="AK636" t="s">
        <v>162</v>
      </c>
      <c r="AL636" t="s">
        <v>163</v>
      </c>
      <c r="AM636" t="s">
        <v>245</v>
      </c>
      <c r="AN636" t="s">
        <v>63</v>
      </c>
      <c r="AO636" t="s">
        <v>3258</v>
      </c>
      <c r="AP636" t="s">
        <v>3360</v>
      </c>
    </row>
    <row r="637" spans="1:42" x14ac:dyDescent="0.45">
      <c r="A637" t="s">
        <v>2812</v>
      </c>
      <c r="B637" t="s">
        <v>2813</v>
      </c>
      <c r="C637" t="s">
        <v>3250</v>
      </c>
      <c r="D637">
        <v>2020</v>
      </c>
      <c r="E637" t="s">
        <v>45</v>
      </c>
      <c r="F637" t="s">
        <v>2020</v>
      </c>
      <c r="G637">
        <v>13</v>
      </c>
      <c r="J637" t="s">
        <v>3364</v>
      </c>
      <c r="K637" t="s">
        <v>3365</v>
      </c>
      <c r="L637" t="s">
        <v>3366</v>
      </c>
      <c r="M637" t="s">
        <v>3367</v>
      </c>
      <c r="N637" t="s">
        <v>2829</v>
      </c>
      <c r="O637" t="s">
        <v>2830</v>
      </c>
      <c r="P637" t="s">
        <v>2027</v>
      </c>
      <c r="Q637" t="s">
        <v>3255</v>
      </c>
      <c r="S637">
        <v>12</v>
      </c>
      <c r="T637" t="s">
        <v>3368</v>
      </c>
      <c r="U637">
        <v>3349</v>
      </c>
      <c r="V637">
        <v>2625</v>
      </c>
      <c r="W637">
        <v>1.2758</v>
      </c>
      <c r="X637" t="s">
        <v>70</v>
      </c>
      <c r="Y637" t="s">
        <v>3257</v>
      </c>
      <c r="Z637">
        <v>1991.18</v>
      </c>
      <c r="AA637">
        <v>3538.48</v>
      </c>
      <c r="AB637">
        <v>7045756</v>
      </c>
      <c r="AC637" t="b">
        <v>0</v>
      </c>
      <c r="AD637" t="b">
        <v>0</v>
      </c>
      <c r="AE637" t="b">
        <v>0</v>
      </c>
      <c r="AF637" t="b">
        <v>0</v>
      </c>
      <c r="AG637" t="s">
        <v>58</v>
      </c>
      <c r="AH637">
        <v>-15</v>
      </c>
      <c r="AI637" t="s">
        <v>59</v>
      </c>
      <c r="AJ637" t="s">
        <v>60</v>
      </c>
      <c r="AK637" t="s">
        <v>333</v>
      </c>
      <c r="AL637" t="s">
        <v>334</v>
      </c>
      <c r="AM637" t="s">
        <v>245</v>
      </c>
      <c r="AN637" t="s">
        <v>63</v>
      </c>
      <c r="AO637" t="s">
        <v>3258</v>
      </c>
      <c r="AP637" t="s">
        <v>3365</v>
      </c>
    </row>
    <row r="638" spans="1:42" x14ac:dyDescent="0.45">
      <c r="A638" t="s">
        <v>2812</v>
      </c>
      <c r="B638" t="s">
        <v>2813</v>
      </c>
      <c r="C638" t="s">
        <v>3250</v>
      </c>
      <c r="D638">
        <v>2020</v>
      </c>
      <c r="E638" t="s">
        <v>45</v>
      </c>
      <c r="F638" t="s">
        <v>2020</v>
      </c>
      <c r="G638">
        <v>5</v>
      </c>
      <c r="J638" t="s">
        <v>3369</v>
      </c>
      <c r="K638" t="s">
        <v>3370</v>
      </c>
      <c r="L638" t="s">
        <v>3371</v>
      </c>
      <c r="M638" t="s">
        <v>3372</v>
      </c>
      <c r="N638" t="s">
        <v>2829</v>
      </c>
      <c r="O638" t="s">
        <v>2830</v>
      </c>
      <c r="P638" t="s">
        <v>2027</v>
      </c>
      <c r="Q638" t="s">
        <v>3255</v>
      </c>
      <c r="S638">
        <v>32</v>
      </c>
      <c r="T638" t="s">
        <v>3373</v>
      </c>
      <c r="U638">
        <v>2625</v>
      </c>
      <c r="V638">
        <v>2625</v>
      </c>
      <c r="W638">
        <v>1</v>
      </c>
      <c r="X638" t="s">
        <v>70</v>
      </c>
      <c r="Y638" t="s">
        <v>3257</v>
      </c>
      <c r="Z638">
        <v>2047.18</v>
      </c>
      <c r="AA638">
        <v>6022.19</v>
      </c>
      <c r="AB638">
        <v>12328519</v>
      </c>
      <c r="AC638" t="b">
        <v>1</v>
      </c>
      <c r="AD638" t="b">
        <v>1</v>
      </c>
      <c r="AE638" t="b">
        <v>0</v>
      </c>
      <c r="AF638" t="b">
        <v>0</v>
      </c>
      <c r="AG638" t="s">
        <v>58</v>
      </c>
      <c r="AH638">
        <v>14</v>
      </c>
      <c r="AI638" t="s">
        <v>59</v>
      </c>
      <c r="AJ638" t="s">
        <v>71</v>
      </c>
      <c r="AL638" t="s">
        <v>244</v>
      </c>
      <c r="AM638" t="s">
        <v>245</v>
      </c>
      <c r="AN638" t="s">
        <v>63</v>
      </c>
      <c r="AO638" t="s">
        <v>3258</v>
      </c>
      <c r="AP638" t="s">
        <v>3370</v>
      </c>
    </row>
    <row r="639" spans="1:42" x14ac:dyDescent="0.45">
      <c r="A639" t="s">
        <v>2812</v>
      </c>
      <c r="B639" t="s">
        <v>2813</v>
      </c>
      <c r="C639" t="s">
        <v>3250</v>
      </c>
      <c r="D639">
        <v>2020</v>
      </c>
      <c r="E639" t="s">
        <v>45</v>
      </c>
      <c r="F639" t="s">
        <v>2020</v>
      </c>
      <c r="G639">
        <v>7</v>
      </c>
      <c r="J639" t="s">
        <v>3374</v>
      </c>
      <c r="K639" t="s">
        <v>3375</v>
      </c>
      <c r="L639" t="s">
        <v>3376</v>
      </c>
      <c r="M639" t="s">
        <v>3377</v>
      </c>
      <c r="N639" t="s">
        <v>2829</v>
      </c>
      <c r="O639" t="s">
        <v>2830</v>
      </c>
      <c r="P639" t="s">
        <v>2027</v>
      </c>
      <c r="Q639" t="s">
        <v>3255</v>
      </c>
      <c r="S639">
        <v>26</v>
      </c>
      <c r="T639" t="s">
        <v>3378</v>
      </c>
      <c r="U639">
        <v>152</v>
      </c>
      <c r="V639">
        <v>2625</v>
      </c>
      <c r="W639">
        <v>5.79E-2</v>
      </c>
      <c r="X639" t="s">
        <v>56</v>
      </c>
      <c r="Y639" t="s">
        <v>3257</v>
      </c>
      <c r="Z639">
        <v>2033.95</v>
      </c>
      <c r="AA639">
        <v>328.1</v>
      </c>
      <c r="AB639">
        <v>667341</v>
      </c>
      <c r="AC639" t="b">
        <v>0</v>
      </c>
      <c r="AD639" t="b">
        <v>0</v>
      </c>
      <c r="AE639" t="b">
        <v>0</v>
      </c>
      <c r="AF639" t="b">
        <v>0</v>
      </c>
      <c r="AG639" t="s">
        <v>58</v>
      </c>
      <c r="AH639">
        <v>8</v>
      </c>
      <c r="AI639" t="s">
        <v>59</v>
      </c>
      <c r="AJ639" t="s">
        <v>60</v>
      </c>
      <c r="AL639" t="s">
        <v>2009</v>
      </c>
      <c r="AM639" t="s">
        <v>245</v>
      </c>
      <c r="AN639" t="s">
        <v>63</v>
      </c>
      <c r="AO639" t="s">
        <v>3258</v>
      </c>
      <c r="AP639" t="s">
        <v>3375</v>
      </c>
    </row>
    <row r="640" spans="1:42" x14ac:dyDescent="0.45">
      <c r="A640" t="s">
        <v>2812</v>
      </c>
      <c r="B640" t="s">
        <v>2813</v>
      </c>
      <c r="C640" t="s">
        <v>3250</v>
      </c>
      <c r="D640">
        <v>2020</v>
      </c>
      <c r="E640" t="s">
        <v>45</v>
      </c>
      <c r="F640" t="s">
        <v>2020</v>
      </c>
      <c r="G640">
        <v>7</v>
      </c>
      <c r="J640" t="s">
        <v>3379</v>
      </c>
      <c r="K640" t="s">
        <v>3380</v>
      </c>
      <c r="L640" t="s">
        <v>3381</v>
      </c>
      <c r="M640" t="s">
        <v>3382</v>
      </c>
      <c r="N640" t="s">
        <v>2829</v>
      </c>
      <c r="O640" t="s">
        <v>2830</v>
      </c>
      <c r="P640" t="s">
        <v>2027</v>
      </c>
      <c r="Q640" t="s">
        <v>3255</v>
      </c>
      <c r="S640">
        <v>25</v>
      </c>
      <c r="T640" t="s">
        <v>3383</v>
      </c>
      <c r="U640">
        <v>3517</v>
      </c>
      <c r="V640">
        <v>2625</v>
      </c>
      <c r="W640">
        <v>1.3398000000000001</v>
      </c>
      <c r="X640" t="s">
        <v>70</v>
      </c>
      <c r="Y640" t="s">
        <v>3257</v>
      </c>
      <c r="Z640">
        <v>2033.17</v>
      </c>
      <c r="AA640">
        <v>5218.8100000000004</v>
      </c>
      <c r="AB640">
        <v>10610740</v>
      </c>
      <c r="AC640" t="b">
        <v>1</v>
      </c>
      <c r="AD640" t="b">
        <v>1</v>
      </c>
      <c r="AE640" t="b">
        <v>0</v>
      </c>
      <c r="AF640" t="b">
        <v>0</v>
      </c>
      <c r="AG640" t="s">
        <v>58</v>
      </c>
      <c r="AH640">
        <v>14</v>
      </c>
      <c r="AI640" t="s">
        <v>59</v>
      </c>
      <c r="AJ640" t="s">
        <v>71</v>
      </c>
      <c r="AL640" t="s">
        <v>244</v>
      </c>
      <c r="AM640" t="s">
        <v>245</v>
      </c>
      <c r="AN640" t="s">
        <v>63</v>
      </c>
      <c r="AO640" t="s">
        <v>3258</v>
      </c>
      <c r="AP640" t="s">
        <v>3380</v>
      </c>
    </row>
    <row r="641" spans="1:42" x14ac:dyDescent="0.45">
      <c r="A641" t="s">
        <v>2812</v>
      </c>
      <c r="B641" t="s">
        <v>2813</v>
      </c>
      <c r="C641" t="s">
        <v>3250</v>
      </c>
      <c r="D641">
        <v>2020</v>
      </c>
      <c r="E641" t="s">
        <v>45</v>
      </c>
      <c r="F641" t="s">
        <v>2020</v>
      </c>
      <c r="J641" t="s">
        <v>3384</v>
      </c>
      <c r="K641" t="s">
        <v>3385</v>
      </c>
      <c r="L641" t="s">
        <v>3386</v>
      </c>
      <c r="M641" t="s">
        <v>3387</v>
      </c>
      <c r="N641" t="s">
        <v>2829</v>
      </c>
      <c r="O641" t="s">
        <v>2830</v>
      </c>
      <c r="P641" t="s">
        <v>2027</v>
      </c>
      <c r="Q641" t="s">
        <v>3255</v>
      </c>
      <c r="S641">
        <v>6</v>
      </c>
      <c r="T641" t="s">
        <v>3388</v>
      </c>
      <c r="U641">
        <v>5618</v>
      </c>
      <c r="V641">
        <v>2625</v>
      </c>
      <c r="W641">
        <v>2.1402000000000001</v>
      </c>
      <c r="X641" t="s">
        <v>242</v>
      </c>
      <c r="Y641" t="s">
        <v>3257</v>
      </c>
      <c r="Z641">
        <v>1970.18</v>
      </c>
      <c r="AA641">
        <v>4406.46</v>
      </c>
      <c r="AB641">
        <v>8681525</v>
      </c>
      <c r="AC641" t="b">
        <v>0</v>
      </c>
      <c r="AD641" t="b">
        <v>0</v>
      </c>
      <c r="AE641" t="b">
        <v>0</v>
      </c>
      <c r="AF641" t="b">
        <v>0</v>
      </c>
      <c r="AG641" t="s">
        <v>58</v>
      </c>
      <c r="AH641">
        <v>6</v>
      </c>
      <c r="AI641" t="s">
        <v>59</v>
      </c>
      <c r="AJ641" t="s">
        <v>60</v>
      </c>
      <c r="AL641" t="s">
        <v>3303</v>
      </c>
      <c r="AM641" t="s">
        <v>245</v>
      </c>
      <c r="AN641" t="s">
        <v>63</v>
      </c>
      <c r="AO641" t="s">
        <v>3258</v>
      </c>
      <c r="AP641" t="s">
        <v>3385</v>
      </c>
    </row>
    <row r="642" spans="1:42" x14ac:dyDescent="0.45">
      <c r="A642" t="s">
        <v>2812</v>
      </c>
      <c r="B642" t="s">
        <v>2813</v>
      </c>
      <c r="C642" t="s">
        <v>3250</v>
      </c>
      <c r="D642">
        <v>2020</v>
      </c>
      <c r="E642" t="s">
        <v>45</v>
      </c>
      <c r="F642" t="s">
        <v>2020</v>
      </c>
      <c r="G642">
        <v>12</v>
      </c>
      <c r="J642" t="s">
        <v>3389</v>
      </c>
      <c r="K642" t="s">
        <v>3390</v>
      </c>
      <c r="L642" t="s">
        <v>3391</v>
      </c>
      <c r="M642" t="s">
        <v>3392</v>
      </c>
      <c r="N642" t="s">
        <v>2829</v>
      </c>
      <c r="O642" t="s">
        <v>2830</v>
      </c>
      <c r="P642" t="s">
        <v>2027</v>
      </c>
      <c r="Q642" t="s">
        <v>3255</v>
      </c>
      <c r="S642">
        <v>14</v>
      </c>
      <c r="T642" t="s">
        <v>3393</v>
      </c>
      <c r="U642">
        <v>4910</v>
      </c>
      <c r="V642">
        <v>2625</v>
      </c>
      <c r="W642">
        <v>1.8705000000000001</v>
      </c>
      <c r="X642" t="s">
        <v>242</v>
      </c>
      <c r="Y642" t="s">
        <v>3257</v>
      </c>
      <c r="Z642">
        <v>1998.18</v>
      </c>
      <c r="AA642">
        <v>4641.8599999999997</v>
      </c>
      <c r="AB642">
        <v>9275283</v>
      </c>
      <c r="AC642" t="b">
        <v>0</v>
      </c>
      <c r="AD642" t="b">
        <v>0</v>
      </c>
      <c r="AE642" t="b">
        <v>0</v>
      </c>
      <c r="AF642" t="b">
        <v>0</v>
      </c>
      <c r="AG642" t="s">
        <v>58</v>
      </c>
      <c r="AH642">
        <v>-15</v>
      </c>
      <c r="AI642" t="s">
        <v>59</v>
      </c>
      <c r="AJ642" t="s">
        <v>60</v>
      </c>
      <c r="AK642" t="s">
        <v>333</v>
      </c>
      <c r="AL642" t="s">
        <v>334</v>
      </c>
      <c r="AM642" t="s">
        <v>245</v>
      </c>
      <c r="AN642" t="s">
        <v>63</v>
      </c>
      <c r="AO642" t="s">
        <v>3258</v>
      </c>
      <c r="AP642" t="s">
        <v>3390</v>
      </c>
    </row>
    <row r="643" spans="1:42" x14ac:dyDescent="0.45">
      <c r="A643" t="s">
        <v>2812</v>
      </c>
      <c r="B643" t="s">
        <v>2813</v>
      </c>
      <c r="C643" t="s">
        <v>3250</v>
      </c>
      <c r="D643">
        <v>2020</v>
      </c>
      <c r="E643" t="s">
        <v>45</v>
      </c>
      <c r="F643" t="s">
        <v>2020</v>
      </c>
      <c r="G643">
        <v>13</v>
      </c>
      <c r="J643" t="s">
        <v>3394</v>
      </c>
      <c r="K643" t="s">
        <v>3395</v>
      </c>
      <c r="L643" t="s">
        <v>3396</v>
      </c>
      <c r="M643" t="s">
        <v>3397</v>
      </c>
      <c r="N643" t="s">
        <v>2829</v>
      </c>
      <c r="O643" t="s">
        <v>2830</v>
      </c>
      <c r="P643" t="s">
        <v>2027</v>
      </c>
      <c r="Q643" t="s">
        <v>3255</v>
      </c>
      <c r="S643">
        <v>13</v>
      </c>
      <c r="T643" t="s">
        <v>3398</v>
      </c>
      <c r="U643">
        <v>300</v>
      </c>
      <c r="V643">
        <v>2625</v>
      </c>
      <c r="W643">
        <v>0.1143</v>
      </c>
      <c r="X643" t="s">
        <v>56</v>
      </c>
      <c r="Y643" t="s">
        <v>3257</v>
      </c>
      <c r="Z643">
        <v>1992.18</v>
      </c>
      <c r="AA643">
        <v>550.04</v>
      </c>
      <c r="AB643">
        <v>1095777</v>
      </c>
      <c r="AC643" t="b">
        <v>0</v>
      </c>
      <c r="AD643" t="b">
        <v>0</v>
      </c>
      <c r="AE643" t="b">
        <v>0</v>
      </c>
      <c r="AF643" t="b">
        <v>0</v>
      </c>
      <c r="AG643" t="s">
        <v>58</v>
      </c>
      <c r="AH643">
        <v>-15</v>
      </c>
      <c r="AI643" t="s">
        <v>59</v>
      </c>
      <c r="AJ643" t="s">
        <v>60</v>
      </c>
      <c r="AK643" t="s">
        <v>162</v>
      </c>
      <c r="AL643" t="s">
        <v>163</v>
      </c>
      <c r="AM643" t="s">
        <v>245</v>
      </c>
      <c r="AN643" t="s">
        <v>63</v>
      </c>
      <c r="AO643" t="s">
        <v>3258</v>
      </c>
      <c r="AP643" t="s">
        <v>3395</v>
      </c>
    </row>
    <row r="644" spans="1:42" x14ac:dyDescent="0.45">
      <c r="A644" t="s">
        <v>2812</v>
      </c>
      <c r="B644" t="s">
        <v>2813</v>
      </c>
      <c r="C644" t="s">
        <v>3250</v>
      </c>
      <c r="D644">
        <v>2020</v>
      </c>
      <c r="E644" t="s">
        <v>45</v>
      </c>
      <c r="F644" t="s">
        <v>2020</v>
      </c>
      <c r="G644">
        <v>8</v>
      </c>
      <c r="J644" t="s">
        <v>3399</v>
      </c>
      <c r="K644" t="s">
        <v>3400</v>
      </c>
      <c r="L644" t="s">
        <v>3401</v>
      </c>
      <c r="M644" t="s">
        <v>3402</v>
      </c>
      <c r="N644" t="s">
        <v>2829</v>
      </c>
      <c r="O644" t="s">
        <v>2830</v>
      </c>
      <c r="P644" t="s">
        <v>2027</v>
      </c>
      <c r="Q644" t="s">
        <v>3255</v>
      </c>
      <c r="S644">
        <v>24</v>
      </c>
      <c r="T644" t="s">
        <v>3403</v>
      </c>
      <c r="U644">
        <v>264</v>
      </c>
      <c r="V644">
        <v>2625</v>
      </c>
      <c r="W644">
        <v>0.10059999999999999</v>
      </c>
      <c r="X644" t="s">
        <v>56</v>
      </c>
      <c r="Y644" t="s">
        <v>3257</v>
      </c>
      <c r="Z644">
        <v>2028.83</v>
      </c>
      <c r="AA644">
        <v>644.52</v>
      </c>
      <c r="AB644">
        <v>1307617</v>
      </c>
      <c r="AC644" t="b">
        <v>0</v>
      </c>
      <c r="AD644" t="b">
        <v>0</v>
      </c>
      <c r="AE644" t="b">
        <v>0</v>
      </c>
      <c r="AF644" t="b">
        <v>0</v>
      </c>
      <c r="AG644" t="s">
        <v>58</v>
      </c>
      <c r="AH644">
        <v>-15</v>
      </c>
      <c r="AI644" t="s">
        <v>59</v>
      </c>
      <c r="AJ644" t="s">
        <v>60</v>
      </c>
      <c r="AK644" t="s">
        <v>162</v>
      </c>
      <c r="AL644" t="s">
        <v>163</v>
      </c>
      <c r="AM644" t="s">
        <v>245</v>
      </c>
      <c r="AN644" t="s">
        <v>63</v>
      </c>
      <c r="AO644" t="s">
        <v>3258</v>
      </c>
      <c r="AP644" t="s">
        <v>3400</v>
      </c>
    </row>
    <row r="645" spans="1:42" x14ac:dyDescent="0.45">
      <c r="A645" t="s">
        <v>2812</v>
      </c>
      <c r="B645" t="s">
        <v>2813</v>
      </c>
      <c r="C645" t="s">
        <v>3250</v>
      </c>
      <c r="D645">
        <v>2020</v>
      </c>
      <c r="E645" t="s">
        <v>45</v>
      </c>
      <c r="F645" t="s">
        <v>2020</v>
      </c>
      <c r="G645">
        <v>10</v>
      </c>
      <c r="J645" t="s">
        <v>3404</v>
      </c>
      <c r="K645" t="s">
        <v>3405</v>
      </c>
      <c r="L645" t="s">
        <v>3406</v>
      </c>
      <c r="M645" t="s">
        <v>3407</v>
      </c>
      <c r="N645" t="s">
        <v>2829</v>
      </c>
      <c r="O645" t="s">
        <v>2830</v>
      </c>
      <c r="P645" t="s">
        <v>2027</v>
      </c>
      <c r="Q645" t="s">
        <v>3255</v>
      </c>
      <c r="S645">
        <v>18</v>
      </c>
      <c r="T645" t="s">
        <v>3408</v>
      </c>
      <c r="U645">
        <v>4085</v>
      </c>
      <c r="V645">
        <v>2625</v>
      </c>
      <c r="W645">
        <v>1.5562</v>
      </c>
      <c r="X645" t="s">
        <v>70</v>
      </c>
      <c r="Y645" t="s">
        <v>3257</v>
      </c>
      <c r="Z645">
        <v>2012.18</v>
      </c>
      <c r="AA645">
        <v>4387.1000000000004</v>
      </c>
      <c r="AB645">
        <v>8827636</v>
      </c>
      <c r="AC645" t="b">
        <v>0</v>
      </c>
      <c r="AD645" t="b">
        <v>0</v>
      </c>
      <c r="AE645" t="b">
        <v>0</v>
      </c>
      <c r="AF645" t="b">
        <v>0</v>
      </c>
      <c r="AG645" t="s">
        <v>58</v>
      </c>
      <c r="AH645">
        <v>10</v>
      </c>
      <c r="AI645" t="s">
        <v>59</v>
      </c>
      <c r="AJ645" t="s">
        <v>60</v>
      </c>
      <c r="AL645" t="s">
        <v>281</v>
      </c>
      <c r="AM645" t="s">
        <v>245</v>
      </c>
      <c r="AN645" t="s">
        <v>63</v>
      </c>
      <c r="AO645" t="s">
        <v>3258</v>
      </c>
      <c r="AP645" t="s">
        <v>3405</v>
      </c>
    </row>
    <row r="646" spans="1:42" x14ac:dyDescent="0.45">
      <c r="A646" t="s">
        <v>2812</v>
      </c>
      <c r="B646" t="s">
        <v>2813</v>
      </c>
      <c r="C646" t="s">
        <v>3250</v>
      </c>
      <c r="D646">
        <v>2020</v>
      </c>
      <c r="E646" t="s">
        <v>45</v>
      </c>
      <c r="F646" t="s">
        <v>2020</v>
      </c>
      <c r="G646">
        <v>15</v>
      </c>
      <c r="J646" t="s">
        <v>3409</v>
      </c>
      <c r="K646" t="s">
        <v>3410</v>
      </c>
      <c r="L646" t="s">
        <v>3411</v>
      </c>
      <c r="M646" t="s">
        <v>3412</v>
      </c>
      <c r="N646" t="s">
        <v>2829</v>
      </c>
      <c r="O646" t="s">
        <v>2830</v>
      </c>
      <c r="P646" t="s">
        <v>2027</v>
      </c>
      <c r="Q646" t="s">
        <v>3255</v>
      </c>
      <c r="S646">
        <v>8</v>
      </c>
      <c r="T646" t="s">
        <v>3413</v>
      </c>
      <c r="U646">
        <v>4392</v>
      </c>
      <c r="V646">
        <v>2625</v>
      </c>
      <c r="W646">
        <v>1.6731</v>
      </c>
      <c r="X646" t="s">
        <v>242</v>
      </c>
      <c r="Y646" t="s">
        <v>3257</v>
      </c>
      <c r="Z646">
        <v>1977.18</v>
      </c>
      <c r="AA646">
        <v>3498.59</v>
      </c>
      <c r="AB646">
        <v>6917331</v>
      </c>
      <c r="AC646" t="b">
        <v>0</v>
      </c>
      <c r="AD646" t="b">
        <v>0</v>
      </c>
      <c r="AE646" t="b">
        <v>0</v>
      </c>
      <c r="AF646" t="b">
        <v>0</v>
      </c>
      <c r="AG646" t="s">
        <v>58</v>
      </c>
      <c r="AH646">
        <v>-15</v>
      </c>
      <c r="AI646" t="s">
        <v>59</v>
      </c>
      <c r="AJ646" t="s">
        <v>60</v>
      </c>
      <c r="AK646" t="s">
        <v>333</v>
      </c>
      <c r="AL646" t="s">
        <v>334</v>
      </c>
      <c r="AM646" t="s">
        <v>245</v>
      </c>
      <c r="AN646" t="s">
        <v>63</v>
      </c>
      <c r="AO646" t="s">
        <v>3258</v>
      </c>
      <c r="AP646" t="s">
        <v>3410</v>
      </c>
    </row>
    <row r="647" spans="1:42" x14ac:dyDescent="0.45">
      <c r="A647" t="s">
        <v>2812</v>
      </c>
      <c r="B647" t="s">
        <v>2813</v>
      </c>
      <c r="C647" t="s">
        <v>3250</v>
      </c>
      <c r="D647">
        <v>2020</v>
      </c>
      <c r="E647" t="s">
        <v>45</v>
      </c>
      <c r="F647" t="s">
        <v>2020</v>
      </c>
      <c r="J647" t="s">
        <v>3414</v>
      </c>
      <c r="K647" t="s">
        <v>3415</v>
      </c>
      <c r="L647" t="s">
        <v>3416</v>
      </c>
      <c r="M647" t="s">
        <v>3417</v>
      </c>
      <c r="N647" t="s">
        <v>2829</v>
      </c>
      <c r="O647" t="s">
        <v>2830</v>
      </c>
      <c r="P647" t="s">
        <v>2027</v>
      </c>
      <c r="Q647" t="s">
        <v>3255</v>
      </c>
      <c r="S647">
        <v>4</v>
      </c>
      <c r="T647" t="s">
        <v>3418</v>
      </c>
      <c r="U647">
        <v>1387</v>
      </c>
      <c r="V647">
        <v>2625</v>
      </c>
      <c r="W647">
        <v>0.52839999999999998</v>
      </c>
      <c r="X647" t="s">
        <v>196</v>
      </c>
      <c r="Y647" t="s">
        <v>3257</v>
      </c>
      <c r="Z647">
        <v>1956.18</v>
      </c>
      <c r="AA647">
        <v>250.4</v>
      </c>
      <c r="AB647">
        <v>489832</v>
      </c>
      <c r="AC647" t="b">
        <v>0</v>
      </c>
      <c r="AD647" t="b">
        <v>0</v>
      </c>
      <c r="AE647" t="b">
        <v>0</v>
      </c>
      <c r="AF647" t="b">
        <v>0</v>
      </c>
      <c r="AG647" t="s">
        <v>58</v>
      </c>
      <c r="AH647">
        <v>4</v>
      </c>
      <c r="AI647" t="s">
        <v>59</v>
      </c>
      <c r="AJ647" t="s">
        <v>60</v>
      </c>
      <c r="AL647" t="s">
        <v>476</v>
      </c>
      <c r="AM647" t="s">
        <v>245</v>
      </c>
      <c r="AN647" t="s">
        <v>63</v>
      </c>
      <c r="AO647" t="s">
        <v>3258</v>
      </c>
      <c r="AP647" t="s">
        <v>3415</v>
      </c>
    </row>
    <row r="648" spans="1:42" x14ac:dyDescent="0.45">
      <c r="A648" t="s">
        <v>2812</v>
      </c>
      <c r="B648" t="s">
        <v>2813</v>
      </c>
      <c r="C648" t="s">
        <v>3250</v>
      </c>
      <c r="D648">
        <v>2020</v>
      </c>
      <c r="E648" t="s">
        <v>45</v>
      </c>
      <c r="F648" t="s">
        <v>2020</v>
      </c>
      <c r="J648" t="s">
        <v>3419</v>
      </c>
      <c r="K648" t="s">
        <v>3420</v>
      </c>
      <c r="L648" t="s">
        <v>3421</v>
      </c>
      <c r="M648" t="s">
        <v>3422</v>
      </c>
      <c r="N648" t="s">
        <v>2829</v>
      </c>
      <c r="O648" t="s">
        <v>2830</v>
      </c>
      <c r="P648" t="s">
        <v>2027</v>
      </c>
      <c r="Q648" t="s">
        <v>3255</v>
      </c>
      <c r="S648">
        <v>3</v>
      </c>
      <c r="T648" t="s">
        <v>3423</v>
      </c>
      <c r="U648">
        <v>2166</v>
      </c>
      <c r="V648">
        <v>2625</v>
      </c>
      <c r="W648">
        <v>0.82509999999999994</v>
      </c>
      <c r="X648" t="s">
        <v>70</v>
      </c>
      <c r="Y648" t="s">
        <v>3257</v>
      </c>
      <c r="Z648">
        <v>1948.97</v>
      </c>
      <c r="AA648">
        <v>83.63</v>
      </c>
      <c r="AB648">
        <v>163002</v>
      </c>
      <c r="AC648" t="b">
        <v>0</v>
      </c>
      <c r="AD648" t="b">
        <v>0</v>
      </c>
      <c r="AE648" t="b">
        <v>0</v>
      </c>
      <c r="AF648" t="b">
        <v>0</v>
      </c>
      <c r="AG648" t="s">
        <v>58</v>
      </c>
      <c r="AH648">
        <v>6</v>
      </c>
      <c r="AI648" t="s">
        <v>59</v>
      </c>
      <c r="AJ648" t="s">
        <v>60</v>
      </c>
      <c r="AL648" t="s">
        <v>3303</v>
      </c>
      <c r="AM648" t="s">
        <v>245</v>
      </c>
      <c r="AN648" t="s">
        <v>63</v>
      </c>
      <c r="AO648" t="s">
        <v>3258</v>
      </c>
      <c r="AP648" t="s">
        <v>3420</v>
      </c>
    </row>
    <row r="649" spans="1:42" x14ac:dyDescent="0.45">
      <c r="A649" t="s">
        <v>2812</v>
      </c>
      <c r="B649" t="s">
        <v>2813</v>
      </c>
      <c r="C649" t="s">
        <v>3250</v>
      </c>
      <c r="D649">
        <v>2020</v>
      </c>
      <c r="E649" t="s">
        <v>45</v>
      </c>
      <c r="F649" t="s">
        <v>2020</v>
      </c>
      <c r="G649">
        <v>14</v>
      </c>
      <c r="J649" t="s">
        <v>3424</v>
      </c>
      <c r="K649" t="s">
        <v>3425</v>
      </c>
      <c r="L649" t="s">
        <v>3426</v>
      </c>
      <c r="M649" t="s">
        <v>3427</v>
      </c>
      <c r="N649" t="s">
        <v>2829</v>
      </c>
      <c r="O649" t="s">
        <v>2830</v>
      </c>
      <c r="P649" t="s">
        <v>2027</v>
      </c>
      <c r="Q649" t="s">
        <v>3255</v>
      </c>
      <c r="S649">
        <v>10</v>
      </c>
      <c r="T649" t="s">
        <v>3428</v>
      </c>
      <c r="U649">
        <v>4437</v>
      </c>
      <c r="V649">
        <v>2625</v>
      </c>
      <c r="W649">
        <v>1.6902999999999999</v>
      </c>
      <c r="X649" t="s">
        <v>242</v>
      </c>
      <c r="Y649" t="s">
        <v>3257</v>
      </c>
      <c r="Z649">
        <v>1984.17</v>
      </c>
      <c r="AA649">
        <v>3719.05</v>
      </c>
      <c r="AB649">
        <v>7379234</v>
      </c>
      <c r="AC649" t="b">
        <v>0</v>
      </c>
      <c r="AD649" t="b">
        <v>0</v>
      </c>
      <c r="AE649" t="b">
        <v>0</v>
      </c>
      <c r="AF649" t="b">
        <v>0</v>
      </c>
      <c r="AG649" t="s">
        <v>58</v>
      </c>
      <c r="AH649">
        <v>-15</v>
      </c>
      <c r="AI649" t="s">
        <v>59</v>
      </c>
      <c r="AJ649" t="s">
        <v>60</v>
      </c>
      <c r="AK649" t="s">
        <v>333</v>
      </c>
      <c r="AL649" t="s">
        <v>334</v>
      </c>
      <c r="AM649" t="s">
        <v>245</v>
      </c>
      <c r="AN649" t="s">
        <v>63</v>
      </c>
      <c r="AO649" t="s">
        <v>3258</v>
      </c>
      <c r="AP649" t="s">
        <v>3425</v>
      </c>
    </row>
    <row r="650" spans="1:42" x14ac:dyDescent="0.45">
      <c r="A650" t="s">
        <v>2812</v>
      </c>
      <c r="B650" t="s">
        <v>2813</v>
      </c>
      <c r="C650" t="s">
        <v>3250</v>
      </c>
      <c r="D650">
        <v>2020</v>
      </c>
      <c r="E650" t="s">
        <v>45</v>
      </c>
      <c r="F650" t="s">
        <v>2020</v>
      </c>
      <c r="G650">
        <v>6</v>
      </c>
      <c r="J650" t="s">
        <v>3429</v>
      </c>
      <c r="K650" t="s">
        <v>3430</v>
      </c>
      <c r="L650" t="s">
        <v>3431</v>
      </c>
      <c r="M650" t="s">
        <v>3432</v>
      </c>
      <c r="N650" t="s">
        <v>2829</v>
      </c>
      <c r="O650" t="s">
        <v>2830</v>
      </c>
      <c r="P650" t="s">
        <v>2027</v>
      </c>
      <c r="Q650" t="s">
        <v>3255</v>
      </c>
      <c r="S650">
        <v>29</v>
      </c>
      <c r="T650" t="s">
        <v>3433</v>
      </c>
      <c r="U650">
        <v>116</v>
      </c>
      <c r="V650">
        <v>2625</v>
      </c>
      <c r="W650">
        <v>4.4200000000000003E-2</v>
      </c>
      <c r="X650" t="s">
        <v>56</v>
      </c>
      <c r="Y650" t="s">
        <v>3257</v>
      </c>
      <c r="Z650">
        <v>2040.75</v>
      </c>
      <c r="AA650">
        <v>455.35</v>
      </c>
      <c r="AB650">
        <v>929256</v>
      </c>
      <c r="AC650" t="b">
        <v>1</v>
      </c>
      <c r="AD650" t="b">
        <v>0</v>
      </c>
      <c r="AE650" t="b">
        <v>0</v>
      </c>
      <c r="AF650" t="b">
        <v>0</v>
      </c>
      <c r="AG650" t="s">
        <v>58</v>
      </c>
      <c r="AH650">
        <v>12</v>
      </c>
      <c r="AI650" t="s">
        <v>59</v>
      </c>
      <c r="AJ650" t="s">
        <v>60</v>
      </c>
      <c r="AK650" t="s">
        <v>252</v>
      </c>
      <c r="AL650" t="s">
        <v>415</v>
      </c>
      <c r="AM650" t="s">
        <v>245</v>
      </c>
      <c r="AN650" t="s">
        <v>63</v>
      </c>
      <c r="AO650" t="s">
        <v>3258</v>
      </c>
      <c r="AP650" t="s">
        <v>3430</v>
      </c>
    </row>
    <row r="651" spans="1:42" x14ac:dyDescent="0.45">
      <c r="A651" t="s">
        <v>2812</v>
      </c>
      <c r="B651" t="s">
        <v>2813</v>
      </c>
      <c r="C651" t="s">
        <v>3434</v>
      </c>
      <c r="D651">
        <v>2022</v>
      </c>
      <c r="E651" t="s">
        <v>45</v>
      </c>
      <c r="F651" t="s">
        <v>2020</v>
      </c>
      <c r="G651">
        <v>16</v>
      </c>
      <c r="J651" t="s">
        <v>3435</v>
      </c>
      <c r="K651" t="s">
        <v>3436</v>
      </c>
      <c r="L651" t="s">
        <v>3437</v>
      </c>
      <c r="M651" t="s">
        <v>3438</v>
      </c>
      <c r="N651" t="s">
        <v>2829</v>
      </c>
      <c r="O651" t="s">
        <v>2830</v>
      </c>
      <c r="P651" t="s">
        <v>2027</v>
      </c>
      <c r="Q651" t="s">
        <v>3439</v>
      </c>
      <c r="S651">
        <v>1</v>
      </c>
      <c r="T651" t="s">
        <v>3440</v>
      </c>
      <c r="U651">
        <v>4256</v>
      </c>
      <c r="V651">
        <v>3661.5</v>
      </c>
      <c r="W651">
        <v>1.1624000000000001</v>
      </c>
      <c r="X651" t="s">
        <v>70</v>
      </c>
      <c r="Y651" t="s">
        <v>3441</v>
      </c>
      <c r="Z651">
        <v>1515.74</v>
      </c>
      <c r="AA651">
        <v>1487.59</v>
      </c>
      <c r="AB651">
        <v>2254800</v>
      </c>
      <c r="AC651" t="b">
        <v>1</v>
      </c>
      <c r="AD651" t="b">
        <v>1</v>
      </c>
      <c r="AE651" t="b">
        <v>0</v>
      </c>
      <c r="AF651" t="b">
        <v>0</v>
      </c>
      <c r="AG651" t="s">
        <v>58</v>
      </c>
      <c r="AH651">
        <v>14</v>
      </c>
      <c r="AI651" t="s">
        <v>59</v>
      </c>
      <c r="AJ651" t="s">
        <v>71</v>
      </c>
      <c r="AL651" t="s">
        <v>244</v>
      </c>
      <c r="AM651" t="s">
        <v>245</v>
      </c>
      <c r="AN651" t="s">
        <v>63</v>
      </c>
      <c r="AO651" t="s">
        <v>3442</v>
      </c>
      <c r="AP651" t="s">
        <v>3436</v>
      </c>
    </row>
    <row r="652" spans="1:42" x14ac:dyDescent="0.45">
      <c r="A652" t="s">
        <v>2812</v>
      </c>
      <c r="B652" t="s">
        <v>2813</v>
      </c>
      <c r="C652" t="s">
        <v>3434</v>
      </c>
      <c r="D652">
        <v>2022</v>
      </c>
      <c r="E652" t="s">
        <v>45</v>
      </c>
      <c r="F652" t="s">
        <v>2020</v>
      </c>
      <c r="G652">
        <v>13</v>
      </c>
      <c r="J652" t="s">
        <v>3443</v>
      </c>
      <c r="K652" t="s">
        <v>3444</v>
      </c>
      <c r="L652" t="s">
        <v>3445</v>
      </c>
      <c r="M652" t="s">
        <v>3446</v>
      </c>
      <c r="N652" t="s">
        <v>2829</v>
      </c>
      <c r="O652" t="s">
        <v>2830</v>
      </c>
      <c r="P652" t="s">
        <v>2027</v>
      </c>
      <c r="Q652" t="s">
        <v>3439</v>
      </c>
      <c r="S652">
        <v>4</v>
      </c>
      <c r="T652" t="s">
        <v>3447</v>
      </c>
      <c r="U652">
        <v>3529</v>
      </c>
      <c r="V652">
        <v>3661.5</v>
      </c>
      <c r="W652">
        <v>0.96379999999999999</v>
      </c>
      <c r="X652" t="s">
        <v>70</v>
      </c>
      <c r="Y652" t="s">
        <v>3441</v>
      </c>
      <c r="Z652">
        <v>1536.74</v>
      </c>
      <c r="AA652">
        <v>1674.18</v>
      </c>
      <c r="AB652">
        <v>2572782</v>
      </c>
      <c r="AC652" t="b">
        <v>1</v>
      </c>
      <c r="AD652" t="b">
        <v>1</v>
      </c>
      <c r="AE652" t="b">
        <v>0</v>
      </c>
      <c r="AF652" t="b">
        <v>0</v>
      </c>
      <c r="AG652" t="s">
        <v>58</v>
      </c>
      <c r="AH652">
        <v>14</v>
      </c>
      <c r="AI652" t="s">
        <v>59</v>
      </c>
      <c r="AJ652" t="s">
        <v>71</v>
      </c>
      <c r="AL652" t="s">
        <v>244</v>
      </c>
      <c r="AM652" t="s">
        <v>245</v>
      </c>
      <c r="AN652" t="s">
        <v>63</v>
      </c>
      <c r="AO652" t="s">
        <v>3442</v>
      </c>
      <c r="AP652" t="s">
        <v>3444</v>
      </c>
    </row>
    <row r="653" spans="1:42" x14ac:dyDescent="0.45">
      <c r="A653" t="s">
        <v>2812</v>
      </c>
      <c r="B653" t="s">
        <v>2813</v>
      </c>
      <c r="C653" t="s">
        <v>3434</v>
      </c>
      <c r="D653">
        <v>2022</v>
      </c>
      <c r="E653" t="s">
        <v>45</v>
      </c>
      <c r="F653" t="s">
        <v>2020</v>
      </c>
      <c r="G653">
        <v>10</v>
      </c>
      <c r="J653" t="s">
        <v>3448</v>
      </c>
      <c r="K653" t="s">
        <v>3449</v>
      </c>
      <c r="L653" t="s">
        <v>3450</v>
      </c>
      <c r="M653" t="s">
        <v>3451</v>
      </c>
      <c r="N653" t="s">
        <v>2829</v>
      </c>
      <c r="O653" t="s">
        <v>2830</v>
      </c>
      <c r="P653" t="s">
        <v>2027</v>
      </c>
      <c r="Q653" t="s">
        <v>3439</v>
      </c>
      <c r="S653">
        <v>7</v>
      </c>
      <c r="T653" t="s">
        <v>3452</v>
      </c>
      <c r="U653">
        <v>4050</v>
      </c>
      <c r="V653">
        <v>3661.5</v>
      </c>
      <c r="W653">
        <v>1.1061000000000001</v>
      </c>
      <c r="X653" t="s">
        <v>70</v>
      </c>
      <c r="Y653" t="s">
        <v>3441</v>
      </c>
      <c r="Z653">
        <v>1557.74</v>
      </c>
      <c r="AA653">
        <v>2811.33</v>
      </c>
      <c r="AB653">
        <v>4379335</v>
      </c>
      <c r="AC653" t="b">
        <v>1</v>
      </c>
      <c r="AD653" t="b">
        <v>1</v>
      </c>
      <c r="AE653" t="b">
        <v>0</v>
      </c>
      <c r="AF653" t="b">
        <v>0</v>
      </c>
      <c r="AG653" t="s">
        <v>58</v>
      </c>
      <c r="AH653">
        <v>14</v>
      </c>
      <c r="AI653" t="s">
        <v>59</v>
      </c>
      <c r="AJ653" t="s">
        <v>71</v>
      </c>
      <c r="AL653" t="s">
        <v>244</v>
      </c>
      <c r="AM653" t="s">
        <v>245</v>
      </c>
      <c r="AN653" t="s">
        <v>63</v>
      </c>
      <c r="AO653" t="s">
        <v>3442</v>
      </c>
      <c r="AP653" t="s">
        <v>3449</v>
      </c>
    </row>
    <row r="654" spans="1:42" x14ac:dyDescent="0.45">
      <c r="A654" t="s">
        <v>2812</v>
      </c>
      <c r="B654" t="s">
        <v>2813</v>
      </c>
      <c r="C654" t="s">
        <v>3434</v>
      </c>
      <c r="D654">
        <v>2022</v>
      </c>
      <c r="E654" t="s">
        <v>45</v>
      </c>
      <c r="F654" t="s">
        <v>2020</v>
      </c>
      <c r="J654" t="s">
        <v>3453</v>
      </c>
      <c r="K654" t="s">
        <v>3454</v>
      </c>
      <c r="L654" t="s">
        <v>3455</v>
      </c>
      <c r="M654" t="s">
        <v>3456</v>
      </c>
      <c r="N654" t="s">
        <v>2829</v>
      </c>
      <c r="O654" t="s">
        <v>2830</v>
      </c>
      <c r="P654" t="s">
        <v>2027</v>
      </c>
      <c r="Q654" t="s">
        <v>3439</v>
      </c>
      <c r="S654">
        <v>5</v>
      </c>
      <c r="T654" t="s">
        <v>3457</v>
      </c>
      <c r="U654">
        <v>3599</v>
      </c>
      <c r="V654">
        <v>3661.5</v>
      </c>
      <c r="W654">
        <v>0.9829</v>
      </c>
      <c r="X654" t="s">
        <v>70</v>
      </c>
      <c r="Y654" t="s">
        <v>3441</v>
      </c>
      <c r="Z654">
        <v>1543.74</v>
      </c>
      <c r="AA654">
        <v>1970.89</v>
      </c>
      <c r="AB654">
        <v>3042553</v>
      </c>
      <c r="AC654" t="b">
        <v>0</v>
      </c>
      <c r="AD654" t="b">
        <v>0</v>
      </c>
      <c r="AE654" t="b">
        <v>0</v>
      </c>
      <c r="AF654" t="b">
        <v>0</v>
      </c>
      <c r="AG654" t="s">
        <v>58</v>
      </c>
      <c r="AH654">
        <v>6</v>
      </c>
      <c r="AI654" t="s">
        <v>59</v>
      </c>
      <c r="AJ654" t="s">
        <v>60</v>
      </c>
      <c r="AL654" t="s">
        <v>3303</v>
      </c>
      <c r="AM654" t="s">
        <v>245</v>
      </c>
      <c r="AN654" t="s">
        <v>63</v>
      </c>
      <c r="AO654" t="s">
        <v>3442</v>
      </c>
      <c r="AP654" t="s">
        <v>3454</v>
      </c>
    </row>
    <row r="655" spans="1:42" x14ac:dyDescent="0.45">
      <c r="A655" t="s">
        <v>2812</v>
      </c>
      <c r="B655" t="s">
        <v>2813</v>
      </c>
      <c r="C655" t="s">
        <v>3434</v>
      </c>
      <c r="D655">
        <v>2022</v>
      </c>
      <c r="E655" t="s">
        <v>45</v>
      </c>
      <c r="F655" t="s">
        <v>2020</v>
      </c>
      <c r="J655" t="s">
        <v>3458</v>
      </c>
      <c r="K655" t="s">
        <v>3459</v>
      </c>
      <c r="L655" t="s">
        <v>3460</v>
      </c>
      <c r="M655" t="s">
        <v>3461</v>
      </c>
      <c r="N655" t="s">
        <v>2829</v>
      </c>
      <c r="O655" t="s">
        <v>2830</v>
      </c>
      <c r="P655" t="s">
        <v>2027</v>
      </c>
      <c r="Q655" t="s">
        <v>3439</v>
      </c>
      <c r="S655">
        <v>0</v>
      </c>
      <c r="T655" t="s">
        <v>3462</v>
      </c>
      <c r="U655">
        <v>4320</v>
      </c>
      <c r="V655">
        <v>3661.5</v>
      </c>
      <c r="W655">
        <v>1.1798</v>
      </c>
      <c r="X655" t="s">
        <v>70</v>
      </c>
      <c r="Y655" t="s">
        <v>3441</v>
      </c>
      <c r="Z655">
        <v>1508.74</v>
      </c>
      <c r="AA655">
        <v>1841.84</v>
      </c>
      <c r="AB655">
        <v>2778864</v>
      </c>
      <c r="AC655" t="b">
        <v>0</v>
      </c>
      <c r="AD655" t="b">
        <v>0</v>
      </c>
      <c r="AE655" t="b">
        <v>0</v>
      </c>
      <c r="AF655" t="b">
        <v>0</v>
      </c>
      <c r="AG655" t="s">
        <v>58</v>
      </c>
      <c r="AH655">
        <v>10</v>
      </c>
      <c r="AI655" t="s">
        <v>386</v>
      </c>
      <c r="AJ655" t="s">
        <v>387</v>
      </c>
      <c r="AL655" t="s">
        <v>983</v>
      </c>
      <c r="AM655" t="s">
        <v>245</v>
      </c>
      <c r="AN655" t="s">
        <v>63</v>
      </c>
      <c r="AO655" t="s">
        <v>3442</v>
      </c>
      <c r="AP655" t="s">
        <v>3459</v>
      </c>
    </row>
    <row r="656" spans="1:42" x14ac:dyDescent="0.45">
      <c r="A656" t="s">
        <v>2812</v>
      </c>
      <c r="B656" t="s">
        <v>2813</v>
      </c>
      <c r="C656" t="s">
        <v>3434</v>
      </c>
      <c r="D656">
        <v>2022</v>
      </c>
      <c r="E656" t="s">
        <v>45</v>
      </c>
      <c r="F656" t="s">
        <v>2020</v>
      </c>
      <c r="G656">
        <v>3</v>
      </c>
      <c r="J656" t="s">
        <v>3463</v>
      </c>
      <c r="K656" t="s">
        <v>3464</v>
      </c>
      <c r="L656" t="s">
        <v>3465</v>
      </c>
      <c r="M656" t="s">
        <v>3466</v>
      </c>
      <c r="N656" t="s">
        <v>2829</v>
      </c>
      <c r="O656" t="s">
        <v>2830</v>
      </c>
      <c r="P656" t="s">
        <v>2027</v>
      </c>
      <c r="Q656" t="s">
        <v>3439</v>
      </c>
      <c r="S656">
        <v>14</v>
      </c>
      <c r="T656" t="s">
        <v>3467</v>
      </c>
      <c r="U656">
        <v>3539</v>
      </c>
      <c r="V656">
        <v>3661.5</v>
      </c>
      <c r="W656">
        <v>0.96650000000000003</v>
      </c>
      <c r="X656" t="s">
        <v>70</v>
      </c>
      <c r="Y656" t="s">
        <v>3441</v>
      </c>
      <c r="Z656">
        <v>1606.74</v>
      </c>
      <c r="AA656">
        <v>7803.5</v>
      </c>
      <c r="AB656">
        <v>12538221</v>
      </c>
      <c r="AC656" t="b">
        <v>1</v>
      </c>
      <c r="AD656" t="b">
        <v>1</v>
      </c>
      <c r="AE656" t="b">
        <v>0</v>
      </c>
      <c r="AF656" t="b">
        <v>0</v>
      </c>
      <c r="AG656" t="s">
        <v>58</v>
      </c>
      <c r="AH656">
        <v>14</v>
      </c>
      <c r="AI656" t="s">
        <v>59</v>
      </c>
      <c r="AJ656" t="s">
        <v>71</v>
      </c>
      <c r="AL656" t="s">
        <v>244</v>
      </c>
      <c r="AM656" t="s">
        <v>245</v>
      </c>
      <c r="AN656" t="s">
        <v>63</v>
      </c>
      <c r="AO656" t="s">
        <v>3442</v>
      </c>
      <c r="AP656" t="s">
        <v>3464</v>
      </c>
    </row>
    <row r="657" spans="1:42" x14ac:dyDescent="0.45">
      <c r="A657" t="s">
        <v>2812</v>
      </c>
      <c r="B657" t="s">
        <v>2813</v>
      </c>
      <c r="C657" t="s">
        <v>3434</v>
      </c>
      <c r="D657">
        <v>2022</v>
      </c>
      <c r="E657" t="s">
        <v>45</v>
      </c>
      <c r="F657" t="s">
        <v>2020</v>
      </c>
      <c r="G657">
        <v>7</v>
      </c>
      <c r="J657" t="s">
        <v>3468</v>
      </c>
      <c r="K657" t="s">
        <v>3469</v>
      </c>
      <c r="L657" t="s">
        <v>3470</v>
      </c>
      <c r="M657" t="s">
        <v>3471</v>
      </c>
      <c r="N657" t="s">
        <v>2829</v>
      </c>
      <c r="O657" t="s">
        <v>2830</v>
      </c>
      <c r="P657" t="s">
        <v>2027</v>
      </c>
      <c r="Q657" t="s">
        <v>3439</v>
      </c>
      <c r="S657">
        <v>10</v>
      </c>
      <c r="T657" t="s">
        <v>3472</v>
      </c>
      <c r="U657">
        <v>3975</v>
      </c>
      <c r="V657">
        <v>3661.5</v>
      </c>
      <c r="W657">
        <v>1.0855999999999999</v>
      </c>
      <c r="X657" t="s">
        <v>70</v>
      </c>
      <c r="Y657" t="s">
        <v>3441</v>
      </c>
      <c r="Z657">
        <v>1578.74</v>
      </c>
      <c r="AA657">
        <v>4253.99</v>
      </c>
      <c r="AB657">
        <v>6715958</v>
      </c>
      <c r="AC657" t="b">
        <v>0</v>
      </c>
      <c r="AD657" t="b">
        <v>0</v>
      </c>
      <c r="AE657" t="b">
        <v>0</v>
      </c>
      <c r="AF657" t="b">
        <v>0</v>
      </c>
      <c r="AG657" t="s">
        <v>58</v>
      </c>
      <c r="AH657">
        <v>10</v>
      </c>
      <c r="AI657" t="s">
        <v>59</v>
      </c>
      <c r="AJ657" t="s">
        <v>60</v>
      </c>
      <c r="AL657" t="s">
        <v>281</v>
      </c>
      <c r="AM657" t="s">
        <v>245</v>
      </c>
      <c r="AN657" t="s">
        <v>63</v>
      </c>
      <c r="AO657" t="s">
        <v>3442</v>
      </c>
      <c r="AP657" t="s">
        <v>3469</v>
      </c>
    </row>
    <row r="658" spans="1:42" x14ac:dyDescent="0.45">
      <c r="A658" t="s">
        <v>2812</v>
      </c>
      <c r="B658" t="s">
        <v>2813</v>
      </c>
      <c r="C658" t="s">
        <v>3434</v>
      </c>
      <c r="D658">
        <v>2022</v>
      </c>
      <c r="E658" t="s">
        <v>45</v>
      </c>
      <c r="F658" t="s">
        <v>2020</v>
      </c>
      <c r="G658">
        <v>5</v>
      </c>
      <c r="J658" t="s">
        <v>3473</v>
      </c>
      <c r="K658" t="s">
        <v>3474</v>
      </c>
      <c r="L658" t="s">
        <v>3475</v>
      </c>
      <c r="M658" t="s">
        <v>3476</v>
      </c>
      <c r="N658" t="s">
        <v>2829</v>
      </c>
      <c r="O658" t="s">
        <v>2830</v>
      </c>
      <c r="P658" t="s">
        <v>2027</v>
      </c>
      <c r="Q658" t="s">
        <v>3439</v>
      </c>
      <c r="S658">
        <v>12</v>
      </c>
      <c r="T658" t="s">
        <v>3477</v>
      </c>
      <c r="U658">
        <v>3910</v>
      </c>
      <c r="V658">
        <v>3661.5</v>
      </c>
      <c r="W658">
        <v>1.0679000000000001</v>
      </c>
      <c r="X658" t="s">
        <v>70</v>
      </c>
      <c r="Y658" t="s">
        <v>3441</v>
      </c>
      <c r="Z658">
        <v>1592.74</v>
      </c>
      <c r="AA658">
        <v>5737</v>
      </c>
      <c r="AB658">
        <v>9137568</v>
      </c>
      <c r="AC658" t="b">
        <v>1</v>
      </c>
      <c r="AD658" t="b">
        <v>1</v>
      </c>
      <c r="AE658" t="b">
        <v>0</v>
      </c>
      <c r="AF658" t="b">
        <v>0</v>
      </c>
      <c r="AG658" t="s">
        <v>58</v>
      </c>
      <c r="AH658">
        <v>14</v>
      </c>
      <c r="AI658" t="s">
        <v>59</v>
      </c>
      <c r="AJ658" t="s">
        <v>71</v>
      </c>
      <c r="AL658" t="s">
        <v>244</v>
      </c>
      <c r="AM658" t="s">
        <v>245</v>
      </c>
      <c r="AN658" t="s">
        <v>63</v>
      </c>
      <c r="AO658" t="s">
        <v>3442</v>
      </c>
      <c r="AP658" t="s">
        <v>3474</v>
      </c>
    </row>
    <row r="659" spans="1:42" x14ac:dyDescent="0.45">
      <c r="A659" t="s">
        <v>2812</v>
      </c>
      <c r="B659" t="s">
        <v>2813</v>
      </c>
      <c r="C659" t="s">
        <v>3434</v>
      </c>
      <c r="D659">
        <v>2022</v>
      </c>
      <c r="E659" t="s">
        <v>45</v>
      </c>
      <c r="F659" t="s">
        <v>2020</v>
      </c>
      <c r="G659">
        <v>8</v>
      </c>
      <c r="J659" t="s">
        <v>3478</v>
      </c>
      <c r="K659" t="s">
        <v>3479</v>
      </c>
      <c r="L659" t="s">
        <v>3480</v>
      </c>
      <c r="M659" t="s">
        <v>3481</v>
      </c>
      <c r="N659" t="s">
        <v>2829</v>
      </c>
      <c r="O659" t="s">
        <v>2830</v>
      </c>
      <c r="P659" t="s">
        <v>2027</v>
      </c>
      <c r="Q659" t="s">
        <v>3439</v>
      </c>
      <c r="S659">
        <v>9</v>
      </c>
      <c r="T659" t="s">
        <v>3482</v>
      </c>
      <c r="U659">
        <v>3657</v>
      </c>
      <c r="V659">
        <v>3661.5</v>
      </c>
      <c r="W659">
        <v>0.99880000000000002</v>
      </c>
      <c r="X659" t="s">
        <v>70</v>
      </c>
      <c r="Y659" t="s">
        <v>3441</v>
      </c>
      <c r="Z659">
        <v>1571.74</v>
      </c>
      <c r="AA659">
        <v>3764.7</v>
      </c>
      <c r="AB659">
        <v>5917138</v>
      </c>
      <c r="AC659" t="b">
        <v>1</v>
      </c>
      <c r="AD659" t="b">
        <v>1</v>
      </c>
      <c r="AE659" t="b">
        <v>0</v>
      </c>
      <c r="AF659" t="b">
        <v>0</v>
      </c>
      <c r="AG659" t="s">
        <v>58</v>
      </c>
      <c r="AH659">
        <v>14</v>
      </c>
      <c r="AI659" t="s">
        <v>59</v>
      </c>
      <c r="AJ659" t="s">
        <v>71</v>
      </c>
      <c r="AL659" t="s">
        <v>244</v>
      </c>
      <c r="AM659" t="s">
        <v>245</v>
      </c>
      <c r="AN659" t="s">
        <v>63</v>
      </c>
      <c r="AO659" t="s">
        <v>3442</v>
      </c>
      <c r="AP659" t="s">
        <v>3479</v>
      </c>
    </row>
    <row r="660" spans="1:42" x14ac:dyDescent="0.45">
      <c r="A660" t="s">
        <v>2812</v>
      </c>
      <c r="B660" t="s">
        <v>2813</v>
      </c>
      <c r="C660" t="s">
        <v>3434</v>
      </c>
      <c r="D660">
        <v>2022</v>
      </c>
      <c r="E660" t="s">
        <v>45</v>
      </c>
      <c r="F660" t="s">
        <v>2020</v>
      </c>
      <c r="G660">
        <v>6</v>
      </c>
      <c r="J660" t="s">
        <v>3483</v>
      </c>
      <c r="K660" t="s">
        <v>3484</v>
      </c>
      <c r="L660" t="s">
        <v>3485</v>
      </c>
      <c r="M660" t="s">
        <v>3486</v>
      </c>
      <c r="N660" t="s">
        <v>2829</v>
      </c>
      <c r="O660" t="s">
        <v>2830</v>
      </c>
      <c r="P660" t="s">
        <v>2027</v>
      </c>
      <c r="Q660" t="s">
        <v>3439</v>
      </c>
      <c r="S660">
        <v>11</v>
      </c>
      <c r="T660" t="s">
        <v>3487</v>
      </c>
      <c r="U660">
        <v>3666</v>
      </c>
      <c r="V660">
        <v>3661.5</v>
      </c>
      <c r="W660">
        <v>1.0012000000000001</v>
      </c>
      <c r="X660" t="s">
        <v>70</v>
      </c>
      <c r="Y660" t="s">
        <v>3441</v>
      </c>
      <c r="Z660">
        <v>1585.74</v>
      </c>
      <c r="AA660">
        <v>4899.75</v>
      </c>
      <c r="AB660">
        <v>7769757</v>
      </c>
      <c r="AC660" t="b">
        <v>1</v>
      </c>
      <c r="AD660" t="b">
        <v>1</v>
      </c>
      <c r="AE660" t="b">
        <v>0</v>
      </c>
      <c r="AF660" t="b">
        <v>0</v>
      </c>
      <c r="AG660" t="s">
        <v>58</v>
      </c>
      <c r="AH660">
        <v>14</v>
      </c>
      <c r="AI660" t="s">
        <v>59</v>
      </c>
      <c r="AJ660" t="s">
        <v>71</v>
      </c>
      <c r="AL660" t="s">
        <v>244</v>
      </c>
      <c r="AM660" t="s">
        <v>245</v>
      </c>
      <c r="AN660" t="s">
        <v>63</v>
      </c>
      <c r="AO660" t="s">
        <v>3442</v>
      </c>
      <c r="AP660" t="s">
        <v>3484</v>
      </c>
    </row>
    <row r="661" spans="1:42" x14ac:dyDescent="0.45">
      <c r="A661" t="s">
        <v>2812</v>
      </c>
      <c r="B661" t="s">
        <v>2813</v>
      </c>
      <c r="C661" t="s">
        <v>3434</v>
      </c>
      <c r="D661">
        <v>2022</v>
      </c>
      <c r="E661" t="s">
        <v>45</v>
      </c>
      <c r="F661" t="s">
        <v>2020</v>
      </c>
      <c r="G661">
        <v>11</v>
      </c>
      <c r="J661" t="s">
        <v>3488</v>
      </c>
      <c r="K661" t="s">
        <v>3489</v>
      </c>
      <c r="L661" t="s">
        <v>3490</v>
      </c>
      <c r="M661" t="s">
        <v>3491</v>
      </c>
      <c r="N661" t="s">
        <v>2829</v>
      </c>
      <c r="O661" t="s">
        <v>2830</v>
      </c>
      <c r="P661" t="s">
        <v>2027</v>
      </c>
      <c r="Q661" t="s">
        <v>3439</v>
      </c>
      <c r="S661">
        <v>6</v>
      </c>
      <c r="T661" t="s">
        <v>3492</v>
      </c>
      <c r="U661">
        <v>3352</v>
      </c>
      <c r="V661">
        <v>3661.5</v>
      </c>
      <c r="W661">
        <v>0.91549999999999998</v>
      </c>
      <c r="X661" t="s">
        <v>70</v>
      </c>
      <c r="Y661" t="s">
        <v>3441</v>
      </c>
      <c r="Z661">
        <v>1550.74</v>
      </c>
      <c r="AA661">
        <v>2224.73</v>
      </c>
      <c r="AB661">
        <v>3449992</v>
      </c>
      <c r="AC661" t="b">
        <v>1</v>
      </c>
      <c r="AD661" t="b">
        <v>1</v>
      </c>
      <c r="AE661" t="b">
        <v>0</v>
      </c>
      <c r="AF661" t="b">
        <v>0</v>
      </c>
      <c r="AG661" t="s">
        <v>58</v>
      </c>
      <c r="AH661">
        <v>14</v>
      </c>
      <c r="AI661" t="s">
        <v>59</v>
      </c>
      <c r="AJ661" t="s">
        <v>71</v>
      </c>
      <c r="AL661" t="s">
        <v>244</v>
      </c>
      <c r="AM661" t="s">
        <v>245</v>
      </c>
      <c r="AN661" t="s">
        <v>63</v>
      </c>
      <c r="AO661" t="s">
        <v>3442</v>
      </c>
      <c r="AP661" t="s">
        <v>3489</v>
      </c>
    </row>
    <row r="662" spans="1:42" x14ac:dyDescent="0.45">
      <c r="A662" t="s">
        <v>2812</v>
      </c>
      <c r="B662" t="s">
        <v>2813</v>
      </c>
      <c r="C662" t="s">
        <v>3434</v>
      </c>
      <c r="D662">
        <v>2022</v>
      </c>
      <c r="E662" t="s">
        <v>45</v>
      </c>
      <c r="F662" t="s">
        <v>2020</v>
      </c>
      <c r="G662">
        <v>9</v>
      </c>
      <c r="J662" t="s">
        <v>3493</v>
      </c>
      <c r="K662" t="s">
        <v>3494</v>
      </c>
      <c r="L662" t="s">
        <v>3495</v>
      </c>
      <c r="M662" t="s">
        <v>3496</v>
      </c>
      <c r="N662" t="s">
        <v>2829</v>
      </c>
      <c r="O662" t="s">
        <v>2830</v>
      </c>
      <c r="P662" t="s">
        <v>2027</v>
      </c>
      <c r="Q662" t="s">
        <v>3439</v>
      </c>
      <c r="S662">
        <v>8</v>
      </c>
      <c r="T662" t="s">
        <v>3497</v>
      </c>
      <c r="U662">
        <v>3733</v>
      </c>
      <c r="V662">
        <v>3661.5</v>
      </c>
      <c r="W662">
        <v>1.0195000000000001</v>
      </c>
      <c r="X662" t="s">
        <v>70</v>
      </c>
      <c r="Y662" t="s">
        <v>3441</v>
      </c>
      <c r="Z662">
        <v>1564.74</v>
      </c>
      <c r="AA662">
        <v>3154.02</v>
      </c>
      <c r="AB662">
        <v>4935232</v>
      </c>
      <c r="AC662" t="b">
        <v>1</v>
      </c>
      <c r="AD662" t="b">
        <v>1</v>
      </c>
      <c r="AE662" t="b">
        <v>0</v>
      </c>
      <c r="AF662" t="b">
        <v>0</v>
      </c>
      <c r="AG662" t="s">
        <v>58</v>
      </c>
      <c r="AH662">
        <v>14</v>
      </c>
      <c r="AI662" t="s">
        <v>59</v>
      </c>
      <c r="AJ662" t="s">
        <v>71</v>
      </c>
      <c r="AL662" t="s">
        <v>244</v>
      </c>
      <c r="AM662" t="s">
        <v>245</v>
      </c>
      <c r="AN662" t="s">
        <v>63</v>
      </c>
      <c r="AO662" t="s">
        <v>3442</v>
      </c>
      <c r="AP662" t="s">
        <v>3494</v>
      </c>
    </row>
    <row r="663" spans="1:42" x14ac:dyDescent="0.45">
      <c r="A663" t="s">
        <v>2812</v>
      </c>
      <c r="B663" t="s">
        <v>2813</v>
      </c>
      <c r="C663" t="s">
        <v>3434</v>
      </c>
      <c r="D663">
        <v>2022</v>
      </c>
      <c r="E663" t="s">
        <v>45</v>
      </c>
      <c r="F663" t="s">
        <v>2020</v>
      </c>
      <c r="G663">
        <v>4</v>
      </c>
      <c r="J663" t="s">
        <v>3498</v>
      </c>
      <c r="K663" t="s">
        <v>3499</v>
      </c>
      <c r="L663" t="s">
        <v>3500</v>
      </c>
      <c r="M663" t="s">
        <v>3501</v>
      </c>
      <c r="N663" t="s">
        <v>2829</v>
      </c>
      <c r="O663" t="s">
        <v>2830</v>
      </c>
      <c r="P663" t="s">
        <v>2027</v>
      </c>
      <c r="Q663" t="s">
        <v>3439</v>
      </c>
      <c r="S663">
        <v>13</v>
      </c>
      <c r="T663" t="s">
        <v>3502</v>
      </c>
      <c r="U663">
        <v>3591</v>
      </c>
      <c r="V663">
        <v>3661.5</v>
      </c>
      <c r="W663">
        <v>0.98070000000000002</v>
      </c>
      <c r="X663" t="s">
        <v>70</v>
      </c>
      <c r="Y663" t="s">
        <v>3441</v>
      </c>
      <c r="Z663">
        <v>1599.81</v>
      </c>
      <c r="AA663">
        <v>5875.75</v>
      </c>
      <c r="AB663">
        <v>9400071</v>
      </c>
      <c r="AC663" t="b">
        <v>1</v>
      </c>
      <c r="AD663" t="b">
        <v>1</v>
      </c>
      <c r="AE663" t="b">
        <v>0</v>
      </c>
      <c r="AF663" t="b">
        <v>0</v>
      </c>
      <c r="AG663" t="s">
        <v>58</v>
      </c>
      <c r="AH663">
        <v>14</v>
      </c>
      <c r="AI663" t="s">
        <v>59</v>
      </c>
      <c r="AJ663" t="s">
        <v>71</v>
      </c>
      <c r="AL663" t="s">
        <v>244</v>
      </c>
      <c r="AM663" t="s">
        <v>245</v>
      </c>
      <c r="AN663" t="s">
        <v>63</v>
      </c>
      <c r="AO663" t="s">
        <v>3442</v>
      </c>
      <c r="AP663" t="s">
        <v>3499</v>
      </c>
    </row>
    <row r="664" spans="1:42" x14ac:dyDescent="0.45">
      <c r="A664" t="s">
        <v>2812</v>
      </c>
      <c r="B664" t="s">
        <v>2813</v>
      </c>
      <c r="C664" t="s">
        <v>3434</v>
      </c>
      <c r="D664">
        <v>2022</v>
      </c>
      <c r="E664" t="s">
        <v>45</v>
      </c>
      <c r="F664" t="s">
        <v>2020</v>
      </c>
      <c r="G664">
        <v>1</v>
      </c>
      <c r="J664" t="s">
        <v>3503</v>
      </c>
      <c r="K664" t="s">
        <v>3504</v>
      </c>
      <c r="L664" t="s">
        <v>3505</v>
      </c>
      <c r="M664" t="s">
        <v>3506</v>
      </c>
      <c r="N664" t="s">
        <v>2829</v>
      </c>
      <c r="O664" t="s">
        <v>2830</v>
      </c>
      <c r="P664" t="s">
        <v>2027</v>
      </c>
      <c r="Q664" t="s">
        <v>3439</v>
      </c>
      <c r="S664">
        <v>16</v>
      </c>
      <c r="T664" t="s">
        <v>3507</v>
      </c>
      <c r="U664">
        <v>3998</v>
      </c>
      <c r="V664">
        <v>3661.5</v>
      </c>
      <c r="W664">
        <v>1.0919000000000001</v>
      </c>
      <c r="X664" t="s">
        <v>70</v>
      </c>
      <c r="Y664" t="s">
        <v>3441</v>
      </c>
      <c r="Z664">
        <v>1620.74</v>
      </c>
      <c r="AA664">
        <v>10597.38</v>
      </c>
      <c r="AB664">
        <v>17175643</v>
      </c>
      <c r="AC664" t="b">
        <v>1</v>
      </c>
      <c r="AD664" t="b">
        <v>1</v>
      </c>
      <c r="AE664" t="b">
        <v>0</v>
      </c>
      <c r="AF664" t="b">
        <v>0</v>
      </c>
      <c r="AG664" t="s">
        <v>58</v>
      </c>
      <c r="AH664">
        <v>14</v>
      </c>
      <c r="AI664" t="s">
        <v>59</v>
      </c>
      <c r="AJ664" t="s">
        <v>71</v>
      </c>
      <c r="AL664" t="s">
        <v>244</v>
      </c>
      <c r="AM664" t="s">
        <v>245</v>
      </c>
      <c r="AN664" t="s">
        <v>63</v>
      </c>
      <c r="AO664" t="s">
        <v>3442</v>
      </c>
      <c r="AP664" t="s">
        <v>3504</v>
      </c>
    </row>
    <row r="665" spans="1:42" x14ac:dyDescent="0.45">
      <c r="A665" t="s">
        <v>2812</v>
      </c>
      <c r="B665" t="s">
        <v>2813</v>
      </c>
      <c r="C665" t="s">
        <v>3434</v>
      </c>
      <c r="D665">
        <v>2022</v>
      </c>
      <c r="E665" t="s">
        <v>45</v>
      </c>
      <c r="F665" t="s">
        <v>2020</v>
      </c>
      <c r="G665">
        <v>14</v>
      </c>
      <c r="J665" t="s">
        <v>3508</v>
      </c>
      <c r="K665" t="s">
        <v>3509</v>
      </c>
      <c r="L665" t="s">
        <v>3510</v>
      </c>
      <c r="M665" t="s">
        <v>3511</v>
      </c>
      <c r="N665" t="s">
        <v>2829</v>
      </c>
      <c r="O665" t="s">
        <v>2830</v>
      </c>
      <c r="P665" t="s">
        <v>2027</v>
      </c>
      <c r="Q665" t="s">
        <v>3439</v>
      </c>
      <c r="S665">
        <v>3</v>
      </c>
      <c r="T665" t="s">
        <v>3512</v>
      </c>
      <c r="U665">
        <v>3460</v>
      </c>
      <c r="V665">
        <v>3661.5</v>
      </c>
      <c r="W665">
        <v>0.94499999999999995</v>
      </c>
      <c r="X665" t="s">
        <v>70</v>
      </c>
      <c r="Y665" t="s">
        <v>3441</v>
      </c>
      <c r="Z665">
        <v>1529.66</v>
      </c>
      <c r="AA665">
        <v>1695.23</v>
      </c>
      <c r="AB665">
        <v>2593124</v>
      </c>
      <c r="AC665" t="b">
        <v>1</v>
      </c>
      <c r="AD665" t="b">
        <v>1</v>
      </c>
      <c r="AE665" t="b">
        <v>0</v>
      </c>
      <c r="AF665" t="b">
        <v>0</v>
      </c>
      <c r="AG665" t="s">
        <v>58</v>
      </c>
      <c r="AH665">
        <v>14</v>
      </c>
      <c r="AI665" t="s">
        <v>59</v>
      </c>
      <c r="AJ665" t="s">
        <v>71</v>
      </c>
      <c r="AL665" t="s">
        <v>244</v>
      </c>
      <c r="AM665" t="s">
        <v>245</v>
      </c>
      <c r="AN665" t="s">
        <v>63</v>
      </c>
      <c r="AO665" t="s">
        <v>3442</v>
      </c>
      <c r="AP665" t="s">
        <v>3509</v>
      </c>
    </row>
    <row r="666" spans="1:42" x14ac:dyDescent="0.45">
      <c r="A666" t="s">
        <v>2812</v>
      </c>
      <c r="B666" t="s">
        <v>2813</v>
      </c>
      <c r="C666" t="s">
        <v>3434</v>
      </c>
      <c r="D666">
        <v>2022</v>
      </c>
      <c r="E666" t="s">
        <v>45</v>
      </c>
      <c r="F666" t="s">
        <v>2020</v>
      </c>
      <c r="G666">
        <v>15</v>
      </c>
      <c r="J666" t="s">
        <v>3513</v>
      </c>
      <c r="K666" t="s">
        <v>3514</v>
      </c>
      <c r="L666" t="s">
        <v>3515</v>
      </c>
      <c r="M666" t="s">
        <v>3516</v>
      </c>
      <c r="N666" t="s">
        <v>2829</v>
      </c>
      <c r="O666" t="s">
        <v>2830</v>
      </c>
      <c r="P666" t="s">
        <v>2027</v>
      </c>
      <c r="Q666" t="s">
        <v>3439</v>
      </c>
      <c r="S666">
        <v>2</v>
      </c>
      <c r="T666" t="s">
        <v>3517</v>
      </c>
      <c r="U666">
        <v>3332</v>
      </c>
      <c r="V666">
        <v>3661.5</v>
      </c>
      <c r="W666">
        <v>0.91</v>
      </c>
      <c r="X666" t="s">
        <v>70</v>
      </c>
      <c r="Y666" t="s">
        <v>3441</v>
      </c>
      <c r="Z666">
        <v>1522.74</v>
      </c>
      <c r="AA666">
        <v>1358.81</v>
      </c>
      <c r="AB666">
        <v>2069126</v>
      </c>
      <c r="AC666" t="b">
        <v>1</v>
      </c>
      <c r="AD666" t="b">
        <v>1</v>
      </c>
      <c r="AE666" t="b">
        <v>0</v>
      </c>
      <c r="AF666" t="b">
        <v>0</v>
      </c>
      <c r="AG666" t="s">
        <v>58</v>
      </c>
      <c r="AH666">
        <v>14</v>
      </c>
      <c r="AI666" t="s">
        <v>59</v>
      </c>
      <c r="AJ666" t="s">
        <v>71</v>
      </c>
      <c r="AL666" t="s">
        <v>244</v>
      </c>
      <c r="AM666" t="s">
        <v>245</v>
      </c>
      <c r="AN666" t="s">
        <v>63</v>
      </c>
      <c r="AO666" t="s">
        <v>3442</v>
      </c>
      <c r="AP666" t="s">
        <v>3514</v>
      </c>
    </row>
    <row r="667" spans="1:42" x14ac:dyDescent="0.45">
      <c r="A667" t="s">
        <v>2812</v>
      </c>
      <c r="B667" t="s">
        <v>2813</v>
      </c>
      <c r="C667" t="s">
        <v>3434</v>
      </c>
      <c r="D667">
        <v>2022</v>
      </c>
      <c r="E667" t="s">
        <v>45</v>
      </c>
      <c r="F667" t="s">
        <v>2020</v>
      </c>
      <c r="G667">
        <v>2</v>
      </c>
      <c r="J667" t="s">
        <v>3518</v>
      </c>
      <c r="K667" t="s">
        <v>3519</v>
      </c>
      <c r="L667" t="s">
        <v>3520</v>
      </c>
      <c r="M667" t="s">
        <v>3521</v>
      </c>
      <c r="N667" t="s">
        <v>2829</v>
      </c>
      <c r="O667" t="s">
        <v>2830</v>
      </c>
      <c r="P667" t="s">
        <v>2027</v>
      </c>
      <c r="Q667" t="s">
        <v>3439</v>
      </c>
      <c r="S667">
        <v>15</v>
      </c>
      <c r="T667" t="s">
        <v>3522</v>
      </c>
      <c r="U667">
        <v>4381</v>
      </c>
      <c r="V667">
        <v>3661.5</v>
      </c>
      <c r="W667">
        <v>1.1964999999999999</v>
      </c>
      <c r="X667" t="s">
        <v>70</v>
      </c>
      <c r="Y667" t="s">
        <v>3441</v>
      </c>
      <c r="Z667">
        <v>1613.74</v>
      </c>
      <c r="AA667">
        <v>8382.02</v>
      </c>
      <c r="AB667">
        <v>13526428</v>
      </c>
      <c r="AC667" t="b">
        <v>1</v>
      </c>
      <c r="AD667" t="b">
        <v>1</v>
      </c>
      <c r="AE667" t="b">
        <v>0</v>
      </c>
      <c r="AF667" t="b">
        <v>0</v>
      </c>
      <c r="AG667" t="s">
        <v>58</v>
      </c>
      <c r="AH667">
        <v>14</v>
      </c>
      <c r="AI667" t="s">
        <v>59</v>
      </c>
      <c r="AJ667" t="s">
        <v>71</v>
      </c>
      <c r="AL667" t="s">
        <v>244</v>
      </c>
      <c r="AM667" t="s">
        <v>245</v>
      </c>
      <c r="AN667" t="s">
        <v>63</v>
      </c>
      <c r="AO667" t="s">
        <v>3442</v>
      </c>
      <c r="AP667" t="s">
        <v>3519</v>
      </c>
    </row>
    <row r="668" spans="1:42" x14ac:dyDescent="0.45">
      <c r="A668" t="s">
        <v>2812</v>
      </c>
      <c r="B668" t="s">
        <v>2813</v>
      </c>
      <c r="C668" t="s">
        <v>3523</v>
      </c>
      <c r="D668">
        <v>2023</v>
      </c>
      <c r="E668" t="s">
        <v>45</v>
      </c>
      <c r="F668" t="s">
        <v>2020</v>
      </c>
      <c r="G668">
        <v>15</v>
      </c>
      <c r="J668" t="s">
        <v>3524</v>
      </c>
      <c r="K668" t="s">
        <v>3525</v>
      </c>
      <c r="L668" t="s">
        <v>3526</v>
      </c>
      <c r="M668" t="s">
        <v>3527</v>
      </c>
      <c r="N668" t="s">
        <v>2829</v>
      </c>
      <c r="O668" t="s">
        <v>2830</v>
      </c>
      <c r="P668" t="s">
        <v>2027</v>
      </c>
      <c r="Q668" t="s">
        <v>3528</v>
      </c>
      <c r="S668">
        <v>3</v>
      </c>
      <c r="T668" t="s">
        <v>3529</v>
      </c>
      <c r="U668">
        <v>3169</v>
      </c>
      <c r="V668">
        <v>3340.5</v>
      </c>
      <c r="W668">
        <v>0.94869999999999999</v>
      </c>
      <c r="X668" t="s">
        <v>70</v>
      </c>
      <c r="Y668" t="s">
        <v>3530</v>
      </c>
      <c r="Z668">
        <v>1215.7</v>
      </c>
      <c r="AA668">
        <v>4001.06</v>
      </c>
      <c r="AB668">
        <v>4864106</v>
      </c>
      <c r="AC668" t="b">
        <v>1</v>
      </c>
      <c r="AD668" t="b">
        <v>1</v>
      </c>
      <c r="AE668" t="b">
        <v>0</v>
      </c>
      <c r="AF668" t="b">
        <v>0</v>
      </c>
      <c r="AG668" t="s">
        <v>58</v>
      </c>
      <c r="AH668">
        <v>14</v>
      </c>
      <c r="AI668" t="s">
        <v>59</v>
      </c>
      <c r="AJ668" t="s">
        <v>71</v>
      </c>
      <c r="AL668" t="s">
        <v>244</v>
      </c>
      <c r="AM668" t="s">
        <v>245</v>
      </c>
      <c r="AN668" t="s">
        <v>63</v>
      </c>
      <c r="AO668" t="s">
        <v>3531</v>
      </c>
      <c r="AP668" t="s">
        <v>3525</v>
      </c>
    </row>
    <row r="669" spans="1:42" x14ac:dyDescent="0.45">
      <c r="A669" t="s">
        <v>2812</v>
      </c>
      <c r="B669" t="s">
        <v>2813</v>
      </c>
      <c r="C669" t="s">
        <v>3523</v>
      </c>
      <c r="D669">
        <v>2023</v>
      </c>
      <c r="E669" t="s">
        <v>45</v>
      </c>
      <c r="F669" t="s">
        <v>2020</v>
      </c>
      <c r="G669">
        <v>18</v>
      </c>
      <c r="J669" t="s">
        <v>3532</v>
      </c>
      <c r="K669" t="s">
        <v>3533</v>
      </c>
      <c r="L669" t="s">
        <v>3534</v>
      </c>
      <c r="M669" t="s">
        <v>3535</v>
      </c>
      <c r="N669" t="s">
        <v>2829</v>
      </c>
      <c r="O669" t="s">
        <v>2830</v>
      </c>
      <c r="P669" t="s">
        <v>2027</v>
      </c>
      <c r="Q669" t="s">
        <v>3528</v>
      </c>
      <c r="S669">
        <v>0</v>
      </c>
      <c r="T669" t="s">
        <v>3536</v>
      </c>
      <c r="U669">
        <v>3503</v>
      </c>
      <c r="V669">
        <v>3340.5</v>
      </c>
      <c r="W669">
        <v>1.0486</v>
      </c>
      <c r="X669" t="s">
        <v>70</v>
      </c>
      <c r="Y669" t="s">
        <v>3530</v>
      </c>
      <c r="Z669">
        <v>1194.7</v>
      </c>
      <c r="AA669">
        <v>2368.42</v>
      </c>
      <c r="AB669">
        <v>2829560</v>
      </c>
      <c r="AC669" t="b">
        <v>1</v>
      </c>
      <c r="AD669" t="b">
        <v>1</v>
      </c>
      <c r="AE669" t="b">
        <v>0</v>
      </c>
      <c r="AF669" t="b">
        <v>0</v>
      </c>
      <c r="AG669" t="s">
        <v>58</v>
      </c>
      <c r="AH669">
        <v>14</v>
      </c>
      <c r="AI669" t="s">
        <v>59</v>
      </c>
      <c r="AJ669" t="s">
        <v>71</v>
      </c>
      <c r="AL669" t="s">
        <v>244</v>
      </c>
      <c r="AM669" t="s">
        <v>245</v>
      </c>
      <c r="AN669" t="s">
        <v>63</v>
      </c>
      <c r="AO669" t="s">
        <v>3531</v>
      </c>
      <c r="AP669" t="s">
        <v>3533</v>
      </c>
    </row>
    <row r="670" spans="1:42" x14ac:dyDescent="0.45">
      <c r="A670" t="s">
        <v>2812</v>
      </c>
      <c r="B670" t="s">
        <v>2813</v>
      </c>
      <c r="C670" t="s">
        <v>3523</v>
      </c>
      <c r="D670">
        <v>2023</v>
      </c>
      <c r="E670" t="s">
        <v>45</v>
      </c>
      <c r="F670" t="s">
        <v>2020</v>
      </c>
      <c r="G670">
        <v>8</v>
      </c>
      <c r="J670" t="s">
        <v>3537</v>
      </c>
      <c r="K670" t="s">
        <v>3538</v>
      </c>
      <c r="L670" t="s">
        <v>3539</v>
      </c>
      <c r="M670" t="s">
        <v>3540</v>
      </c>
      <c r="N670" t="s">
        <v>2829</v>
      </c>
      <c r="O670" t="s">
        <v>2830</v>
      </c>
      <c r="P670" t="s">
        <v>2027</v>
      </c>
      <c r="Q670" t="s">
        <v>3528</v>
      </c>
      <c r="S670">
        <v>10</v>
      </c>
      <c r="T670" t="s">
        <v>3541</v>
      </c>
      <c r="U670">
        <v>3556</v>
      </c>
      <c r="V670">
        <v>3340.5</v>
      </c>
      <c r="W670">
        <v>1.0645</v>
      </c>
      <c r="X670" t="s">
        <v>70</v>
      </c>
      <c r="Y670" t="s">
        <v>3530</v>
      </c>
      <c r="Z670">
        <v>1264.7</v>
      </c>
      <c r="AA670">
        <v>3235.67</v>
      </c>
      <c r="AB670">
        <v>4092170</v>
      </c>
      <c r="AC670" t="b">
        <v>1</v>
      </c>
      <c r="AD670" t="b">
        <v>1</v>
      </c>
      <c r="AE670" t="b">
        <v>0</v>
      </c>
      <c r="AF670" t="b">
        <v>0</v>
      </c>
      <c r="AG670" t="s">
        <v>58</v>
      </c>
      <c r="AH670">
        <v>14</v>
      </c>
      <c r="AI670" t="s">
        <v>59</v>
      </c>
      <c r="AJ670" t="s">
        <v>71</v>
      </c>
      <c r="AL670" t="s">
        <v>244</v>
      </c>
      <c r="AM670" t="s">
        <v>245</v>
      </c>
      <c r="AN670" t="s">
        <v>63</v>
      </c>
      <c r="AO670" t="s">
        <v>3531</v>
      </c>
      <c r="AP670" t="s">
        <v>3538</v>
      </c>
    </row>
    <row r="671" spans="1:42" x14ac:dyDescent="0.45">
      <c r="A671" t="s">
        <v>2812</v>
      </c>
      <c r="B671" t="s">
        <v>2813</v>
      </c>
      <c r="C671" t="s">
        <v>3523</v>
      </c>
      <c r="D671">
        <v>2023</v>
      </c>
      <c r="E671" t="s">
        <v>45</v>
      </c>
      <c r="F671" t="s">
        <v>2020</v>
      </c>
      <c r="J671" t="s">
        <v>3542</v>
      </c>
      <c r="K671" t="s">
        <v>3543</v>
      </c>
      <c r="L671" t="s">
        <v>3544</v>
      </c>
      <c r="M671" t="s">
        <v>3545</v>
      </c>
      <c r="N671" t="s">
        <v>2829</v>
      </c>
      <c r="O671" t="s">
        <v>2830</v>
      </c>
      <c r="P671" t="s">
        <v>2027</v>
      </c>
      <c r="Q671" t="s">
        <v>3528</v>
      </c>
      <c r="S671">
        <v>13</v>
      </c>
      <c r="T671" t="s">
        <v>3546</v>
      </c>
      <c r="U671">
        <v>3342</v>
      </c>
      <c r="V671">
        <v>3340.5</v>
      </c>
      <c r="W671">
        <v>1.0004</v>
      </c>
      <c r="X671" t="s">
        <v>70</v>
      </c>
      <c r="Y671" t="s">
        <v>3530</v>
      </c>
      <c r="Z671">
        <v>1285.7</v>
      </c>
      <c r="AA671">
        <v>179.09</v>
      </c>
      <c r="AB671">
        <v>230263</v>
      </c>
      <c r="AC671" t="b">
        <v>0</v>
      </c>
      <c r="AD671" t="b">
        <v>0</v>
      </c>
      <c r="AE671" t="b">
        <v>0</v>
      </c>
      <c r="AF671" t="b">
        <v>0</v>
      </c>
      <c r="AG671" t="s">
        <v>58</v>
      </c>
      <c r="AH671">
        <v>10</v>
      </c>
      <c r="AI671" t="s">
        <v>386</v>
      </c>
      <c r="AJ671" t="s">
        <v>387</v>
      </c>
      <c r="AL671" t="s">
        <v>983</v>
      </c>
      <c r="AM671" t="s">
        <v>245</v>
      </c>
      <c r="AN671" t="s">
        <v>63</v>
      </c>
      <c r="AO671" t="s">
        <v>3531</v>
      </c>
      <c r="AP671" t="s">
        <v>3543</v>
      </c>
    </row>
    <row r="672" spans="1:42" x14ac:dyDescent="0.45">
      <c r="A672" t="s">
        <v>2812</v>
      </c>
      <c r="B672" t="s">
        <v>2813</v>
      </c>
      <c r="C672" t="s">
        <v>3523</v>
      </c>
      <c r="D672">
        <v>2023</v>
      </c>
      <c r="E672" t="s">
        <v>45</v>
      </c>
      <c r="F672" t="s">
        <v>2020</v>
      </c>
      <c r="J672" t="s">
        <v>3547</v>
      </c>
      <c r="K672" t="s">
        <v>3548</v>
      </c>
      <c r="L672" t="s">
        <v>3549</v>
      </c>
      <c r="M672" t="s">
        <v>3550</v>
      </c>
      <c r="N672" t="s">
        <v>2829</v>
      </c>
      <c r="O672" t="s">
        <v>2830</v>
      </c>
      <c r="P672" t="s">
        <v>2027</v>
      </c>
      <c r="Q672" t="s">
        <v>3528</v>
      </c>
      <c r="S672">
        <v>11</v>
      </c>
      <c r="T672" t="s">
        <v>3551</v>
      </c>
      <c r="U672">
        <v>3272</v>
      </c>
      <c r="V672">
        <v>3340.5</v>
      </c>
      <c r="W672">
        <v>0.97950000000000004</v>
      </c>
      <c r="X672" t="s">
        <v>70</v>
      </c>
      <c r="Y672" t="s">
        <v>3530</v>
      </c>
      <c r="Z672">
        <v>1271.7</v>
      </c>
      <c r="AA672">
        <v>3469.39</v>
      </c>
      <c r="AB672">
        <v>4412036</v>
      </c>
      <c r="AC672" t="b">
        <v>0</v>
      </c>
      <c r="AD672" t="b">
        <v>0</v>
      </c>
      <c r="AE672" t="b">
        <v>0</v>
      </c>
      <c r="AF672" t="b">
        <v>0</v>
      </c>
      <c r="AG672" t="s">
        <v>58</v>
      </c>
      <c r="AH672">
        <v>10</v>
      </c>
      <c r="AI672" t="s">
        <v>386</v>
      </c>
      <c r="AJ672" t="s">
        <v>387</v>
      </c>
      <c r="AL672" t="s">
        <v>983</v>
      </c>
      <c r="AM672" t="s">
        <v>245</v>
      </c>
      <c r="AN672" t="s">
        <v>63</v>
      </c>
      <c r="AO672" t="s">
        <v>3531</v>
      </c>
      <c r="AP672" t="s">
        <v>3548</v>
      </c>
    </row>
    <row r="673" spans="1:42" x14ac:dyDescent="0.45">
      <c r="A673" t="s">
        <v>2812</v>
      </c>
      <c r="B673" t="s">
        <v>2813</v>
      </c>
      <c r="C673" t="s">
        <v>3523</v>
      </c>
      <c r="D673">
        <v>2023</v>
      </c>
      <c r="E673" t="s">
        <v>45</v>
      </c>
      <c r="F673" t="s">
        <v>2020</v>
      </c>
      <c r="G673">
        <v>4</v>
      </c>
      <c r="J673" t="s">
        <v>3552</v>
      </c>
      <c r="K673" t="s">
        <v>3553</v>
      </c>
      <c r="L673" t="s">
        <v>3554</v>
      </c>
      <c r="M673" t="s">
        <v>3555</v>
      </c>
      <c r="N673" t="s">
        <v>2829</v>
      </c>
      <c r="O673" t="s">
        <v>2830</v>
      </c>
      <c r="P673" t="s">
        <v>2027</v>
      </c>
      <c r="Q673" t="s">
        <v>3528</v>
      </c>
      <c r="S673">
        <v>14</v>
      </c>
      <c r="T673" t="s">
        <v>3556</v>
      </c>
      <c r="U673">
        <v>3417</v>
      </c>
      <c r="V673">
        <v>3340.5</v>
      </c>
      <c r="W673">
        <v>1.0228999999999999</v>
      </c>
      <c r="X673" t="s">
        <v>70</v>
      </c>
      <c r="Y673" t="s">
        <v>3530</v>
      </c>
      <c r="Z673">
        <v>1292.7</v>
      </c>
      <c r="AA673">
        <v>672.9</v>
      </c>
      <c r="AB673">
        <v>869859</v>
      </c>
      <c r="AC673" t="b">
        <v>1</v>
      </c>
      <c r="AD673" t="b">
        <v>1</v>
      </c>
      <c r="AE673" t="b">
        <v>0</v>
      </c>
      <c r="AF673" t="b">
        <v>0</v>
      </c>
      <c r="AG673" t="s">
        <v>58</v>
      </c>
      <c r="AH673">
        <v>14</v>
      </c>
      <c r="AI673" t="s">
        <v>59</v>
      </c>
      <c r="AJ673" t="s">
        <v>71</v>
      </c>
      <c r="AL673" t="s">
        <v>244</v>
      </c>
      <c r="AM673" t="s">
        <v>245</v>
      </c>
      <c r="AN673" t="s">
        <v>63</v>
      </c>
      <c r="AO673" t="s">
        <v>3531</v>
      </c>
      <c r="AP673" t="s">
        <v>3553</v>
      </c>
    </row>
    <row r="674" spans="1:42" x14ac:dyDescent="0.45">
      <c r="A674" t="s">
        <v>2812</v>
      </c>
      <c r="B674" t="s">
        <v>2813</v>
      </c>
      <c r="C674" t="s">
        <v>3523</v>
      </c>
      <c r="D674">
        <v>2023</v>
      </c>
      <c r="E674" t="s">
        <v>45</v>
      </c>
      <c r="F674" t="s">
        <v>2020</v>
      </c>
      <c r="G674">
        <v>9</v>
      </c>
      <c r="J674" t="s">
        <v>3557</v>
      </c>
      <c r="K674" t="s">
        <v>3558</v>
      </c>
      <c r="L674" t="s">
        <v>3559</v>
      </c>
      <c r="M674" t="s">
        <v>3560</v>
      </c>
      <c r="N674" t="s">
        <v>2829</v>
      </c>
      <c r="O674" t="s">
        <v>2830</v>
      </c>
      <c r="P674" t="s">
        <v>2027</v>
      </c>
      <c r="Q674" t="s">
        <v>3528</v>
      </c>
      <c r="S674">
        <v>9</v>
      </c>
      <c r="T674" t="s">
        <v>3561</v>
      </c>
      <c r="U674">
        <v>3322</v>
      </c>
      <c r="V674">
        <v>3340.5</v>
      </c>
      <c r="W674">
        <v>0.99450000000000005</v>
      </c>
      <c r="X674" t="s">
        <v>70</v>
      </c>
      <c r="Y674" t="s">
        <v>3530</v>
      </c>
      <c r="Z674">
        <v>1257.7</v>
      </c>
      <c r="AA674">
        <v>3555.09</v>
      </c>
      <c r="AB674">
        <v>4471255</v>
      </c>
      <c r="AC674" t="b">
        <v>1</v>
      </c>
      <c r="AD674" t="b">
        <v>1</v>
      </c>
      <c r="AE674" t="b">
        <v>0</v>
      </c>
      <c r="AF674" t="b">
        <v>0</v>
      </c>
      <c r="AG674" t="s">
        <v>58</v>
      </c>
      <c r="AH674">
        <v>14</v>
      </c>
      <c r="AI674" t="s">
        <v>59</v>
      </c>
      <c r="AJ674" t="s">
        <v>71</v>
      </c>
      <c r="AL674" t="s">
        <v>244</v>
      </c>
      <c r="AM674" t="s">
        <v>245</v>
      </c>
      <c r="AN674" t="s">
        <v>63</v>
      </c>
      <c r="AO674" t="s">
        <v>3531</v>
      </c>
      <c r="AP674" t="s">
        <v>3558</v>
      </c>
    </row>
    <row r="675" spans="1:42" x14ac:dyDescent="0.45">
      <c r="A675" t="s">
        <v>2812</v>
      </c>
      <c r="B675" t="s">
        <v>2813</v>
      </c>
      <c r="C675" t="s">
        <v>3523</v>
      </c>
      <c r="D675">
        <v>2023</v>
      </c>
      <c r="E675" t="s">
        <v>45</v>
      </c>
      <c r="F675" t="s">
        <v>2020</v>
      </c>
      <c r="G675">
        <v>12</v>
      </c>
      <c r="J675" t="s">
        <v>3562</v>
      </c>
      <c r="K675" t="s">
        <v>3563</v>
      </c>
      <c r="L675" t="s">
        <v>3564</v>
      </c>
      <c r="M675" t="s">
        <v>3565</v>
      </c>
      <c r="N675" t="s">
        <v>2829</v>
      </c>
      <c r="O675" t="s">
        <v>2830</v>
      </c>
      <c r="P675" t="s">
        <v>2027</v>
      </c>
      <c r="Q675" t="s">
        <v>3528</v>
      </c>
      <c r="S675">
        <v>6</v>
      </c>
      <c r="T675" t="s">
        <v>3566</v>
      </c>
      <c r="U675">
        <v>3340</v>
      </c>
      <c r="V675">
        <v>3340.5</v>
      </c>
      <c r="W675">
        <v>0.99990000000000001</v>
      </c>
      <c r="X675" t="s">
        <v>70</v>
      </c>
      <c r="Y675" t="s">
        <v>3530</v>
      </c>
      <c r="Z675">
        <v>1236.7</v>
      </c>
      <c r="AA675">
        <v>3959.92</v>
      </c>
      <c r="AB675">
        <v>4897255</v>
      </c>
      <c r="AC675" t="b">
        <v>1</v>
      </c>
      <c r="AD675" t="b">
        <v>1</v>
      </c>
      <c r="AE675" t="b">
        <v>0</v>
      </c>
      <c r="AF675" t="b">
        <v>0</v>
      </c>
      <c r="AG675" t="s">
        <v>58</v>
      </c>
      <c r="AH675">
        <v>14</v>
      </c>
      <c r="AI675" t="s">
        <v>59</v>
      </c>
      <c r="AJ675" t="s">
        <v>71</v>
      </c>
      <c r="AL675" t="s">
        <v>244</v>
      </c>
      <c r="AM675" t="s">
        <v>245</v>
      </c>
      <c r="AN675" t="s">
        <v>63</v>
      </c>
      <c r="AO675" t="s">
        <v>3531</v>
      </c>
      <c r="AP675" t="s">
        <v>3563</v>
      </c>
    </row>
    <row r="676" spans="1:42" x14ac:dyDescent="0.45">
      <c r="A676" t="s">
        <v>2812</v>
      </c>
      <c r="B676" t="s">
        <v>2813</v>
      </c>
      <c r="C676" t="s">
        <v>3523</v>
      </c>
      <c r="D676">
        <v>2023</v>
      </c>
      <c r="E676" t="s">
        <v>45</v>
      </c>
      <c r="F676" t="s">
        <v>2020</v>
      </c>
      <c r="G676">
        <v>3</v>
      </c>
      <c r="J676" t="s">
        <v>3567</v>
      </c>
      <c r="K676" t="s">
        <v>3568</v>
      </c>
      <c r="L676" t="s">
        <v>3569</v>
      </c>
      <c r="M676" t="s">
        <v>3570</v>
      </c>
      <c r="N676" t="s">
        <v>2829</v>
      </c>
      <c r="O676" t="s">
        <v>2830</v>
      </c>
      <c r="P676" t="s">
        <v>2027</v>
      </c>
      <c r="Q676" t="s">
        <v>3528</v>
      </c>
      <c r="S676">
        <v>15</v>
      </c>
      <c r="T676" t="s">
        <v>3571</v>
      </c>
      <c r="U676">
        <v>3837</v>
      </c>
      <c r="V676">
        <v>3340.5</v>
      </c>
      <c r="W676">
        <v>1.1486000000000001</v>
      </c>
      <c r="X676" t="s">
        <v>70</v>
      </c>
      <c r="Y676" t="s">
        <v>3530</v>
      </c>
      <c r="Z676">
        <v>1299.7</v>
      </c>
      <c r="AA676">
        <v>4864.2</v>
      </c>
      <c r="AB676">
        <v>6322017</v>
      </c>
      <c r="AC676" t="b">
        <v>1</v>
      </c>
      <c r="AD676" t="b">
        <v>1</v>
      </c>
      <c r="AE676" t="b">
        <v>0</v>
      </c>
      <c r="AF676" t="b">
        <v>0</v>
      </c>
      <c r="AG676" t="s">
        <v>58</v>
      </c>
      <c r="AH676">
        <v>14</v>
      </c>
      <c r="AI676" t="s">
        <v>59</v>
      </c>
      <c r="AJ676" t="s">
        <v>71</v>
      </c>
      <c r="AL676" t="s">
        <v>244</v>
      </c>
      <c r="AM676" t="s">
        <v>245</v>
      </c>
      <c r="AN676" t="s">
        <v>63</v>
      </c>
      <c r="AO676" t="s">
        <v>3531</v>
      </c>
      <c r="AP676" t="s">
        <v>3568</v>
      </c>
    </row>
    <row r="677" spans="1:42" x14ac:dyDescent="0.45">
      <c r="A677" t="s">
        <v>2812</v>
      </c>
      <c r="B677" t="s">
        <v>2813</v>
      </c>
      <c r="C677" t="s">
        <v>3523</v>
      </c>
      <c r="D677">
        <v>2023</v>
      </c>
      <c r="E677" t="s">
        <v>45</v>
      </c>
      <c r="F677" t="s">
        <v>2020</v>
      </c>
      <c r="G677">
        <v>6</v>
      </c>
      <c r="J677" t="s">
        <v>3572</v>
      </c>
      <c r="K677" t="s">
        <v>3573</v>
      </c>
      <c r="L677" t="s">
        <v>3574</v>
      </c>
      <c r="M677" t="s">
        <v>3575</v>
      </c>
      <c r="N677" t="s">
        <v>2829</v>
      </c>
      <c r="O677" t="s">
        <v>2830</v>
      </c>
      <c r="P677" t="s">
        <v>2027</v>
      </c>
      <c r="Q677" t="s">
        <v>3528</v>
      </c>
      <c r="S677">
        <v>12</v>
      </c>
      <c r="T677" t="s">
        <v>3576</v>
      </c>
      <c r="U677">
        <v>3421</v>
      </c>
      <c r="V677">
        <v>3340.5</v>
      </c>
      <c r="W677">
        <v>1.0241</v>
      </c>
      <c r="X677" t="s">
        <v>70</v>
      </c>
      <c r="Y677" t="s">
        <v>3530</v>
      </c>
      <c r="Z677">
        <v>1278.7</v>
      </c>
      <c r="AA677">
        <v>3669.72</v>
      </c>
      <c r="AB677">
        <v>4692489</v>
      </c>
      <c r="AC677" t="b">
        <v>1</v>
      </c>
      <c r="AD677" t="b">
        <v>1</v>
      </c>
      <c r="AE677" t="b">
        <v>0</v>
      </c>
      <c r="AF677" t="b">
        <v>0</v>
      </c>
      <c r="AG677" t="s">
        <v>58</v>
      </c>
      <c r="AH677">
        <v>14</v>
      </c>
      <c r="AI677" t="s">
        <v>59</v>
      </c>
      <c r="AJ677" t="s">
        <v>71</v>
      </c>
      <c r="AL677" t="s">
        <v>244</v>
      </c>
      <c r="AM677" t="s">
        <v>245</v>
      </c>
      <c r="AN677" t="s">
        <v>63</v>
      </c>
      <c r="AO677" t="s">
        <v>3531</v>
      </c>
      <c r="AP677" t="s">
        <v>3573</v>
      </c>
    </row>
    <row r="678" spans="1:42" x14ac:dyDescent="0.45">
      <c r="A678" t="s">
        <v>2812</v>
      </c>
      <c r="B678" t="s">
        <v>2813</v>
      </c>
      <c r="C678" t="s">
        <v>3523</v>
      </c>
      <c r="D678">
        <v>2023</v>
      </c>
      <c r="E678" t="s">
        <v>45</v>
      </c>
      <c r="F678" t="s">
        <v>2020</v>
      </c>
      <c r="G678">
        <v>1</v>
      </c>
      <c r="J678" t="s">
        <v>3577</v>
      </c>
      <c r="K678" t="s">
        <v>3578</v>
      </c>
      <c r="L678" t="s">
        <v>3579</v>
      </c>
      <c r="M678" t="s">
        <v>3580</v>
      </c>
      <c r="N678" t="s">
        <v>2829</v>
      </c>
      <c r="O678" t="s">
        <v>2830</v>
      </c>
      <c r="P678" t="s">
        <v>2027</v>
      </c>
      <c r="Q678" t="s">
        <v>3528</v>
      </c>
      <c r="S678">
        <v>17</v>
      </c>
      <c r="T678" t="s">
        <v>3581</v>
      </c>
      <c r="U678">
        <v>3421</v>
      </c>
      <c r="V678">
        <v>3340.5</v>
      </c>
      <c r="W678">
        <v>1.0241</v>
      </c>
      <c r="X678" t="s">
        <v>70</v>
      </c>
      <c r="Y678" t="s">
        <v>3530</v>
      </c>
      <c r="Z678">
        <v>1313.7</v>
      </c>
      <c r="AA678">
        <v>5848.97</v>
      </c>
      <c r="AB678">
        <v>7683811</v>
      </c>
      <c r="AC678" t="b">
        <v>1</v>
      </c>
      <c r="AD678" t="b">
        <v>1</v>
      </c>
      <c r="AE678" t="b">
        <v>0</v>
      </c>
      <c r="AF678" t="b">
        <v>0</v>
      </c>
      <c r="AG678" t="s">
        <v>58</v>
      </c>
      <c r="AH678">
        <v>14</v>
      </c>
      <c r="AI678" t="s">
        <v>59</v>
      </c>
      <c r="AJ678" t="s">
        <v>71</v>
      </c>
      <c r="AL678" t="s">
        <v>244</v>
      </c>
      <c r="AM678" t="s">
        <v>245</v>
      </c>
      <c r="AN678" t="s">
        <v>63</v>
      </c>
      <c r="AO678" t="s">
        <v>3531</v>
      </c>
      <c r="AP678" t="s">
        <v>3578</v>
      </c>
    </row>
    <row r="679" spans="1:42" x14ac:dyDescent="0.45">
      <c r="A679" t="s">
        <v>2812</v>
      </c>
      <c r="B679" t="s">
        <v>2813</v>
      </c>
      <c r="C679" t="s">
        <v>3523</v>
      </c>
      <c r="D679">
        <v>2023</v>
      </c>
      <c r="E679" t="s">
        <v>45</v>
      </c>
      <c r="F679" t="s">
        <v>2020</v>
      </c>
      <c r="G679">
        <v>2</v>
      </c>
      <c r="J679" t="s">
        <v>3582</v>
      </c>
      <c r="K679" t="s">
        <v>3583</v>
      </c>
      <c r="L679" t="s">
        <v>3584</v>
      </c>
      <c r="M679" t="s">
        <v>3585</v>
      </c>
      <c r="N679" t="s">
        <v>2829</v>
      </c>
      <c r="O679" t="s">
        <v>2830</v>
      </c>
      <c r="P679" t="s">
        <v>2027</v>
      </c>
      <c r="Q679" t="s">
        <v>3528</v>
      </c>
      <c r="S679">
        <v>16</v>
      </c>
      <c r="T679" t="s">
        <v>3586</v>
      </c>
      <c r="U679">
        <v>3414</v>
      </c>
      <c r="V679">
        <v>3340.5</v>
      </c>
      <c r="W679">
        <v>1.022</v>
      </c>
      <c r="X679" t="s">
        <v>70</v>
      </c>
      <c r="Y679" t="s">
        <v>3530</v>
      </c>
      <c r="Z679">
        <v>1306.7</v>
      </c>
      <c r="AA679">
        <v>5748.6</v>
      </c>
      <c r="AB679">
        <v>7511724</v>
      </c>
      <c r="AC679" t="b">
        <v>1</v>
      </c>
      <c r="AD679" t="b">
        <v>1</v>
      </c>
      <c r="AE679" t="b">
        <v>0</v>
      </c>
      <c r="AF679" t="b">
        <v>0</v>
      </c>
      <c r="AG679" t="s">
        <v>58</v>
      </c>
      <c r="AH679">
        <v>14</v>
      </c>
      <c r="AI679" t="s">
        <v>59</v>
      </c>
      <c r="AJ679" t="s">
        <v>71</v>
      </c>
      <c r="AL679" t="s">
        <v>244</v>
      </c>
      <c r="AM679" t="s">
        <v>245</v>
      </c>
      <c r="AN679" t="s">
        <v>63</v>
      </c>
      <c r="AO679" t="s">
        <v>3531</v>
      </c>
      <c r="AP679" t="s">
        <v>3583</v>
      </c>
    </row>
    <row r="680" spans="1:42" x14ac:dyDescent="0.45">
      <c r="A680" t="s">
        <v>2812</v>
      </c>
      <c r="B680" t="s">
        <v>2813</v>
      </c>
      <c r="C680" t="s">
        <v>3523</v>
      </c>
      <c r="D680">
        <v>2023</v>
      </c>
      <c r="E680" t="s">
        <v>45</v>
      </c>
      <c r="F680" t="s">
        <v>2020</v>
      </c>
      <c r="G680">
        <v>11</v>
      </c>
      <c r="J680" t="s">
        <v>3587</v>
      </c>
      <c r="K680" t="s">
        <v>3588</v>
      </c>
      <c r="L680" t="s">
        <v>3589</v>
      </c>
      <c r="M680" t="s">
        <v>3590</v>
      </c>
      <c r="N680" t="s">
        <v>2829</v>
      </c>
      <c r="O680" t="s">
        <v>2830</v>
      </c>
      <c r="P680" t="s">
        <v>2027</v>
      </c>
      <c r="Q680" t="s">
        <v>3528</v>
      </c>
      <c r="S680">
        <v>7</v>
      </c>
      <c r="T680" t="s">
        <v>3591</v>
      </c>
      <c r="U680">
        <v>3252</v>
      </c>
      <c r="V680">
        <v>3340.5</v>
      </c>
      <c r="W680">
        <v>0.97350000000000003</v>
      </c>
      <c r="X680" t="s">
        <v>70</v>
      </c>
      <c r="Y680" t="s">
        <v>3530</v>
      </c>
      <c r="Z680">
        <v>1243.7</v>
      </c>
      <c r="AA680">
        <v>3465.38</v>
      </c>
      <c r="AB680">
        <v>4309903</v>
      </c>
      <c r="AC680" t="b">
        <v>1</v>
      </c>
      <c r="AD680" t="b">
        <v>1</v>
      </c>
      <c r="AE680" t="b">
        <v>0</v>
      </c>
      <c r="AF680" t="b">
        <v>0</v>
      </c>
      <c r="AG680" t="s">
        <v>58</v>
      </c>
      <c r="AH680">
        <v>14</v>
      </c>
      <c r="AI680" t="s">
        <v>59</v>
      </c>
      <c r="AJ680" t="s">
        <v>71</v>
      </c>
      <c r="AL680" t="s">
        <v>244</v>
      </c>
      <c r="AM680" t="s">
        <v>245</v>
      </c>
      <c r="AN680" t="s">
        <v>63</v>
      </c>
      <c r="AO680" t="s">
        <v>3531</v>
      </c>
      <c r="AP680" t="s">
        <v>3588</v>
      </c>
    </row>
    <row r="681" spans="1:42" x14ac:dyDescent="0.45">
      <c r="A681" t="s">
        <v>2812</v>
      </c>
      <c r="B681" t="s">
        <v>2813</v>
      </c>
      <c r="C681" t="s">
        <v>3523</v>
      </c>
      <c r="D681">
        <v>2023</v>
      </c>
      <c r="E681" t="s">
        <v>45</v>
      </c>
      <c r="F681" t="s">
        <v>2020</v>
      </c>
      <c r="G681">
        <v>16</v>
      </c>
      <c r="J681" t="s">
        <v>3592</v>
      </c>
      <c r="K681" t="s">
        <v>3593</v>
      </c>
      <c r="L681" t="s">
        <v>3594</v>
      </c>
      <c r="M681" t="s">
        <v>3595</v>
      </c>
      <c r="N681" t="s">
        <v>2829</v>
      </c>
      <c r="O681" t="s">
        <v>2830</v>
      </c>
      <c r="P681" t="s">
        <v>2027</v>
      </c>
      <c r="Q681" t="s">
        <v>3528</v>
      </c>
      <c r="S681">
        <v>2</v>
      </c>
      <c r="T681" t="s">
        <v>3596</v>
      </c>
      <c r="U681">
        <v>3113</v>
      </c>
      <c r="V681">
        <v>3340.5</v>
      </c>
      <c r="W681">
        <v>0.93189999999999995</v>
      </c>
      <c r="X681" t="s">
        <v>70</v>
      </c>
      <c r="Y681" t="s">
        <v>3530</v>
      </c>
      <c r="Z681">
        <v>1208.7</v>
      </c>
      <c r="AA681">
        <v>2993.39</v>
      </c>
      <c r="AB681">
        <v>3618120</v>
      </c>
      <c r="AC681" t="b">
        <v>1</v>
      </c>
      <c r="AD681" t="b">
        <v>1</v>
      </c>
      <c r="AE681" t="b">
        <v>0</v>
      </c>
      <c r="AF681" t="b">
        <v>0</v>
      </c>
      <c r="AG681" t="s">
        <v>58</v>
      </c>
      <c r="AH681">
        <v>14</v>
      </c>
      <c r="AI681" t="s">
        <v>59</v>
      </c>
      <c r="AJ681" t="s">
        <v>71</v>
      </c>
      <c r="AL681" t="s">
        <v>244</v>
      </c>
      <c r="AM681" t="s">
        <v>245</v>
      </c>
      <c r="AN681" t="s">
        <v>63</v>
      </c>
      <c r="AO681" t="s">
        <v>3531</v>
      </c>
      <c r="AP681" t="s">
        <v>3593</v>
      </c>
    </row>
    <row r="682" spans="1:42" x14ac:dyDescent="0.45">
      <c r="A682" t="s">
        <v>2812</v>
      </c>
      <c r="B682" t="s">
        <v>2813</v>
      </c>
      <c r="C682" t="s">
        <v>3523</v>
      </c>
      <c r="D682">
        <v>2023</v>
      </c>
      <c r="E682" t="s">
        <v>45</v>
      </c>
      <c r="F682" t="s">
        <v>2020</v>
      </c>
      <c r="G682">
        <v>13</v>
      </c>
      <c r="J682" t="s">
        <v>3597</v>
      </c>
      <c r="K682" t="s">
        <v>3598</v>
      </c>
      <c r="L682" t="s">
        <v>3599</v>
      </c>
      <c r="M682" t="s">
        <v>3600</v>
      </c>
      <c r="N682" t="s">
        <v>2829</v>
      </c>
      <c r="O682" t="s">
        <v>2830</v>
      </c>
      <c r="P682" t="s">
        <v>2027</v>
      </c>
      <c r="Q682" t="s">
        <v>3528</v>
      </c>
      <c r="S682">
        <v>5</v>
      </c>
      <c r="T682" t="s">
        <v>3601</v>
      </c>
      <c r="U682">
        <v>3341</v>
      </c>
      <c r="V682">
        <v>3340.5</v>
      </c>
      <c r="W682">
        <v>1.0001</v>
      </c>
      <c r="X682" t="s">
        <v>70</v>
      </c>
      <c r="Y682" t="s">
        <v>3530</v>
      </c>
      <c r="Z682">
        <v>1229.7</v>
      </c>
      <c r="AA682">
        <v>3415.75</v>
      </c>
      <c r="AB682">
        <v>4200359</v>
      </c>
      <c r="AC682" t="b">
        <v>1</v>
      </c>
      <c r="AD682" t="b">
        <v>1</v>
      </c>
      <c r="AE682" t="b">
        <v>0</v>
      </c>
      <c r="AF682" t="b">
        <v>0</v>
      </c>
      <c r="AG682" t="s">
        <v>58</v>
      </c>
      <c r="AH682">
        <v>14</v>
      </c>
      <c r="AI682" t="s">
        <v>59</v>
      </c>
      <c r="AJ682" t="s">
        <v>71</v>
      </c>
      <c r="AL682" t="s">
        <v>244</v>
      </c>
      <c r="AM682" t="s">
        <v>245</v>
      </c>
      <c r="AN682" t="s">
        <v>63</v>
      </c>
      <c r="AO682" t="s">
        <v>3531</v>
      </c>
      <c r="AP682" t="s">
        <v>3598</v>
      </c>
    </row>
    <row r="683" spans="1:42" x14ac:dyDescent="0.45">
      <c r="A683" t="s">
        <v>2812</v>
      </c>
      <c r="B683" t="s">
        <v>2813</v>
      </c>
      <c r="C683" t="s">
        <v>3523</v>
      </c>
      <c r="D683">
        <v>2023</v>
      </c>
      <c r="E683" t="s">
        <v>45</v>
      </c>
      <c r="F683" t="s">
        <v>2020</v>
      </c>
      <c r="G683">
        <v>14</v>
      </c>
      <c r="J683" t="s">
        <v>3602</v>
      </c>
      <c r="K683" t="s">
        <v>3603</v>
      </c>
      <c r="L683" t="s">
        <v>3604</v>
      </c>
      <c r="M683" t="s">
        <v>3605</v>
      </c>
      <c r="N683" t="s">
        <v>2829</v>
      </c>
      <c r="O683" t="s">
        <v>2830</v>
      </c>
      <c r="P683" t="s">
        <v>2027</v>
      </c>
      <c r="Q683" t="s">
        <v>3528</v>
      </c>
      <c r="S683">
        <v>4</v>
      </c>
      <c r="T683" t="s">
        <v>3606</v>
      </c>
      <c r="U683">
        <v>3118</v>
      </c>
      <c r="V683">
        <v>3340.5</v>
      </c>
      <c r="W683">
        <v>0.93340000000000001</v>
      </c>
      <c r="X683" t="s">
        <v>70</v>
      </c>
      <c r="Y683" t="s">
        <v>3530</v>
      </c>
      <c r="Z683">
        <v>1222.7</v>
      </c>
      <c r="AA683">
        <v>3143.51</v>
      </c>
      <c r="AB683">
        <v>3843578</v>
      </c>
      <c r="AC683" t="b">
        <v>1</v>
      </c>
      <c r="AD683" t="b">
        <v>1</v>
      </c>
      <c r="AE683" t="b">
        <v>0</v>
      </c>
      <c r="AF683" t="b">
        <v>0</v>
      </c>
      <c r="AG683" t="s">
        <v>58</v>
      </c>
      <c r="AH683">
        <v>14</v>
      </c>
      <c r="AI683" t="s">
        <v>59</v>
      </c>
      <c r="AJ683" t="s">
        <v>71</v>
      </c>
      <c r="AL683" t="s">
        <v>244</v>
      </c>
      <c r="AM683" t="s">
        <v>245</v>
      </c>
      <c r="AN683" t="s">
        <v>63</v>
      </c>
      <c r="AO683" t="s">
        <v>3531</v>
      </c>
      <c r="AP683" t="s">
        <v>3603</v>
      </c>
    </row>
    <row r="684" spans="1:42" x14ac:dyDescent="0.45">
      <c r="A684" t="s">
        <v>2812</v>
      </c>
      <c r="B684" t="s">
        <v>2813</v>
      </c>
      <c r="C684" t="s">
        <v>3523</v>
      </c>
      <c r="D684">
        <v>2023</v>
      </c>
      <c r="E684" t="s">
        <v>45</v>
      </c>
      <c r="F684" t="s">
        <v>2020</v>
      </c>
      <c r="G684">
        <v>17</v>
      </c>
      <c r="J684" t="s">
        <v>3607</v>
      </c>
      <c r="K684" t="s">
        <v>3608</v>
      </c>
      <c r="L684" t="s">
        <v>3609</v>
      </c>
      <c r="M684" t="s">
        <v>3610</v>
      </c>
      <c r="N684" t="s">
        <v>2829</v>
      </c>
      <c r="O684" t="s">
        <v>2830</v>
      </c>
      <c r="P684" t="s">
        <v>2027</v>
      </c>
      <c r="Q684" t="s">
        <v>3528</v>
      </c>
      <c r="S684">
        <v>1</v>
      </c>
      <c r="T684" t="s">
        <v>3611</v>
      </c>
      <c r="U684">
        <v>3057</v>
      </c>
      <c r="V684">
        <v>3340.5</v>
      </c>
      <c r="W684">
        <v>0.91510000000000002</v>
      </c>
      <c r="X684" t="s">
        <v>70</v>
      </c>
      <c r="Y684" t="s">
        <v>3530</v>
      </c>
      <c r="Z684">
        <v>1201.7</v>
      </c>
      <c r="AA684">
        <v>2564.06</v>
      </c>
      <c r="AB684">
        <v>3081241</v>
      </c>
      <c r="AC684" t="b">
        <v>1</v>
      </c>
      <c r="AD684" t="b">
        <v>1</v>
      </c>
      <c r="AE684" t="b">
        <v>0</v>
      </c>
      <c r="AF684" t="b">
        <v>0</v>
      </c>
      <c r="AG684" t="s">
        <v>58</v>
      </c>
      <c r="AH684">
        <v>14</v>
      </c>
      <c r="AI684" t="s">
        <v>59</v>
      </c>
      <c r="AJ684" t="s">
        <v>71</v>
      </c>
      <c r="AL684" t="s">
        <v>244</v>
      </c>
      <c r="AM684" t="s">
        <v>245</v>
      </c>
      <c r="AN684" t="s">
        <v>63</v>
      </c>
      <c r="AO684" t="s">
        <v>3531</v>
      </c>
      <c r="AP684" t="s">
        <v>3608</v>
      </c>
    </row>
    <row r="685" spans="1:42" x14ac:dyDescent="0.45">
      <c r="A685" t="s">
        <v>2812</v>
      </c>
      <c r="B685" t="s">
        <v>2813</v>
      </c>
      <c r="C685" t="s">
        <v>3523</v>
      </c>
      <c r="D685">
        <v>2023</v>
      </c>
      <c r="E685" t="s">
        <v>45</v>
      </c>
      <c r="F685" t="s">
        <v>2020</v>
      </c>
      <c r="G685">
        <v>10</v>
      </c>
      <c r="J685" t="s">
        <v>3612</v>
      </c>
      <c r="K685" t="s">
        <v>3613</v>
      </c>
      <c r="L685" t="s">
        <v>3614</v>
      </c>
      <c r="M685" t="s">
        <v>3615</v>
      </c>
      <c r="N685" t="s">
        <v>2829</v>
      </c>
      <c r="O685" t="s">
        <v>2830</v>
      </c>
      <c r="P685" t="s">
        <v>2027</v>
      </c>
      <c r="Q685" t="s">
        <v>3528</v>
      </c>
      <c r="S685">
        <v>8</v>
      </c>
      <c r="T685" t="s">
        <v>3616</v>
      </c>
      <c r="U685">
        <v>3099</v>
      </c>
      <c r="V685">
        <v>3340.5</v>
      </c>
      <c r="W685">
        <v>0.92769999999999997</v>
      </c>
      <c r="X685" t="s">
        <v>70</v>
      </c>
      <c r="Y685" t="s">
        <v>3530</v>
      </c>
      <c r="Z685">
        <v>1250.7</v>
      </c>
      <c r="AA685">
        <v>3456.91</v>
      </c>
      <c r="AB685">
        <v>4323574</v>
      </c>
      <c r="AC685" t="b">
        <v>1</v>
      </c>
      <c r="AD685" t="b">
        <v>1</v>
      </c>
      <c r="AE685" t="b">
        <v>0</v>
      </c>
      <c r="AF685" t="b">
        <v>0</v>
      </c>
      <c r="AG685" t="s">
        <v>58</v>
      </c>
      <c r="AH685">
        <v>14</v>
      </c>
      <c r="AI685" t="s">
        <v>59</v>
      </c>
      <c r="AJ685" t="s">
        <v>71</v>
      </c>
      <c r="AL685" t="s">
        <v>244</v>
      </c>
      <c r="AM685" t="s">
        <v>245</v>
      </c>
      <c r="AN685" t="s">
        <v>63</v>
      </c>
      <c r="AO685" t="s">
        <v>3531</v>
      </c>
      <c r="AP685" t="s">
        <v>3613</v>
      </c>
    </row>
    <row r="686" spans="1:42" x14ac:dyDescent="0.45">
      <c r="A686" t="s">
        <v>2812</v>
      </c>
      <c r="B686" t="s">
        <v>2813</v>
      </c>
      <c r="C686" t="s">
        <v>3617</v>
      </c>
      <c r="D686">
        <v>2024</v>
      </c>
      <c r="E686" t="s">
        <v>45</v>
      </c>
      <c r="F686" t="s">
        <v>2020</v>
      </c>
      <c r="G686">
        <v>12</v>
      </c>
      <c r="J686" t="s">
        <v>3618</v>
      </c>
      <c r="K686" t="s">
        <v>3619</v>
      </c>
      <c r="L686" t="s">
        <v>3620</v>
      </c>
      <c r="M686" t="s">
        <v>3621</v>
      </c>
      <c r="N686" t="s">
        <v>2829</v>
      </c>
      <c r="O686" t="s">
        <v>2830</v>
      </c>
      <c r="P686" t="s">
        <v>2027</v>
      </c>
      <c r="Q686" t="s">
        <v>3622</v>
      </c>
      <c r="S686">
        <v>11</v>
      </c>
      <c r="T686" t="s">
        <v>3623</v>
      </c>
      <c r="U686">
        <v>4235</v>
      </c>
      <c r="V686">
        <v>4005</v>
      </c>
      <c r="W686">
        <v>1.0573999999999999</v>
      </c>
      <c r="X686" t="s">
        <v>70</v>
      </c>
      <c r="Y686" t="s">
        <v>3624</v>
      </c>
      <c r="Z686">
        <v>880.75</v>
      </c>
      <c r="AA686">
        <v>830.37</v>
      </c>
      <c r="AB686">
        <v>731348</v>
      </c>
      <c r="AC686" t="b">
        <v>1</v>
      </c>
      <c r="AD686" t="b">
        <v>1</v>
      </c>
      <c r="AE686" t="b">
        <v>0</v>
      </c>
      <c r="AF686" t="b">
        <v>0</v>
      </c>
      <c r="AG686" t="s">
        <v>58</v>
      </c>
      <c r="AH686">
        <v>14</v>
      </c>
      <c r="AI686" t="s">
        <v>59</v>
      </c>
      <c r="AJ686" t="s">
        <v>71</v>
      </c>
      <c r="AL686" t="s">
        <v>244</v>
      </c>
      <c r="AM686" t="s">
        <v>245</v>
      </c>
      <c r="AN686" t="s">
        <v>63</v>
      </c>
      <c r="AO686" t="s">
        <v>3625</v>
      </c>
      <c r="AP686" t="s">
        <v>3619</v>
      </c>
    </row>
    <row r="687" spans="1:42" x14ac:dyDescent="0.45">
      <c r="A687" t="s">
        <v>2812</v>
      </c>
      <c r="B687" t="s">
        <v>2813</v>
      </c>
      <c r="C687" t="s">
        <v>3617</v>
      </c>
      <c r="D687">
        <v>2024</v>
      </c>
      <c r="E687" t="s">
        <v>45</v>
      </c>
      <c r="F687" t="s">
        <v>2020</v>
      </c>
      <c r="G687">
        <v>14</v>
      </c>
      <c r="J687" t="s">
        <v>3626</v>
      </c>
      <c r="K687" t="s">
        <v>3627</v>
      </c>
      <c r="L687" t="s">
        <v>3628</v>
      </c>
      <c r="M687" t="s">
        <v>3629</v>
      </c>
      <c r="N687" t="s">
        <v>2829</v>
      </c>
      <c r="O687" t="s">
        <v>2830</v>
      </c>
      <c r="P687" t="s">
        <v>2027</v>
      </c>
      <c r="Q687" t="s">
        <v>3622</v>
      </c>
      <c r="S687">
        <v>13</v>
      </c>
      <c r="T687" t="s">
        <v>3630</v>
      </c>
      <c r="U687">
        <v>4544</v>
      </c>
      <c r="V687">
        <v>4005</v>
      </c>
      <c r="W687">
        <v>1.1346000000000001</v>
      </c>
      <c r="X687" t="s">
        <v>70</v>
      </c>
      <c r="Y687" t="s">
        <v>3624</v>
      </c>
      <c r="Z687">
        <v>866.75</v>
      </c>
      <c r="AA687">
        <v>1144.01</v>
      </c>
      <c r="AB687">
        <v>991564</v>
      </c>
      <c r="AC687" t="b">
        <v>1</v>
      </c>
      <c r="AD687" t="b">
        <v>1</v>
      </c>
      <c r="AE687" t="b">
        <v>0</v>
      </c>
      <c r="AF687" t="b">
        <v>0</v>
      </c>
      <c r="AG687" t="s">
        <v>58</v>
      </c>
      <c r="AH687">
        <v>14</v>
      </c>
      <c r="AI687" t="s">
        <v>59</v>
      </c>
      <c r="AJ687" t="s">
        <v>71</v>
      </c>
      <c r="AL687" t="s">
        <v>244</v>
      </c>
      <c r="AM687" t="s">
        <v>245</v>
      </c>
      <c r="AN687" t="s">
        <v>63</v>
      </c>
      <c r="AO687" t="s">
        <v>3625</v>
      </c>
      <c r="AP687" t="s">
        <v>3627</v>
      </c>
    </row>
    <row r="688" spans="1:42" x14ac:dyDescent="0.45">
      <c r="A688" t="s">
        <v>2812</v>
      </c>
      <c r="B688" t="s">
        <v>2813</v>
      </c>
      <c r="C688" t="s">
        <v>3617</v>
      </c>
      <c r="D688">
        <v>2024</v>
      </c>
      <c r="E688" t="s">
        <v>45</v>
      </c>
      <c r="F688" t="s">
        <v>2020</v>
      </c>
      <c r="G688">
        <v>2</v>
      </c>
      <c r="J688" t="s">
        <v>3631</v>
      </c>
      <c r="K688" t="s">
        <v>3632</v>
      </c>
      <c r="L688" t="s">
        <v>3633</v>
      </c>
      <c r="M688" t="s">
        <v>3634</v>
      </c>
      <c r="N688" t="s">
        <v>2829</v>
      </c>
      <c r="O688" t="s">
        <v>2830</v>
      </c>
      <c r="P688" t="s">
        <v>2027</v>
      </c>
      <c r="Q688" t="s">
        <v>3622</v>
      </c>
      <c r="S688">
        <v>1</v>
      </c>
      <c r="T688" t="s">
        <v>3635</v>
      </c>
      <c r="U688">
        <v>5197</v>
      </c>
      <c r="V688">
        <v>4005</v>
      </c>
      <c r="W688">
        <v>1.2976000000000001</v>
      </c>
      <c r="X688" t="s">
        <v>70</v>
      </c>
      <c r="Y688" t="s">
        <v>3624</v>
      </c>
      <c r="Z688">
        <v>964.75</v>
      </c>
      <c r="AA688">
        <v>4492.2</v>
      </c>
      <c r="AB688">
        <v>4333839</v>
      </c>
      <c r="AC688" t="b">
        <v>1</v>
      </c>
      <c r="AD688" t="b">
        <v>1</v>
      </c>
      <c r="AE688" t="b">
        <v>0</v>
      </c>
      <c r="AF688" t="b">
        <v>0</v>
      </c>
      <c r="AG688" t="s">
        <v>58</v>
      </c>
      <c r="AH688">
        <v>14</v>
      </c>
      <c r="AI688" t="s">
        <v>59</v>
      </c>
      <c r="AJ688" t="s">
        <v>71</v>
      </c>
      <c r="AL688" t="s">
        <v>244</v>
      </c>
      <c r="AM688" t="s">
        <v>245</v>
      </c>
      <c r="AN688" t="s">
        <v>63</v>
      </c>
      <c r="AO688" t="s">
        <v>3625</v>
      </c>
      <c r="AP688" t="s">
        <v>3632</v>
      </c>
    </row>
    <row r="689" spans="1:42" x14ac:dyDescent="0.45">
      <c r="A689" t="s">
        <v>2812</v>
      </c>
      <c r="B689" t="s">
        <v>2813</v>
      </c>
      <c r="C689" t="s">
        <v>3617</v>
      </c>
      <c r="D689">
        <v>2024</v>
      </c>
      <c r="E689" t="s">
        <v>45</v>
      </c>
      <c r="F689" t="s">
        <v>2020</v>
      </c>
      <c r="G689">
        <v>10</v>
      </c>
      <c r="J689" t="s">
        <v>3636</v>
      </c>
      <c r="K689" t="s">
        <v>3637</v>
      </c>
      <c r="L689" t="s">
        <v>3638</v>
      </c>
      <c r="M689" t="s">
        <v>3639</v>
      </c>
      <c r="N689" t="s">
        <v>2829</v>
      </c>
      <c r="O689" t="s">
        <v>2830</v>
      </c>
      <c r="P689" t="s">
        <v>2027</v>
      </c>
      <c r="Q689" t="s">
        <v>3622</v>
      </c>
      <c r="S689">
        <v>9</v>
      </c>
      <c r="T689" t="s">
        <v>3640</v>
      </c>
      <c r="U689">
        <v>3508</v>
      </c>
      <c r="V689">
        <v>4005</v>
      </c>
      <c r="W689">
        <v>0.87590000000000001</v>
      </c>
      <c r="X689" t="s">
        <v>70</v>
      </c>
      <c r="Y689" t="s">
        <v>3624</v>
      </c>
      <c r="Z689">
        <v>894.75</v>
      </c>
      <c r="AA689">
        <v>1190.1500000000001</v>
      </c>
      <c r="AB689">
        <v>1064884</v>
      </c>
      <c r="AC689" t="b">
        <v>1</v>
      </c>
      <c r="AD689" t="b">
        <v>1</v>
      </c>
      <c r="AE689" t="b">
        <v>0</v>
      </c>
      <c r="AF689" t="b">
        <v>0</v>
      </c>
      <c r="AG689" t="s">
        <v>58</v>
      </c>
      <c r="AH689">
        <v>14</v>
      </c>
      <c r="AI689" t="s">
        <v>59</v>
      </c>
      <c r="AJ689" t="s">
        <v>71</v>
      </c>
      <c r="AL689" t="s">
        <v>244</v>
      </c>
      <c r="AM689" t="s">
        <v>245</v>
      </c>
      <c r="AN689" t="s">
        <v>63</v>
      </c>
      <c r="AO689" t="s">
        <v>3625</v>
      </c>
      <c r="AP689" t="s">
        <v>3637</v>
      </c>
    </row>
    <row r="690" spans="1:42" x14ac:dyDescent="0.45">
      <c r="A690" t="s">
        <v>2812</v>
      </c>
      <c r="B690" t="s">
        <v>2813</v>
      </c>
      <c r="C690" t="s">
        <v>3617</v>
      </c>
      <c r="D690">
        <v>2024</v>
      </c>
      <c r="E690" t="s">
        <v>45</v>
      </c>
      <c r="F690" t="s">
        <v>2020</v>
      </c>
      <c r="G690">
        <v>5</v>
      </c>
      <c r="J690" t="s">
        <v>3641</v>
      </c>
      <c r="K690" t="s">
        <v>3642</v>
      </c>
      <c r="L690" t="s">
        <v>3643</v>
      </c>
      <c r="M690" t="s">
        <v>3644</v>
      </c>
      <c r="N690" t="s">
        <v>2829</v>
      </c>
      <c r="O690" t="s">
        <v>2830</v>
      </c>
      <c r="P690" t="s">
        <v>2027</v>
      </c>
      <c r="Q690" t="s">
        <v>3622</v>
      </c>
      <c r="S690">
        <v>4</v>
      </c>
      <c r="T690" t="s">
        <v>3645</v>
      </c>
      <c r="U690">
        <v>3605</v>
      </c>
      <c r="V690">
        <v>4005</v>
      </c>
      <c r="W690">
        <v>0.90010000000000001</v>
      </c>
      <c r="X690" t="s">
        <v>70</v>
      </c>
      <c r="Y690" t="s">
        <v>3624</v>
      </c>
      <c r="Z690">
        <v>943.75</v>
      </c>
      <c r="AA690">
        <v>1806.01</v>
      </c>
      <c r="AB690">
        <v>1704414</v>
      </c>
      <c r="AC690" t="b">
        <v>1</v>
      </c>
      <c r="AD690" t="b">
        <v>1</v>
      </c>
      <c r="AE690" t="b">
        <v>0</v>
      </c>
      <c r="AF690" t="b">
        <v>0</v>
      </c>
      <c r="AG690" t="s">
        <v>58</v>
      </c>
      <c r="AH690">
        <v>14</v>
      </c>
      <c r="AI690" t="s">
        <v>59</v>
      </c>
      <c r="AJ690" t="s">
        <v>71</v>
      </c>
      <c r="AL690" t="s">
        <v>244</v>
      </c>
      <c r="AM690" t="s">
        <v>245</v>
      </c>
      <c r="AN690" t="s">
        <v>63</v>
      </c>
      <c r="AO690" t="s">
        <v>3625</v>
      </c>
      <c r="AP690" t="s">
        <v>3642</v>
      </c>
    </row>
    <row r="691" spans="1:42" x14ac:dyDescent="0.45">
      <c r="A691" t="s">
        <v>2812</v>
      </c>
      <c r="B691" t="s">
        <v>2813</v>
      </c>
      <c r="C691" t="s">
        <v>3617</v>
      </c>
      <c r="D691">
        <v>2024</v>
      </c>
      <c r="E691" t="s">
        <v>45</v>
      </c>
      <c r="F691" t="s">
        <v>2020</v>
      </c>
      <c r="G691">
        <v>4</v>
      </c>
      <c r="J691" t="s">
        <v>3646</v>
      </c>
      <c r="K691" t="s">
        <v>3647</v>
      </c>
      <c r="L691" t="s">
        <v>3648</v>
      </c>
      <c r="M691" t="s">
        <v>3649</v>
      </c>
      <c r="N691" t="s">
        <v>2829</v>
      </c>
      <c r="O691" t="s">
        <v>2830</v>
      </c>
      <c r="P691" t="s">
        <v>2027</v>
      </c>
      <c r="Q691" t="s">
        <v>3622</v>
      </c>
      <c r="S691">
        <v>3</v>
      </c>
      <c r="T691" t="s">
        <v>3650</v>
      </c>
      <c r="U691">
        <v>4005</v>
      </c>
      <c r="V691">
        <v>4005</v>
      </c>
      <c r="W691">
        <v>1</v>
      </c>
      <c r="X691" t="s">
        <v>70</v>
      </c>
      <c r="Y691" t="s">
        <v>3624</v>
      </c>
      <c r="Z691">
        <v>950.75</v>
      </c>
      <c r="AA691">
        <v>2444.5500000000002</v>
      </c>
      <c r="AB691">
        <v>2324151</v>
      </c>
      <c r="AC691" t="b">
        <v>1</v>
      </c>
      <c r="AD691" t="b">
        <v>1</v>
      </c>
      <c r="AE691" t="b">
        <v>0</v>
      </c>
      <c r="AF691" t="b">
        <v>0</v>
      </c>
      <c r="AG691" t="s">
        <v>58</v>
      </c>
      <c r="AH691">
        <v>14</v>
      </c>
      <c r="AI691" t="s">
        <v>59</v>
      </c>
      <c r="AJ691" t="s">
        <v>71</v>
      </c>
      <c r="AL691" t="s">
        <v>244</v>
      </c>
      <c r="AM691" t="s">
        <v>245</v>
      </c>
      <c r="AN691" t="s">
        <v>63</v>
      </c>
      <c r="AO691" t="s">
        <v>3625</v>
      </c>
      <c r="AP691" t="s">
        <v>3647</v>
      </c>
    </row>
    <row r="692" spans="1:42" x14ac:dyDescent="0.45">
      <c r="A692" t="s">
        <v>2812</v>
      </c>
      <c r="B692" t="s">
        <v>2813</v>
      </c>
      <c r="C692" t="s">
        <v>3617</v>
      </c>
      <c r="D692">
        <v>2024</v>
      </c>
      <c r="E692" t="s">
        <v>45</v>
      </c>
      <c r="F692" t="s">
        <v>2020</v>
      </c>
      <c r="G692">
        <v>9</v>
      </c>
      <c r="J692" t="s">
        <v>3651</v>
      </c>
      <c r="K692" t="s">
        <v>3652</v>
      </c>
      <c r="L692" t="s">
        <v>3653</v>
      </c>
      <c r="M692" t="s">
        <v>3654</v>
      </c>
      <c r="N692" t="s">
        <v>2829</v>
      </c>
      <c r="O692" t="s">
        <v>2830</v>
      </c>
      <c r="P692" t="s">
        <v>2027</v>
      </c>
      <c r="Q692" t="s">
        <v>3622</v>
      </c>
      <c r="S692">
        <v>8</v>
      </c>
      <c r="T692" t="s">
        <v>3655</v>
      </c>
      <c r="U692">
        <v>3260</v>
      </c>
      <c r="V692">
        <v>4005</v>
      </c>
      <c r="W692">
        <v>0.81399999999999995</v>
      </c>
      <c r="X692" t="s">
        <v>70</v>
      </c>
      <c r="Y692" t="s">
        <v>3624</v>
      </c>
      <c r="Z692">
        <v>901.75</v>
      </c>
      <c r="AA692">
        <v>1377.19</v>
      </c>
      <c r="AB692">
        <v>1241874</v>
      </c>
      <c r="AC692" t="b">
        <v>1</v>
      </c>
      <c r="AD692" t="b">
        <v>1</v>
      </c>
      <c r="AE692" t="b">
        <v>0</v>
      </c>
      <c r="AF692" t="b">
        <v>0</v>
      </c>
      <c r="AG692" t="s">
        <v>58</v>
      </c>
      <c r="AH692">
        <v>14</v>
      </c>
      <c r="AI692" t="s">
        <v>59</v>
      </c>
      <c r="AJ692" t="s">
        <v>71</v>
      </c>
      <c r="AL692" t="s">
        <v>244</v>
      </c>
      <c r="AM692" t="s">
        <v>245</v>
      </c>
      <c r="AN692" t="s">
        <v>63</v>
      </c>
      <c r="AO692" t="s">
        <v>3625</v>
      </c>
      <c r="AP692" t="s">
        <v>3652</v>
      </c>
    </row>
    <row r="693" spans="1:42" x14ac:dyDescent="0.45">
      <c r="A693" t="s">
        <v>2812</v>
      </c>
      <c r="B693" t="s">
        <v>2813</v>
      </c>
      <c r="C693" t="s">
        <v>3617</v>
      </c>
      <c r="D693">
        <v>2024</v>
      </c>
      <c r="E693" t="s">
        <v>45</v>
      </c>
      <c r="F693" t="s">
        <v>2020</v>
      </c>
      <c r="G693">
        <v>3</v>
      </c>
      <c r="J693" t="s">
        <v>3656</v>
      </c>
      <c r="K693" t="s">
        <v>3657</v>
      </c>
      <c r="L693" t="s">
        <v>3658</v>
      </c>
      <c r="M693" t="s">
        <v>3659</v>
      </c>
      <c r="N693" t="s">
        <v>2829</v>
      </c>
      <c r="O693" t="s">
        <v>2830</v>
      </c>
      <c r="P693" t="s">
        <v>2027</v>
      </c>
      <c r="Q693" t="s">
        <v>3622</v>
      </c>
      <c r="S693">
        <v>2</v>
      </c>
      <c r="T693" t="s">
        <v>3660</v>
      </c>
      <c r="U693">
        <v>3615</v>
      </c>
      <c r="V693">
        <v>4005</v>
      </c>
      <c r="W693">
        <v>0.90259999999999996</v>
      </c>
      <c r="X693" t="s">
        <v>70</v>
      </c>
      <c r="Y693" t="s">
        <v>3624</v>
      </c>
      <c r="Z693">
        <v>957.75</v>
      </c>
      <c r="AA693">
        <v>3143.22</v>
      </c>
      <c r="AB693">
        <v>3010406</v>
      </c>
      <c r="AC693" t="b">
        <v>1</v>
      </c>
      <c r="AD693" t="b">
        <v>1</v>
      </c>
      <c r="AE693" t="b">
        <v>0</v>
      </c>
      <c r="AF693" t="b">
        <v>0</v>
      </c>
      <c r="AG693" t="s">
        <v>58</v>
      </c>
      <c r="AH693">
        <v>14</v>
      </c>
      <c r="AI693" t="s">
        <v>59</v>
      </c>
      <c r="AJ693" t="s">
        <v>71</v>
      </c>
      <c r="AL693" t="s">
        <v>244</v>
      </c>
      <c r="AM693" t="s">
        <v>245</v>
      </c>
      <c r="AN693" t="s">
        <v>63</v>
      </c>
      <c r="AO693" t="s">
        <v>3625</v>
      </c>
      <c r="AP693" t="s">
        <v>3657</v>
      </c>
    </row>
    <row r="694" spans="1:42" x14ac:dyDescent="0.45">
      <c r="A694" t="s">
        <v>2812</v>
      </c>
      <c r="B694" t="s">
        <v>2813</v>
      </c>
      <c r="C694" t="s">
        <v>3617</v>
      </c>
      <c r="D694">
        <v>2024</v>
      </c>
      <c r="E694" t="s">
        <v>45</v>
      </c>
      <c r="F694" t="s">
        <v>2020</v>
      </c>
      <c r="G694">
        <v>13</v>
      </c>
      <c r="J694" t="s">
        <v>3661</v>
      </c>
      <c r="K694" t="s">
        <v>3662</v>
      </c>
      <c r="L694" t="s">
        <v>3663</v>
      </c>
      <c r="M694" t="s">
        <v>3664</v>
      </c>
      <c r="N694" t="s">
        <v>2829</v>
      </c>
      <c r="O694" t="s">
        <v>2830</v>
      </c>
      <c r="P694" t="s">
        <v>2027</v>
      </c>
      <c r="Q694" t="s">
        <v>3622</v>
      </c>
      <c r="S694">
        <v>12</v>
      </c>
      <c r="T694" t="s">
        <v>3665</v>
      </c>
      <c r="U694">
        <v>6055</v>
      </c>
      <c r="V694">
        <v>4005</v>
      </c>
      <c r="W694">
        <v>1.5119</v>
      </c>
      <c r="X694" t="s">
        <v>70</v>
      </c>
      <c r="Y694" t="s">
        <v>3624</v>
      </c>
      <c r="Z694">
        <v>873.75</v>
      </c>
      <c r="AA694">
        <v>1019.39</v>
      </c>
      <c r="AB694">
        <v>890691</v>
      </c>
      <c r="AC694" t="b">
        <v>1</v>
      </c>
      <c r="AD694" t="b">
        <v>1</v>
      </c>
      <c r="AE694" t="b">
        <v>0</v>
      </c>
      <c r="AF694" t="b">
        <v>0</v>
      </c>
      <c r="AG694" t="s">
        <v>58</v>
      </c>
      <c r="AH694">
        <v>14</v>
      </c>
      <c r="AI694" t="s">
        <v>59</v>
      </c>
      <c r="AJ694" t="s">
        <v>71</v>
      </c>
      <c r="AL694" t="s">
        <v>244</v>
      </c>
      <c r="AM694" t="s">
        <v>245</v>
      </c>
      <c r="AN694" t="s">
        <v>63</v>
      </c>
      <c r="AO694" t="s">
        <v>3625</v>
      </c>
      <c r="AP694" t="s">
        <v>3662</v>
      </c>
    </row>
    <row r="695" spans="1:42" x14ac:dyDescent="0.45">
      <c r="A695" t="s">
        <v>2812</v>
      </c>
      <c r="B695" t="s">
        <v>2813</v>
      </c>
      <c r="C695" t="s">
        <v>3617</v>
      </c>
      <c r="D695">
        <v>2024</v>
      </c>
      <c r="E695" t="s">
        <v>45</v>
      </c>
      <c r="F695" t="s">
        <v>2020</v>
      </c>
      <c r="G695">
        <v>8</v>
      </c>
      <c r="J695" t="s">
        <v>3666</v>
      </c>
      <c r="K695" t="s">
        <v>3667</v>
      </c>
      <c r="L695" t="s">
        <v>3668</v>
      </c>
      <c r="M695" t="s">
        <v>3669</v>
      </c>
      <c r="N695" t="s">
        <v>2829</v>
      </c>
      <c r="O695" t="s">
        <v>2830</v>
      </c>
      <c r="P695" t="s">
        <v>2027</v>
      </c>
      <c r="Q695" t="s">
        <v>3622</v>
      </c>
      <c r="S695">
        <v>7</v>
      </c>
      <c r="T695" t="s">
        <v>3670</v>
      </c>
      <c r="U695">
        <v>3472</v>
      </c>
      <c r="V695">
        <v>4005</v>
      </c>
      <c r="W695">
        <v>0.8669</v>
      </c>
      <c r="X695" t="s">
        <v>70</v>
      </c>
      <c r="Y695" t="s">
        <v>3624</v>
      </c>
      <c r="Z695">
        <v>922.75</v>
      </c>
      <c r="AA695">
        <v>1490.94</v>
      </c>
      <c r="AB695">
        <v>1375761</v>
      </c>
      <c r="AC695" t="b">
        <v>1</v>
      </c>
      <c r="AD695" t="b">
        <v>1</v>
      </c>
      <c r="AE695" t="b">
        <v>0</v>
      </c>
      <c r="AF695" t="b">
        <v>0</v>
      </c>
      <c r="AG695" t="s">
        <v>58</v>
      </c>
      <c r="AH695">
        <v>14</v>
      </c>
      <c r="AI695" t="s">
        <v>59</v>
      </c>
      <c r="AJ695" t="s">
        <v>71</v>
      </c>
      <c r="AL695" t="s">
        <v>244</v>
      </c>
      <c r="AM695" t="s">
        <v>245</v>
      </c>
      <c r="AN695" t="s">
        <v>63</v>
      </c>
      <c r="AO695" t="s">
        <v>3625</v>
      </c>
      <c r="AP695" t="s">
        <v>3667</v>
      </c>
    </row>
    <row r="696" spans="1:42" x14ac:dyDescent="0.45">
      <c r="A696" t="s">
        <v>2812</v>
      </c>
      <c r="B696" t="s">
        <v>2813</v>
      </c>
      <c r="C696" t="s">
        <v>3617</v>
      </c>
      <c r="D696">
        <v>2024</v>
      </c>
      <c r="E696" t="s">
        <v>45</v>
      </c>
      <c r="F696" t="s">
        <v>2020</v>
      </c>
      <c r="G696">
        <v>11</v>
      </c>
      <c r="J696" t="s">
        <v>3671</v>
      </c>
      <c r="K696" t="s">
        <v>3672</v>
      </c>
      <c r="L696" t="s">
        <v>3673</v>
      </c>
      <c r="M696" t="s">
        <v>3674</v>
      </c>
      <c r="N696" t="s">
        <v>2829</v>
      </c>
      <c r="O696" t="s">
        <v>2830</v>
      </c>
      <c r="P696" t="s">
        <v>2027</v>
      </c>
      <c r="Q696" t="s">
        <v>3622</v>
      </c>
      <c r="S696">
        <v>10</v>
      </c>
      <c r="T696" t="s">
        <v>3675</v>
      </c>
      <c r="U696">
        <v>4617</v>
      </c>
      <c r="V696">
        <v>4005</v>
      </c>
      <c r="W696">
        <v>1.1528</v>
      </c>
      <c r="X696" t="s">
        <v>70</v>
      </c>
      <c r="Y696" t="s">
        <v>3624</v>
      </c>
      <c r="Z696">
        <v>887.75</v>
      </c>
      <c r="AA696">
        <v>1050.6300000000001</v>
      </c>
      <c r="AB696">
        <v>932689</v>
      </c>
      <c r="AC696" t="b">
        <v>1</v>
      </c>
      <c r="AD696" t="b">
        <v>1</v>
      </c>
      <c r="AE696" t="b">
        <v>0</v>
      </c>
      <c r="AF696" t="b">
        <v>0</v>
      </c>
      <c r="AG696" t="s">
        <v>58</v>
      </c>
      <c r="AH696">
        <v>14</v>
      </c>
      <c r="AI696" t="s">
        <v>59</v>
      </c>
      <c r="AJ696" t="s">
        <v>71</v>
      </c>
      <c r="AL696" t="s">
        <v>244</v>
      </c>
      <c r="AM696" t="s">
        <v>245</v>
      </c>
      <c r="AN696" t="s">
        <v>63</v>
      </c>
      <c r="AO696" t="s">
        <v>3625</v>
      </c>
      <c r="AP696" t="s">
        <v>3672</v>
      </c>
    </row>
    <row r="697" spans="1:42" x14ac:dyDescent="0.45">
      <c r="A697" t="s">
        <v>2812</v>
      </c>
      <c r="B697" t="s">
        <v>2813</v>
      </c>
      <c r="C697" t="s">
        <v>3617</v>
      </c>
      <c r="D697">
        <v>2024</v>
      </c>
      <c r="E697" t="s">
        <v>45</v>
      </c>
      <c r="F697" t="s">
        <v>2020</v>
      </c>
      <c r="J697" t="s">
        <v>3676</v>
      </c>
      <c r="K697" t="s">
        <v>3677</v>
      </c>
      <c r="L697" t="s">
        <v>3678</v>
      </c>
      <c r="M697" t="s">
        <v>3679</v>
      </c>
      <c r="N697" t="s">
        <v>2829</v>
      </c>
      <c r="O697" t="s">
        <v>2830</v>
      </c>
      <c r="P697" t="s">
        <v>2027</v>
      </c>
      <c r="Q697" t="s">
        <v>3622</v>
      </c>
      <c r="S697">
        <v>15</v>
      </c>
      <c r="T697" t="s">
        <v>3680</v>
      </c>
      <c r="U697">
        <v>5168</v>
      </c>
      <c r="V697">
        <v>4005</v>
      </c>
      <c r="W697">
        <v>1.2904</v>
      </c>
      <c r="X697" t="s">
        <v>70</v>
      </c>
      <c r="Y697" t="s">
        <v>3624</v>
      </c>
      <c r="Z697">
        <v>852.75</v>
      </c>
      <c r="AA697">
        <v>894.33</v>
      </c>
      <c r="AB697">
        <v>762641</v>
      </c>
      <c r="AC697" t="b">
        <v>0</v>
      </c>
      <c r="AD697" t="b">
        <v>0</v>
      </c>
      <c r="AE697" t="b">
        <v>0</v>
      </c>
      <c r="AF697" t="b">
        <v>0</v>
      </c>
      <c r="AG697" t="s">
        <v>58</v>
      </c>
      <c r="AH697">
        <v>10</v>
      </c>
      <c r="AI697" t="s">
        <v>386</v>
      </c>
      <c r="AJ697" t="s">
        <v>387</v>
      </c>
      <c r="AL697" t="s">
        <v>983</v>
      </c>
      <c r="AM697" t="s">
        <v>245</v>
      </c>
      <c r="AN697" t="s">
        <v>63</v>
      </c>
      <c r="AO697" t="s">
        <v>3625</v>
      </c>
      <c r="AP697" t="s">
        <v>3677</v>
      </c>
    </row>
    <row r="698" spans="1:42" x14ac:dyDescent="0.45">
      <c r="A698" t="s">
        <v>2812</v>
      </c>
      <c r="B698" t="s">
        <v>2813</v>
      </c>
      <c r="C698" t="s">
        <v>3617</v>
      </c>
      <c r="D698">
        <v>2024</v>
      </c>
      <c r="E698" t="s">
        <v>45</v>
      </c>
      <c r="F698" t="s">
        <v>2020</v>
      </c>
      <c r="G698">
        <v>7</v>
      </c>
      <c r="J698" t="s">
        <v>3681</v>
      </c>
      <c r="K698" t="s">
        <v>3682</v>
      </c>
      <c r="L698" t="s">
        <v>3683</v>
      </c>
      <c r="M698" t="s">
        <v>3684</v>
      </c>
      <c r="N698" t="s">
        <v>2829</v>
      </c>
      <c r="O698" t="s">
        <v>2830</v>
      </c>
      <c r="P698" t="s">
        <v>2027</v>
      </c>
      <c r="Q698" t="s">
        <v>3622</v>
      </c>
      <c r="S698">
        <v>6</v>
      </c>
      <c r="T698" t="s">
        <v>3685</v>
      </c>
      <c r="U698">
        <v>4202</v>
      </c>
      <c r="V698">
        <v>4005</v>
      </c>
      <c r="W698">
        <v>1.0491999999999999</v>
      </c>
      <c r="X698" t="s">
        <v>70</v>
      </c>
      <c r="Y698" t="s">
        <v>3624</v>
      </c>
      <c r="Z698">
        <v>929.75</v>
      </c>
      <c r="AA698">
        <v>1576.14</v>
      </c>
      <c r="AB698">
        <v>1465414</v>
      </c>
      <c r="AC698" t="b">
        <v>1</v>
      </c>
      <c r="AD698" t="b">
        <v>1</v>
      </c>
      <c r="AE698" t="b">
        <v>0</v>
      </c>
      <c r="AF698" t="b">
        <v>0</v>
      </c>
      <c r="AG698" t="s">
        <v>58</v>
      </c>
      <c r="AH698">
        <v>14</v>
      </c>
      <c r="AI698" t="s">
        <v>59</v>
      </c>
      <c r="AJ698" t="s">
        <v>71</v>
      </c>
      <c r="AL698" t="s">
        <v>244</v>
      </c>
      <c r="AM698" t="s">
        <v>245</v>
      </c>
      <c r="AN698" t="s">
        <v>63</v>
      </c>
      <c r="AO698" t="s">
        <v>3625</v>
      </c>
      <c r="AP698" t="s">
        <v>3682</v>
      </c>
    </row>
    <row r="699" spans="1:42" x14ac:dyDescent="0.45">
      <c r="A699" t="s">
        <v>2812</v>
      </c>
      <c r="B699" t="s">
        <v>2813</v>
      </c>
      <c r="C699" t="s">
        <v>3617</v>
      </c>
      <c r="D699">
        <v>2024</v>
      </c>
      <c r="E699" t="s">
        <v>45</v>
      </c>
      <c r="F699" t="s">
        <v>2020</v>
      </c>
      <c r="G699">
        <v>1</v>
      </c>
      <c r="J699" t="s">
        <v>3686</v>
      </c>
      <c r="K699" t="s">
        <v>3687</v>
      </c>
      <c r="L699" t="s">
        <v>3688</v>
      </c>
      <c r="M699" t="s">
        <v>3689</v>
      </c>
      <c r="N699" t="s">
        <v>2829</v>
      </c>
      <c r="O699" t="s">
        <v>2830</v>
      </c>
      <c r="P699" t="s">
        <v>2027</v>
      </c>
      <c r="Q699" t="s">
        <v>3622</v>
      </c>
      <c r="S699">
        <v>0</v>
      </c>
      <c r="T699" t="s">
        <v>3690</v>
      </c>
      <c r="U699">
        <v>3519</v>
      </c>
      <c r="V699">
        <v>4005</v>
      </c>
      <c r="W699">
        <v>0.87870000000000004</v>
      </c>
      <c r="X699" t="s">
        <v>70</v>
      </c>
      <c r="Y699" t="s">
        <v>3624</v>
      </c>
      <c r="Z699">
        <v>971.75</v>
      </c>
      <c r="AA699">
        <v>5614.19</v>
      </c>
      <c r="AB699">
        <v>5455573</v>
      </c>
      <c r="AC699" t="b">
        <v>1</v>
      </c>
      <c r="AD699" t="b">
        <v>1</v>
      </c>
      <c r="AE699" t="b">
        <v>0</v>
      </c>
      <c r="AF699" t="b">
        <v>0</v>
      </c>
      <c r="AG699" t="s">
        <v>58</v>
      </c>
      <c r="AH699">
        <v>14</v>
      </c>
      <c r="AI699" t="s">
        <v>59</v>
      </c>
      <c r="AJ699" t="s">
        <v>71</v>
      </c>
      <c r="AL699" t="s">
        <v>244</v>
      </c>
      <c r="AM699" t="s">
        <v>245</v>
      </c>
      <c r="AN699" t="s">
        <v>63</v>
      </c>
      <c r="AO699" t="s">
        <v>3625</v>
      </c>
      <c r="AP699" t="s">
        <v>3687</v>
      </c>
    </row>
    <row r="700" spans="1:42" x14ac:dyDescent="0.45">
      <c r="A700" t="s">
        <v>2812</v>
      </c>
      <c r="B700" t="s">
        <v>2813</v>
      </c>
      <c r="C700" t="s">
        <v>3617</v>
      </c>
      <c r="D700">
        <v>2024</v>
      </c>
      <c r="E700" t="s">
        <v>45</v>
      </c>
      <c r="F700" t="s">
        <v>2020</v>
      </c>
      <c r="G700">
        <v>15</v>
      </c>
      <c r="J700" t="s">
        <v>3691</v>
      </c>
      <c r="K700" t="s">
        <v>3692</v>
      </c>
      <c r="L700" t="s">
        <v>3693</v>
      </c>
      <c r="M700" t="s">
        <v>3694</v>
      </c>
      <c r="N700" t="s">
        <v>2829</v>
      </c>
      <c r="O700" t="s">
        <v>2830</v>
      </c>
      <c r="P700" t="s">
        <v>2027</v>
      </c>
      <c r="Q700" t="s">
        <v>3622</v>
      </c>
      <c r="S700">
        <v>14</v>
      </c>
      <c r="T700" t="s">
        <v>3695</v>
      </c>
      <c r="U700">
        <v>5069</v>
      </c>
      <c r="V700">
        <v>4005</v>
      </c>
      <c r="W700">
        <v>1.2657</v>
      </c>
      <c r="X700" t="s">
        <v>70</v>
      </c>
      <c r="Y700" t="s">
        <v>3624</v>
      </c>
      <c r="Z700">
        <v>859.75</v>
      </c>
      <c r="AA700">
        <v>819.77</v>
      </c>
      <c r="AB700">
        <v>704794</v>
      </c>
      <c r="AC700" t="b">
        <v>1</v>
      </c>
      <c r="AD700" t="b">
        <v>1</v>
      </c>
      <c r="AE700" t="b">
        <v>0</v>
      </c>
      <c r="AF700" t="b">
        <v>0</v>
      </c>
      <c r="AG700" t="s">
        <v>58</v>
      </c>
      <c r="AH700">
        <v>14</v>
      </c>
      <c r="AI700" t="s">
        <v>59</v>
      </c>
      <c r="AJ700" t="s">
        <v>71</v>
      </c>
      <c r="AL700" t="s">
        <v>244</v>
      </c>
      <c r="AM700" t="s">
        <v>245</v>
      </c>
      <c r="AN700" t="s">
        <v>63</v>
      </c>
      <c r="AO700" t="s">
        <v>3625</v>
      </c>
      <c r="AP700" t="s">
        <v>3692</v>
      </c>
    </row>
    <row r="701" spans="1:42" x14ac:dyDescent="0.45">
      <c r="A701" t="s">
        <v>2812</v>
      </c>
      <c r="B701" t="s">
        <v>2813</v>
      </c>
      <c r="C701" t="s">
        <v>3617</v>
      </c>
      <c r="D701">
        <v>2024</v>
      </c>
      <c r="E701" t="s">
        <v>45</v>
      </c>
      <c r="F701" t="s">
        <v>2020</v>
      </c>
      <c r="G701">
        <v>6</v>
      </c>
      <c r="J701" t="s">
        <v>3696</v>
      </c>
      <c r="K701" t="s">
        <v>3697</v>
      </c>
      <c r="L701" t="s">
        <v>3698</v>
      </c>
      <c r="M701" t="s">
        <v>3699</v>
      </c>
      <c r="N701" t="s">
        <v>2829</v>
      </c>
      <c r="O701" t="s">
        <v>2830</v>
      </c>
      <c r="P701" t="s">
        <v>2027</v>
      </c>
      <c r="Q701" t="s">
        <v>3622</v>
      </c>
      <c r="S701">
        <v>5</v>
      </c>
      <c r="T701" t="s">
        <v>3700</v>
      </c>
      <c r="U701">
        <v>3417</v>
      </c>
      <c r="V701">
        <v>4005</v>
      </c>
      <c r="W701">
        <v>0.85319999999999996</v>
      </c>
      <c r="X701" t="s">
        <v>70</v>
      </c>
      <c r="Y701" t="s">
        <v>3624</v>
      </c>
      <c r="Z701">
        <v>936.75</v>
      </c>
      <c r="AA701">
        <v>1711.65</v>
      </c>
      <c r="AB701">
        <v>1603381</v>
      </c>
      <c r="AC701" t="b">
        <v>1</v>
      </c>
      <c r="AD701" t="b">
        <v>1</v>
      </c>
      <c r="AE701" t="b">
        <v>0</v>
      </c>
      <c r="AF701" t="b">
        <v>0</v>
      </c>
      <c r="AG701" t="s">
        <v>58</v>
      </c>
      <c r="AH701">
        <v>14</v>
      </c>
      <c r="AI701" t="s">
        <v>59</v>
      </c>
      <c r="AJ701" t="s">
        <v>71</v>
      </c>
      <c r="AL701" t="s">
        <v>244</v>
      </c>
      <c r="AM701" t="s">
        <v>245</v>
      </c>
      <c r="AN701" t="s">
        <v>63</v>
      </c>
      <c r="AO701" t="s">
        <v>3625</v>
      </c>
      <c r="AP701" t="s">
        <v>3697</v>
      </c>
    </row>
    <row r="702" spans="1:42" x14ac:dyDescent="0.45">
      <c r="A702" t="s">
        <v>2812</v>
      </c>
      <c r="B702" t="s">
        <v>2813</v>
      </c>
      <c r="C702" t="s">
        <v>3701</v>
      </c>
      <c r="D702">
        <v>2024</v>
      </c>
      <c r="E702" t="s">
        <v>45</v>
      </c>
      <c r="F702" t="s">
        <v>2020</v>
      </c>
      <c r="G702">
        <v>2</v>
      </c>
      <c r="J702" t="s">
        <v>3702</v>
      </c>
      <c r="K702" t="s">
        <v>3703</v>
      </c>
      <c r="L702" t="s">
        <v>3704</v>
      </c>
      <c r="M702" t="s">
        <v>3705</v>
      </c>
      <c r="N702" t="s">
        <v>2829</v>
      </c>
      <c r="O702" t="s">
        <v>2830</v>
      </c>
      <c r="P702" t="s">
        <v>2027</v>
      </c>
      <c r="Q702" t="s">
        <v>3706</v>
      </c>
      <c r="S702">
        <v>14</v>
      </c>
      <c r="T702" t="s">
        <v>3707</v>
      </c>
      <c r="U702">
        <v>5542</v>
      </c>
      <c r="V702">
        <v>4882</v>
      </c>
      <c r="W702">
        <v>1.1352</v>
      </c>
      <c r="X702" t="s">
        <v>70</v>
      </c>
      <c r="Y702" t="s">
        <v>3708</v>
      </c>
      <c r="Z702">
        <v>728.71</v>
      </c>
      <c r="AA702">
        <v>5496.31</v>
      </c>
      <c r="AB702">
        <v>4005187</v>
      </c>
      <c r="AC702" t="b">
        <v>1</v>
      </c>
      <c r="AD702" t="b">
        <v>1</v>
      </c>
      <c r="AE702" t="b">
        <v>0</v>
      </c>
      <c r="AF702" t="b">
        <v>0</v>
      </c>
      <c r="AG702" t="s">
        <v>58</v>
      </c>
      <c r="AH702">
        <v>14</v>
      </c>
      <c r="AI702" t="s">
        <v>59</v>
      </c>
      <c r="AJ702" t="s">
        <v>71</v>
      </c>
      <c r="AL702" t="s">
        <v>244</v>
      </c>
      <c r="AM702" t="s">
        <v>245</v>
      </c>
      <c r="AN702" t="s">
        <v>63</v>
      </c>
      <c r="AO702" t="s">
        <v>3709</v>
      </c>
      <c r="AP702" t="s">
        <v>3703</v>
      </c>
    </row>
    <row r="703" spans="1:42" x14ac:dyDescent="0.45">
      <c r="A703" t="s">
        <v>2812</v>
      </c>
      <c r="B703" t="s">
        <v>2813</v>
      </c>
      <c r="C703" t="s">
        <v>3701</v>
      </c>
      <c r="D703">
        <v>2024</v>
      </c>
      <c r="E703" t="s">
        <v>45</v>
      </c>
      <c r="F703" t="s">
        <v>2020</v>
      </c>
      <c r="G703">
        <v>11</v>
      </c>
      <c r="J703" t="s">
        <v>3710</v>
      </c>
      <c r="K703" t="s">
        <v>3711</v>
      </c>
      <c r="L703" t="s">
        <v>3712</v>
      </c>
      <c r="M703" t="s">
        <v>3713</v>
      </c>
      <c r="N703" t="s">
        <v>2829</v>
      </c>
      <c r="O703" t="s">
        <v>2830</v>
      </c>
      <c r="P703" t="s">
        <v>2027</v>
      </c>
      <c r="Q703" t="s">
        <v>3706</v>
      </c>
      <c r="S703">
        <v>5</v>
      </c>
      <c r="T703" t="s">
        <v>3714</v>
      </c>
      <c r="U703">
        <v>4882</v>
      </c>
      <c r="V703">
        <v>4882</v>
      </c>
      <c r="W703">
        <v>1</v>
      </c>
      <c r="X703" t="s">
        <v>70</v>
      </c>
      <c r="Y703" t="s">
        <v>3708</v>
      </c>
      <c r="Z703">
        <v>665.71</v>
      </c>
      <c r="AA703">
        <v>1130.04</v>
      </c>
      <c r="AB703">
        <v>752273</v>
      </c>
      <c r="AC703" t="b">
        <v>1</v>
      </c>
      <c r="AD703" t="b">
        <v>1</v>
      </c>
      <c r="AE703" t="b">
        <v>0</v>
      </c>
      <c r="AF703" t="b">
        <v>0</v>
      </c>
      <c r="AG703" t="s">
        <v>58</v>
      </c>
      <c r="AH703">
        <v>14</v>
      </c>
      <c r="AI703" t="s">
        <v>59</v>
      </c>
      <c r="AJ703" t="s">
        <v>71</v>
      </c>
      <c r="AL703" t="s">
        <v>244</v>
      </c>
      <c r="AM703" t="s">
        <v>245</v>
      </c>
      <c r="AN703" t="s">
        <v>63</v>
      </c>
      <c r="AO703" t="s">
        <v>3709</v>
      </c>
      <c r="AP703" t="s">
        <v>3711</v>
      </c>
    </row>
    <row r="704" spans="1:42" x14ac:dyDescent="0.45">
      <c r="A704" t="s">
        <v>2812</v>
      </c>
      <c r="B704" t="s">
        <v>2813</v>
      </c>
      <c r="C704" t="s">
        <v>3701</v>
      </c>
      <c r="D704">
        <v>2024</v>
      </c>
      <c r="E704" t="s">
        <v>45</v>
      </c>
      <c r="F704" t="s">
        <v>2020</v>
      </c>
      <c r="G704">
        <v>7</v>
      </c>
      <c r="J704" t="s">
        <v>3715</v>
      </c>
      <c r="K704" t="s">
        <v>3716</v>
      </c>
      <c r="L704" t="s">
        <v>3717</v>
      </c>
      <c r="M704" t="s">
        <v>3718</v>
      </c>
      <c r="N704" t="s">
        <v>2829</v>
      </c>
      <c r="O704" t="s">
        <v>2830</v>
      </c>
      <c r="P704" t="s">
        <v>2027</v>
      </c>
      <c r="Q704" t="s">
        <v>3706</v>
      </c>
      <c r="S704">
        <v>9</v>
      </c>
      <c r="T704" t="s">
        <v>3719</v>
      </c>
      <c r="U704">
        <v>5578</v>
      </c>
      <c r="V704">
        <v>4882</v>
      </c>
      <c r="W704">
        <v>1.1426000000000001</v>
      </c>
      <c r="X704" t="s">
        <v>70</v>
      </c>
      <c r="Y704" t="s">
        <v>3708</v>
      </c>
      <c r="Z704">
        <v>693.71</v>
      </c>
      <c r="AA704">
        <v>1691.26</v>
      </c>
      <c r="AB704">
        <v>1173237</v>
      </c>
      <c r="AC704" t="b">
        <v>1</v>
      </c>
      <c r="AD704" t="b">
        <v>1</v>
      </c>
      <c r="AE704" t="b">
        <v>0</v>
      </c>
      <c r="AF704" t="b">
        <v>0</v>
      </c>
      <c r="AG704" t="s">
        <v>58</v>
      </c>
      <c r="AH704">
        <v>14</v>
      </c>
      <c r="AI704" t="s">
        <v>59</v>
      </c>
      <c r="AJ704" t="s">
        <v>71</v>
      </c>
      <c r="AL704" t="s">
        <v>244</v>
      </c>
      <c r="AM704" t="s">
        <v>245</v>
      </c>
      <c r="AN704" t="s">
        <v>63</v>
      </c>
      <c r="AO704" t="s">
        <v>3709</v>
      </c>
      <c r="AP704" t="s">
        <v>3716</v>
      </c>
    </row>
    <row r="705" spans="1:42" x14ac:dyDescent="0.45">
      <c r="A705" t="s">
        <v>2812</v>
      </c>
      <c r="B705" t="s">
        <v>2813</v>
      </c>
      <c r="C705" t="s">
        <v>3701</v>
      </c>
      <c r="D705">
        <v>2024</v>
      </c>
      <c r="E705" t="s">
        <v>45</v>
      </c>
      <c r="F705" t="s">
        <v>2020</v>
      </c>
      <c r="G705">
        <v>8</v>
      </c>
      <c r="J705" t="s">
        <v>3720</v>
      </c>
      <c r="K705" t="s">
        <v>3721</v>
      </c>
      <c r="L705" t="s">
        <v>3722</v>
      </c>
      <c r="M705" t="s">
        <v>3723</v>
      </c>
      <c r="N705" t="s">
        <v>2829</v>
      </c>
      <c r="O705" t="s">
        <v>2830</v>
      </c>
      <c r="P705" t="s">
        <v>2027</v>
      </c>
      <c r="Q705" t="s">
        <v>3706</v>
      </c>
      <c r="S705">
        <v>8</v>
      </c>
      <c r="T705" t="s">
        <v>3724</v>
      </c>
      <c r="U705">
        <v>5153</v>
      </c>
      <c r="V705">
        <v>4882</v>
      </c>
      <c r="W705">
        <v>1.0555000000000001</v>
      </c>
      <c r="X705" t="s">
        <v>70</v>
      </c>
      <c r="Y705" t="s">
        <v>3708</v>
      </c>
      <c r="Z705">
        <v>686.71</v>
      </c>
      <c r="AA705">
        <v>1560.79</v>
      </c>
      <c r="AB705">
        <v>1071800</v>
      </c>
      <c r="AC705" t="b">
        <v>1</v>
      </c>
      <c r="AD705" t="b">
        <v>1</v>
      </c>
      <c r="AE705" t="b">
        <v>0</v>
      </c>
      <c r="AF705" t="b">
        <v>0</v>
      </c>
      <c r="AG705" t="s">
        <v>58</v>
      </c>
      <c r="AH705">
        <v>14</v>
      </c>
      <c r="AI705" t="s">
        <v>59</v>
      </c>
      <c r="AJ705" t="s">
        <v>71</v>
      </c>
      <c r="AL705" t="s">
        <v>244</v>
      </c>
      <c r="AM705" t="s">
        <v>245</v>
      </c>
      <c r="AN705" t="s">
        <v>63</v>
      </c>
      <c r="AO705" t="s">
        <v>3709</v>
      </c>
      <c r="AP705" t="s">
        <v>3721</v>
      </c>
    </row>
    <row r="706" spans="1:42" x14ac:dyDescent="0.45">
      <c r="A706" t="s">
        <v>2812</v>
      </c>
      <c r="B706" t="s">
        <v>2813</v>
      </c>
      <c r="C706" t="s">
        <v>3701</v>
      </c>
      <c r="D706">
        <v>2024</v>
      </c>
      <c r="E706" t="s">
        <v>45</v>
      </c>
      <c r="F706" t="s">
        <v>2020</v>
      </c>
      <c r="G706">
        <v>4</v>
      </c>
      <c r="J706" t="s">
        <v>3725</v>
      </c>
      <c r="K706" t="s">
        <v>3726</v>
      </c>
      <c r="L706" t="s">
        <v>3727</v>
      </c>
      <c r="M706" t="s">
        <v>3728</v>
      </c>
      <c r="N706" t="s">
        <v>2829</v>
      </c>
      <c r="O706" t="s">
        <v>2830</v>
      </c>
      <c r="P706" t="s">
        <v>2027</v>
      </c>
      <c r="Q706" t="s">
        <v>3706</v>
      </c>
      <c r="S706">
        <v>12</v>
      </c>
      <c r="T706" t="s">
        <v>3729</v>
      </c>
      <c r="U706">
        <v>5347</v>
      </c>
      <c r="V706">
        <v>4882</v>
      </c>
      <c r="W706">
        <v>1.0952</v>
      </c>
      <c r="X706" t="s">
        <v>70</v>
      </c>
      <c r="Y706" t="s">
        <v>3708</v>
      </c>
      <c r="Z706">
        <v>714.71</v>
      </c>
      <c r="AA706">
        <v>3118.55</v>
      </c>
      <c r="AB706">
        <v>2228846</v>
      </c>
      <c r="AC706" t="b">
        <v>1</v>
      </c>
      <c r="AD706" t="b">
        <v>1</v>
      </c>
      <c r="AE706" t="b">
        <v>0</v>
      </c>
      <c r="AF706" t="b">
        <v>0</v>
      </c>
      <c r="AG706" t="s">
        <v>58</v>
      </c>
      <c r="AH706">
        <v>14</v>
      </c>
      <c r="AI706" t="s">
        <v>59</v>
      </c>
      <c r="AJ706" t="s">
        <v>71</v>
      </c>
      <c r="AL706" t="s">
        <v>244</v>
      </c>
      <c r="AM706" t="s">
        <v>245</v>
      </c>
      <c r="AN706" t="s">
        <v>63</v>
      </c>
      <c r="AO706" t="s">
        <v>3709</v>
      </c>
      <c r="AP706" t="s">
        <v>3726</v>
      </c>
    </row>
    <row r="707" spans="1:42" x14ac:dyDescent="0.45">
      <c r="A707" t="s">
        <v>2812</v>
      </c>
      <c r="B707" t="s">
        <v>2813</v>
      </c>
      <c r="C707" t="s">
        <v>3701</v>
      </c>
      <c r="D707">
        <v>2024</v>
      </c>
      <c r="E707" t="s">
        <v>45</v>
      </c>
      <c r="F707" t="s">
        <v>2020</v>
      </c>
      <c r="G707">
        <v>1</v>
      </c>
      <c r="J707" t="s">
        <v>3730</v>
      </c>
      <c r="K707" t="s">
        <v>3731</v>
      </c>
      <c r="L707" t="s">
        <v>3732</v>
      </c>
      <c r="M707" t="s">
        <v>3733</v>
      </c>
      <c r="N707" t="s">
        <v>2829</v>
      </c>
      <c r="O707" t="s">
        <v>2830</v>
      </c>
      <c r="P707" t="s">
        <v>2027</v>
      </c>
      <c r="Q707" t="s">
        <v>3706</v>
      </c>
      <c r="S707">
        <v>15</v>
      </c>
      <c r="T707" t="s">
        <v>3734</v>
      </c>
      <c r="U707">
        <v>5479</v>
      </c>
      <c r="V707">
        <v>4882</v>
      </c>
      <c r="W707">
        <v>1.1223000000000001</v>
      </c>
      <c r="X707" t="s">
        <v>70</v>
      </c>
      <c r="Y707" t="s">
        <v>3708</v>
      </c>
      <c r="Z707">
        <v>735.71</v>
      </c>
      <c r="AA707">
        <v>9263.32</v>
      </c>
      <c r="AB707">
        <v>6815076</v>
      </c>
      <c r="AC707" t="b">
        <v>1</v>
      </c>
      <c r="AD707" t="b">
        <v>1</v>
      </c>
      <c r="AE707" t="b">
        <v>0</v>
      </c>
      <c r="AF707" t="b">
        <v>0</v>
      </c>
      <c r="AG707" t="s">
        <v>58</v>
      </c>
      <c r="AH707">
        <v>14</v>
      </c>
      <c r="AI707" t="s">
        <v>59</v>
      </c>
      <c r="AJ707" t="s">
        <v>71</v>
      </c>
      <c r="AL707" t="s">
        <v>244</v>
      </c>
      <c r="AM707" t="s">
        <v>245</v>
      </c>
      <c r="AN707" t="s">
        <v>63</v>
      </c>
      <c r="AO707" t="s">
        <v>3709</v>
      </c>
      <c r="AP707" t="s">
        <v>3731</v>
      </c>
    </row>
    <row r="708" spans="1:42" x14ac:dyDescent="0.45">
      <c r="A708" t="s">
        <v>2812</v>
      </c>
      <c r="B708" t="s">
        <v>2813</v>
      </c>
      <c r="C708" t="s">
        <v>3701</v>
      </c>
      <c r="D708">
        <v>2024</v>
      </c>
      <c r="E708" t="s">
        <v>45</v>
      </c>
      <c r="F708" t="s">
        <v>2020</v>
      </c>
      <c r="G708">
        <v>14</v>
      </c>
      <c r="J708" t="s">
        <v>3735</v>
      </c>
      <c r="K708" t="s">
        <v>3736</v>
      </c>
      <c r="L708" t="s">
        <v>3737</v>
      </c>
      <c r="M708" t="s">
        <v>3738</v>
      </c>
      <c r="N708" t="s">
        <v>2829</v>
      </c>
      <c r="O708" t="s">
        <v>2830</v>
      </c>
      <c r="P708" t="s">
        <v>2027</v>
      </c>
      <c r="Q708" t="s">
        <v>3706</v>
      </c>
      <c r="S708">
        <v>2</v>
      </c>
      <c r="T708" t="s">
        <v>3739</v>
      </c>
      <c r="U708">
        <v>3881</v>
      </c>
      <c r="V708">
        <v>4882</v>
      </c>
      <c r="W708">
        <v>0.79500000000000004</v>
      </c>
      <c r="X708" t="s">
        <v>70</v>
      </c>
      <c r="Y708" t="s">
        <v>3708</v>
      </c>
      <c r="Z708">
        <v>644.71</v>
      </c>
      <c r="AA708">
        <v>1698.56</v>
      </c>
      <c r="AB708">
        <v>1095073</v>
      </c>
      <c r="AC708" t="b">
        <v>1</v>
      </c>
      <c r="AD708" t="b">
        <v>1</v>
      </c>
      <c r="AE708" t="b">
        <v>0</v>
      </c>
      <c r="AF708" t="b">
        <v>0</v>
      </c>
      <c r="AG708" t="s">
        <v>58</v>
      </c>
      <c r="AH708">
        <v>14</v>
      </c>
      <c r="AI708" t="s">
        <v>59</v>
      </c>
      <c r="AJ708" t="s">
        <v>71</v>
      </c>
      <c r="AL708" t="s">
        <v>244</v>
      </c>
      <c r="AM708" t="s">
        <v>245</v>
      </c>
      <c r="AN708" t="s">
        <v>63</v>
      </c>
      <c r="AO708" t="s">
        <v>3709</v>
      </c>
      <c r="AP708" t="s">
        <v>3736</v>
      </c>
    </row>
    <row r="709" spans="1:42" x14ac:dyDescent="0.45">
      <c r="A709" t="s">
        <v>2812</v>
      </c>
      <c r="B709" t="s">
        <v>2813</v>
      </c>
      <c r="C709" t="s">
        <v>3701</v>
      </c>
      <c r="D709">
        <v>2024</v>
      </c>
      <c r="E709" t="s">
        <v>45</v>
      </c>
      <c r="F709" t="s">
        <v>2020</v>
      </c>
      <c r="G709">
        <v>3</v>
      </c>
      <c r="J709" t="s">
        <v>3740</v>
      </c>
      <c r="K709" t="s">
        <v>3741</v>
      </c>
      <c r="L709" t="s">
        <v>3742</v>
      </c>
      <c r="M709" t="s">
        <v>3743</v>
      </c>
      <c r="N709" t="s">
        <v>2829</v>
      </c>
      <c r="O709" t="s">
        <v>2830</v>
      </c>
      <c r="P709" t="s">
        <v>2027</v>
      </c>
      <c r="Q709" t="s">
        <v>3706</v>
      </c>
      <c r="S709">
        <v>13</v>
      </c>
      <c r="T709" t="s">
        <v>3744</v>
      </c>
      <c r="U709">
        <v>5866</v>
      </c>
      <c r="V709">
        <v>4882</v>
      </c>
      <c r="W709">
        <v>1.2016</v>
      </c>
      <c r="X709" t="s">
        <v>70</v>
      </c>
      <c r="Y709" t="s">
        <v>3708</v>
      </c>
      <c r="Z709">
        <v>721.71</v>
      </c>
      <c r="AA709">
        <v>4121.8900000000003</v>
      </c>
      <c r="AB709">
        <v>2974788</v>
      </c>
      <c r="AC709" t="b">
        <v>1</v>
      </c>
      <c r="AD709" t="b">
        <v>1</v>
      </c>
      <c r="AE709" t="b">
        <v>0</v>
      </c>
      <c r="AF709" t="b">
        <v>0</v>
      </c>
      <c r="AG709" t="s">
        <v>58</v>
      </c>
      <c r="AH709">
        <v>14</v>
      </c>
      <c r="AI709" t="s">
        <v>59</v>
      </c>
      <c r="AJ709" t="s">
        <v>71</v>
      </c>
      <c r="AL709" t="s">
        <v>244</v>
      </c>
      <c r="AM709" t="s">
        <v>245</v>
      </c>
      <c r="AN709" t="s">
        <v>63</v>
      </c>
      <c r="AO709" t="s">
        <v>3709</v>
      </c>
      <c r="AP709" t="s">
        <v>3741</v>
      </c>
    </row>
    <row r="710" spans="1:42" x14ac:dyDescent="0.45">
      <c r="A710" t="s">
        <v>2812</v>
      </c>
      <c r="B710" t="s">
        <v>2813</v>
      </c>
      <c r="C710" t="s">
        <v>3701</v>
      </c>
      <c r="D710">
        <v>2024</v>
      </c>
      <c r="E710" t="s">
        <v>45</v>
      </c>
      <c r="F710" t="s">
        <v>2020</v>
      </c>
      <c r="G710">
        <v>13</v>
      </c>
      <c r="J710" t="s">
        <v>3745</v>
      </c>
      <c r="K710" t="s">
        <v>3746</v>
      </c>
      <c r="L710" t="s">
        <v>3747</v>
      </c>
      <c r="M710" t="s">
        <v>3748</v>
      </c>
      <c r="N710" t="s">
        <v>2829</v>
      </c>
      <c r="O710" t="s">
        <v>2830</v>
      </c>
      <c r="P710" t="s">
        <v>2027</v>
      </c>
      <c r="Q710" t="s">
        <v>3706</v>
      </c>
      <c r="S710">
        <v>3</v>
      </c>
      <c r="T710" t="s">
        <v>3749</v>
      </c>
      <c r="U710">
        <v>4110</v>
      </c>
      <c r="V710">
        <v>4882</v>
      </c>
      <c r="W710">
        <v>0.84189999999999998</v>
      </c>
      <c r="X710" t="s">
        <v>70</v>
      </c>
      <c r="Y710" t="s">
        <v>3708</v>
      </c>
      <c r="Z710">
        <v>651.71</v>
      </c>
      <c r="AA710">
        <v>1757.96</v>
      </c>
      <c r="AB710">
        <v>1145674</v>
      </c>
      <c r="AC710" t="b">
        <v>1</v>
      </c>
      <c r="AD710" t="b">
        <v>1</v>
      </c>
      <c r="AE710" t="b">
        <v>0</v>
      </c>
      <c r="AF710" t="b">
        <v>0</v>
      </c>
      <c r="AG710" t="s">
        <v>58</v>
      </c>
      <c r="AH710">
        <v>14</v>
      </c>
      <c r="AI710" t="s">
        <v>59</v>
      </c>
      <c r="AJ710" t="s">
        <v>71</v>
      </c>
      <c r="AL710" t="s">
        <v>244</v>
      </c>
      <c r="AM710" t="s">
        <v>245</v>
      </c>
      <c r="AN710" t="s">
        <v>63</v>
      </c>
      <c r="AO710" t="s">
        <v>3709</v>
      </c>
      <c r="AP710" t="s">
        <v>3746</v>
      </c>
    </row>
    <row r="711" spans="1:42" x14ac:dyDescent="0.45">
      <c r="A711" t="s">
        <v>2812</v>
      </c>
      <c r="B711" t="s">
        <v>2813</v>
      </c>
      <c r="C711" t="s">
        <v>3701</v>
      </c>
      <c r="D711">
        <v>2024</v>
      </c>
      <c r="E711" t="s">
        <v>45</v>
      </c>
      <c r="F711" t="s">
        <v>2020</v>
      </c>
      <c r="G711">
        <v>9</v>
      </c>
      <c r="J711" t="s">
        <v>3750</v>
      </c>
      <c r="K711" t="s">
        <v>3751</v>
      </c>
      <c r="L711" t="s">
        <v>3752</v>
      </c>
      <c r="M711" t="s">
        <v>3753</v>
      </c>
      <c r="N711" t="s">
        <v>2829</v>
      </c>
      <c r="O711" t="s">
        <v>2830</v>
      </c>
      <c r="P711" t="s">
        <v>2027</v>
      </c>
      <c r="Q711" t="s">
        <v>3706</v>
      </c>
      <c r="S711">
        <v>7</v>
      </c>
      <c r="T711" t="s">
        <v>3754</v>
      </c>
      <c r="U711">
        <v>4193</v>
      </c>
      <c r="V711">
        <v>4882</v>
      </c>
      <c r="W711">
        <v>0.8589</v>
      </c>
      <c r="X711" t="s">
        <v>70</v>
      </c>
      <c r="Y711" t="s">
        <v>3708</v>
      </c>
      <c r="Z711">
        <v>679.71</v>
      </c>
      <c r="AA711">
        <v>1326.19</v>
      </c>
      <c r="AB711">
        <v>901415</v>
      </c>
      <c r="AC711" t="b">
        <v>1</v>
      </c>
      <c r="AD711" t="b">
        <v>1</v>
      </c>
      <c r="AE711" t="b">
        <v>0</v>
      </c>
      <c r="AF711" t="b">
        <v>0</v>
      </c>
      <c r="AG711" t="s">
        <v>58</v>
      </c>
      <c r="AH711">
        <v>14</v>
      </c>
      <c r="AI711" t="s">
        <v>59</v>
      </c>
      <c r="AJ711" t="s">
        <v>71</v>
      </c>
      <c r="AL711" t="s">
        <v>244</v>
      </c>
      <c r="AM711" t="s">
        <v>245</v>
      </c>
      <c r="AN711" t="s">
        <v>63</v>
      </c>
      <c r="AO711" t="s">
        <v>3709</v>
      </c>
      <c r="AP711" t="s">
        <v>3751</v>
      </c>
    </row>
    <row r="712" spans="1:42" x14ac:dyDescent="0.45">
      <c r="A712" t="s">
        <v>2812</v>
      </c>
      <c r="B712" t="s">
        <v>2813</v>
      </c>
      <c r="C712" t="s">
        <v>3701</v>
      </c>
      <c r="D712">
        <v>2024</v>
      </c>
      <c r="E712" t="s">
        <v>45</v>
      </c>
      <c r="F712" t="s">
        <v>2020</v>
      </c>
      <c r="G712">
        <v>10</v>
      </c>
      <c r="J712" t="s">
        <v>3755</v>
      </c>
      <c r="K712" t="s">
        <v>3756</v>
      </c>
      <c r="L712" t="s">
        <v>3757</v>
      </c>
      <c r="M712" t="s">
        <v>3758</v>
      </c>
      <c r="N712" t="s">
        <v>2829</v>
      </c>
      <c r="O712" t="s">
        <v>2830</v>
      </c>
      <c r="P712" t="s">
        <v>2027</v>
      </c>
      <c r="Q712" t="s">
        <v>3706</v>
      </c>
      <c r="S712">
        <v>6</v>
      </c>
      <c r="T712" t="s">
        <v>3759</v>
      </c>
      <c r="U712">
        <v>3753</v>
      </c>
      <c r="V712">
        <v>4882</v>
      </c>
      <c r="W712">
        <v>0.76870000000000005</v>
      </c>
      <c r="X712" t="s">
        <v>70</v>
      </c>
      <c r="Y712" t="s">
        <v>3708</v>
      </c>
      <c r="Z712">
        <v>672.71</v>
      </c>
      <c r="AA712">
        <v>1158.24</v>
      </c>
      <c r="AB712">
        <v>779156</v>
      </c>
      <c r="AC712" t="b">
        <v>1</v>
      </c>
      <c r="AD712" t="b">
        <v>1</v>
      </c>
      <c r="AE712" t="b">
        <v>0</v>
      </c>
      <c r="AF712" t="b">
        <v>0</v>
      </c>
      <c r="AG712" t="s">
        <v>58</v>
      </c>
      <c r="AH712">
        <v>14</v>
      </c>
      <c r="AI712" t="s">
        <v>59</v>
      </c>
      <c r="AJ712" t="s">
        <v>71</v>
      </c>
      <c r="AL712" t="s">
        <v>244</v>
      </c>
      <c r="AM712" t="s">
        <v>245</v>
      </c>
      <c r="AN712" t="s">
        <v>63</v>
      </c>
      <c r="AO712" t="s">
        <v>3709</v>
      </c>
      <c r="AP712" t="s">
        <v>3756</v>
      </c>
    </row>
    <row r="713" spans="1:42" x14ac:dyDescent="0.45">
      <c r="A713" t="s">
        <v>2812</v>
      </c>
      <c r="B713" t="s">
        <v>2813</v>
      </c>
      <c r="C713" t="s">
        <v>3701</v>
      </c>
      <c r="D713">
        <v>2024</v>
      </c>
      <c r="E713" t="s">
        <v>45</v>
      </c>
      <c r="F713" t="s">
        <v>2020</v>
      </c>
      <c r="G713">
        <v>6</v>
      </c>
      <c r="J713" t="s">
        <v>3760</v>
      </c>
      <c r="K713" t="s">
        <v>3761</v>
      </c>
      <c r="L713" t="s">
        <v>3762</v>
      </c>
      <c r="M713" t="s">
        <v>3763</v>
      </c>
      <c r="N713" t="s">
        <v>2829</v>
      </c>
      <c r="O713" t="s">
        <v>2830</v>
      </c>
      <c r="P713" t="s">
        <v>2027</v>
      </c>
      <c r="Q713" t="s">
        <v>3706</v>
      </c>
      <c r="S713">
        <v>10</v>
      </c>
      <c r="T713" t="s">
        <v>3764</v>
      </c>
      <c r="U713">
        <v>5921</v>
      </c>
      <c r="V713">
        <v>4882</v>
      </c>
      <c r="W713">
        <v>1.2128000000000001</v>
      </c>
      <c r="X713" t="s">
        <v>70</v>
      </c>
      <c r="Y713" t="s">
        <v>3708</v>
      </c>
      <c r="Z713">
        <v>700.71</v>
      </c>
      <c r="AA713">
        <v>2126.4299999999998</v>
      </c>
      <c r="AB713">
        <v>1490004</v>
      </c>
      <c r="AC713" t="b">
        <v>1</v>
      </c>
      <c r="AD713" t="b">
        <v>1</v>
      </c>
      <c r="AE713" t="b">
        <v>0</v>
      </c>
      <c r="AF713" t="b">
        <v>0</v>
      </c>
      <c r="AG713" t="s">
        <v>58</v>
      </c>
      <c r="AH713">
        <v>14</v>
      </c>
      <c r="AI713" t="s">
        <v>59</v>
      </c>
      <c r="AJ713" t="s">
        <v>71</v>
      </c>
      <c r="AL713" t="s">
        <v>244</v>
      </c>
      <c r="AM713" t="s">
        <v>245</v>
      </c>
      <c r="AN713" t="s">
        <v>63</v>
      </c>
      <c r="AO713" t="s">
        <v>3709</v>
      </c>
      <c r="AP713" t="s">
        <v>3761</v>
      </c>
    </row>
    <row r="714" spans="1:42" x14ac:dyDescent="0.45">
      <c r="A714" t="s">
        <v>2812</v>
      </c>
      <c r="B714" t="s">
        <v>2813</v>
      </c>
      <c r="C714" t="s">
        <v>3701</v>
      </c>
      <c r="D714">
        <v>2024</v>
      </c>
      <c r="E714" t="s">
        <v>45</v>
      </c>
      <c r="F714" t="s">
        <v>2020</v>
      </c>
      <c r="G714">
        <v>15</v>
      </c>
      <c r="J714" t="s">
        <v>3765</v>
      </c>
      <c r="K714" t="s">
        <v>3766</v>
      </c>
      <c r="L714" t="s">
        <v>3767</v>
      </c>
      <c r="M714" t="s">
        <v>3768</v>
      </c>
      <c r="N714" t="s">
        <v>2829</v>
      </c>
      <c r="O714" t="s">
        <v>2830</v>
      </c>
      <c r="P714" t="s">
        <v>2027</v>
      </c>
      <c r="Q714" t="s">
        <v>3706</v>
      </c>
      <c r="S714">
        <v>1</v>
      </c>
      <c r="T714" t="s">
        <v>3769</v>
      </c>
      <c r="U714">
        <v>2730</v>
      </c>
      <c r="V714">
        <v>4882</v>
      </c>
      <c r="W714">
        <v>0.55920000000000003</v>
      </c>
      <c r="X714" t="s">
        <v>196</v>
      </c>
      <c r="Y714" t="s">
        <v>3708</v>
      </c>
      <c r="Z714">
        <v>637.71</v>
      </c>
      <c r="AA714">
        <v>1657.38</v>
      </c>
      <c r="AB714">
        <v>1056919</v>
      </c>
      <c r="AC714" t="b">
        <v>1</v>
      </c>
      <c r="AD714" t="b">
        <v>1</v>
      </c>
      <c r="AE714" t="b">
        <v>0</v>
      </c>
      <c r="AF714" t="b">
        <v>0</v>
      </c>
      <c r="AG714" t="s">
        <v>58</v>
      </c>
      <c r="AH714">
        <v>14</v>
      </c>
      <c r="AI714" t="s">
        <v>59</v>
      </c>
      <c r="AJ714" t="s">
        <v>71</v>
      </c>
      <c r="AL714" t="s">
        <v>244</v>
      </c>
      <c r="AM714" t="s">
        <v>245</v>
      </c>
      <c r="AN714" t="s">
        <v>63</v>
      </c>
      <c r="AO714" t="s">
        <v>3709</v>
      </c>
      <c r="AP714" t="s">
        <v>3766</v>
      </c>
    </row>
    <row r="715" spans="1:42" x14ac:dyDescent="0.45">
      <c r="A715" t="s">
        <v>2812</v>
      </c>
      <c r="B715" t="s">
        <v>2813</v>
      </c>
      <c r="C715" t="s">
        <v>3701</v>
      </c>
      <c r="D715">
        <v>2024</v>
      </c>
      <c r="E715" t="s">
        <v>45</v>
      </c>
      <c r="F715" t="s">
        <v>2020</v>
      </c>
      <c r="J715" t="s">
        <v>3770</v>
      </c>
      <c r="K715" t="s">
        <v>3771</v>
      </c>
      <c r="L715" t="s">
        <v>3772</v>
      </c>
      <c r="M715" t="s">
        <v>3773</v>
      </c>
      <c r="N715" t="s">
        <v>2829</v>
      </c>
      <c r="O715" t="s">
        <v>2830</v>
      </c>
      <c r="P715" t="s">
        <v>2027</v>
      </c>
      <c r="Q715" t="s">
        <v>3706</v>
      </c>
      <c r="S715">
        <v>0</v>
      </c>
      <c r="T715" t="s">
        <v>3774</v>
      </c>
      <c r="U715">
        <v>3477</v>
      </c>
      <c r="V715">
        <v>4882</v>
      </c>
      <c r="W715">
        <v>0.71220000000000006</v>
      </c>
      <c r="X715" t="s">
        <v>70</v>
      </c>
      <c r="Y715" t="s">
        <v>3708</v>
      </c>
      <c r="Z715">
        <v>630.71</v>
      </c>
      <c r="AA715">
        <v>1876.28</v>
      </c>
      <c r="AB715">
        <v>1183382</v>
      </c>
      <c r="AC715" t="b">
        <v>0</v>
      </c>
      <c r="AD715" t="b">
        <v>0</v>
      </c>
      <c r="AE715" t="b">
        <v>0</v>
      </c>
      <c r="AF715" t="b">
        <v>0</v>
      </c>
      <c r="AG715" t="s">
        <v>58</v>
      </c>
      <c r="AH715">
        <v>10</v>
      </c>
      <c r="AI715" t="s">
        <v>386</v>
      </c>
      <c r="AJ715" t="s">
        <v>387</v>
      </c>
      <c r="AL715" t="s">
        <v>983</v>
      </c>
      <c r="AM715" t="s">
        <v>245</v>
      </c>
      <c r="AN715" t="s">
        <v>63</v>
      </c>
      <c r="AO715" t="s">
        <v>3709</v>
      </c>
      <c r="AP715" t="s">
        <v>3771</v>
      </c>
    </row>
    <row r="716" spans="1:42" x14ac:dyDescent="0.45">
      <c r="A716" t="s">
        <v>2812</v>
      </c>
      <c r="B716" t="s">
        <v>2813</v>
      </c>
      <c r="C716" t="s">
        <v>3701</v>
      </c>
      <c r="D716">
        <v>2024</v>
      </c>
      <c r="E716" t="s">
        <v>45</v>
      </c>
      <c r="F716" t="s">
        <v>2020</v>
      </c>
      <c r="G716">
        <v>5</v>
      </c>
      <c r="J716" t="s">
        <v>3775</v>
      </c>
      <c r="K716" t="s">
        <v>3776</v>
      </c>
      <c r="L716" t="s">
        <v>3777</v>
      </c>
      <c r="M716" t="s">
        <v>3778</v>
      </c>
      <c r="N716" t="s">
        <v>2829</v>
      </c>
      <c r="O716" t="s">
        <v>2830</v>
      </c>
      <c r="P716" t="s">
        <v>2027</v>
      </c>
      <c r="Q716" t="s">
        <v>3706</v>
      </c>
      <c r="S716">
        <v>11</v>
      </c>
      <c r="T716" t="s">
        <v>3779</v>
      </c>
      <c r="U716">
        <v>4789</v>
      </c>
      <c r="V716">
        <v>4882</v>
      </c>
      <c r="W716">
        <v>0.98099999999999998</v>
      </c>
      <c r="X716" t="s">
        <v>70</v>
      </c>
      <c r="Y716" t="s">
        <v>3708</v>
      </c>
      <c r="Z716">
        <v>707.71</v>
      </c>
      <c r="AA716">
        <v>2389.27</v>
      </c>
      <c r="AB716">
        <v>1690902</v>
      </c>
      <c r="AC716" t="b">
        <v>1</v>
      </c>
      <c r="AD716" t="b">
        <v>1</v>
      </c>
      <c r="AE716" t="b">
        <v>0</v>
      </c>
      <c r="AF716" t="b">
        <v>0</v>
      </c>
      <c r="AG716" t="s">
        <v>58</v>
      </c>
      <c r="AH716">
        <v>14</v>
      </c>
      <c r="AI716" t="s">
        <v>59</v>
      </c>
      <c r="AJ716" t="s">
        <v>71</v>
      </c>
      <c r="AL716" t="s">
        <v>244</v>
      </c>
      <c r="AM716" t="s">
        <v>245</v>
      </c>
      <c r="AN716" t="s">
        <v>63</v>
      </c>
      <c r="AO716" t="s">
        <v>3709</v>
      </c>
      <c r="AP716" t="s">
        <v>3776</v>
      </c>
    </row>
    <row r="717" spans="1:42" x14ac:dyDescent="0.45">
      <c r="A717" t="s">
        <v>2812</v>
      </c>
      <c r="B717" t="s">
        <v>2813</v>
      </c>
      <c r="C717" t="s">
        <v>3701</v>
      </c>
      <c r="D717">
        <v>2024</v>
      </c>
      <c r="E717" t="s">
        <v>45</v>
      </c>
      <c r="F717" t="s">
        <v>2020</v>
      </c>
      <c r="G717">
        <v>12</v>
      </c>
      <c r="J717" t="s">
        <v>3780</v>
      </c>
      <c r="K717" t="s">
        <v>3781</v>
      </c>
      <c r="L717" t="s">
        <v>3782</v>
      </c>
      <c r="M717" t="s">
        <v>3783</v>
      </c>
      <c r="N717" t="s">
        <v>2829</v>
      </c>
      <c r="O717" t="s">
        <v>2830</v>
      </c>
      <c r="P717" t="s">
        <v>2027</v>
      </c>
      <c r="Q717" t="s">
        <v>3706</v>
      </c>
      <c r="S717">
        <v>4</v>
      </c>
      <c r="T717" t="s">
        <v>3784</v>
      </c>
      <c r="U717">
        <v>3669</v>
      </c>
      <c r="V717">
        <v>4882</v>
      </c>
      <c r="W717">
        <v>0.75149999999999995</v>
      </c>
      <c r="X717" t="s">
        <v>70</v>
      </c>
      <c r="Y717" t="s">
        <v>3708</v>
      </c>
      <c r="Z717">
        <v>658.71</v>
      </c>
      <c r="AA717">
        <v>1670.19</v>
      </c>
      <c r="AB717">
        <v>1100166</v>
      </c>
      <c r="AC717" t="b">
        <v>1</v>
      </c>
      <c r="AD717" t="b">
        <v>1</v>
      </c>
      <c r="AE717" t="b">
        <v>0</v>
      </c>
      <c r="AF717" t="b">
        <v>0</v>
      </c>
      <c r="AG717" t="s">
        <v>58</v>
      </c>
      <c r="AH717">
        <v>14</v>
      </c>
      <c r="AI717" t="s">
        <v>59</v>
      </c>
      <c r="AJ717" t="s">
        <v>71</v>
      </c>
      <c r="AL717" t="s">
        <v>244</v>
      </c>
      <c r="AM717" t="s">
        <v>245</v>
      </c>
      <c r="AN717" t="s">
        <v>63</v>
      </c>
      <c r="AO717" t="s">
        <v>3709</v>
      </c>
      <c r="AP717" t="s">
        <v>3781</v>
      </c>
    </row>
    <row r="718" spans="1:42" x14ac:dyDescent="0.45">
      <c r="A718" t="s">
        <v>2812</v>
      </c>
      <c r="B718" t="s">
        <v>2813</v>
      </c>
      <c r="C718" t="s">
        <v>3785</v>
      </c>
      <c r="D718">
        <v>2025</v>
      </c>
      <c r="E718" t="s">
        <v>45</v>
      </c>
      <c r="F718" t="s">
        <v>2020</v>
      </c>
      <c r="G718">
        <v>15</v>
      </c>
      <c r="J718" t="s">
        <v>3786</v>
      </c>
      <c r="K718" t="s">
        <v>3787</v>
      </c>
      <c r="L718" t="s">
        <v>3788</v>
      </c>
      <c r="M718" t="s">
        <v>3789</v>
      </c>
      <c r="N718" t="s">
        <v>2829</v>
      </c>
      <c r="O718" t="s">
        <v>2830</v>
      </c>
      <c r="P718" t="s">
        <v>2027</v>
      </c>
      <c r="Q718" t="s">
        <v>3790</v>
      </c>
      <c r="S718">
        <v>1</v>
      </c>
      <c r="T718" t="s">
        <v>3791</v>
      </c>
      <c r="U718">
        <v>4742</v>
      </c>
      <c r="V718">
        <v>4584</v>
      </c>
      <c r="W718">
        <v>1.0345</v>
      </c>
      <c r="X718" t="s">
        <v>70</v>
      </c>
      <c r="Y718" t="s">
        <v>3792</v>
      </c>
      <c r="Z718">
        <v>272.72000000000003</v>
      </c>
      <c r="AA718">
        <v>7079.11</v>
      </c>
      <c r="AB718">
        <v>1930615</v>
      </c>
      <c r="AC718" t="b">
        <v>1</v>
      </c>
      <c r="AD718" t="b">
        <v>1</v>
      </c>
      <c r="AE718" t="b">
        <v>0</v>
      </c>
      <c r="AF718" t="b">
        <v>0</v>
      </c>
      <c r="AG718" t="s">
        <v>58</v>
      </c>
      <c r="AH718">
        <v>20</v>
      </c>
      <c r="AI718" t="s">
        <v>59</v>
      </c>
      <c r="AJ718" t="s">
        <v>71</v>
      </c>
      <c r="AL718" t="s">
        <v>72</v>
      </c>
      <c r="AM718" t="s">
        <v>62</v>
      </c>
      <c r="AN718" t="s">
        <v>63</v>
      </c>
      <c r="AO718" t="s">
        <v>3793</v>
      </c>
      <c r="AP718" t="s">
        <v>3787</v>
      </c>
    </row>
    <row r="719" spans="1:42" x14ac:dyDescent="0.45">
      <c r="A719" t="s">
        <v>2812</v>
      </c>
      <c r="B719" t="s">
        <v>2813</v>
      </c>
      <c r="C719" t="s">
        <v>3785</v>
      </c>
      <c r="D719">
        <v>2025</v>
      </c>
      <c r="E719" t="s">
        <v>45</v>
      </c>
      <c r="F719" t="s">
        <v>2020</v>
      </c>
      <c r="G719">
        <v>9</v>
      </c>
      <c r="J719" t="s">
        <v>3794</v>
      </c>
      <c r="K719" t="s">
        <v>3795</v>
      </c>
      <c r="L719" t="s">
        <v>3796</v>
      </c>
      <c r="M719" t="s">
        <v>3797</v>
      </c>
      <c r="N719" t="s">
        <v>2829</v>
      </c>
      <c r="O719" t="s">
        <v>2830</v>
      </c>
      <c r="P719" t="s">
        <v>2027</v>
      </c>
      <c r="Q719" t="s">
        <v>3790</v>
      </c>
      <c r="S719">
        <v>7</v>
      </c>
      <c r="T719" t="s">
        <v>3798</v>
      </c>
      <c r="U719">
        <v>3866</v>
      </c>
      <c r="V719">
        <v>4584</v>
      </c>
      <c r="W719">
        <v>0.84340000000000004</v>
      </c>
      <c r="X719" t="s">
        <v>70</v>
      </c>
      <c r="Y719" t="s">
        <v>3792</v>
      </c>
      <c r="Z719">
        <v>314.72000000000003</v>
      </c>
      <c r="AA719">
        <v>8725.2000000000007</v>
      </c>
      <c r="AB719">
        <v>2745993</v>
      </c>
      <c r="AC719" t="b">
        <v>1</v>
      </c>
      <c r="AD719" t="b">
        <v>1</v>
      </c>
      <c r="AE719" t="b">
        <v>0</v>
      </c>
      <c r="AF719" t="b">
        <v>0</v>
      </c>
      <c r="AG719" t="s">
        <v>58</v>
      </c>
      <c r="AH719">
        <v>20</v>
      </c>
      <c r="AI719" t="s">
        <v>59</v>
      </c>
      <c r="AJ719" t="s">
        <v>71</v>
      </c>
      <c r="AL719" t="s">
        <v>72</v>
      </c>
      <c r="AM719" t="s">
        <v>62</v>
      </c>
      <c r="AN719" t="s">
        <v>63</v>
      </c>
      <c r="AO719" t="s">
        <v>3793</v>
      </c>
      <c r="AP719" t="s">
        <v>3795</v>
      </c>
    </row>
    <row r="720" spans="1:42" x14ac:dyDescent="0.45">
      <c r="A720" t="s">
        <v>2812</v>
      </c>
      <c r="B720" t="s">
        <v>2813</v>
      </c>
      <c r="C720" t="s">
        <v>3785</v>
      </c>
      <c r="D720">
        <v>2025</v>
      </c>
      <c r="E720" t="s">
        <v>45</v>
      </c>
      <c r="F720" t="s">
        <v>2020</v>
      </c>
      <c r="G720">
        <v>14</v>
      </c>
      <c r="J720" t="s">
        <v>3799</v>
      </c>
      <c r="K720" t="s">
        <v>3800</v>
      </c>
      <c r="L720" t="s">
        <v>3801</v>
      </c>
      <c r="M720" t="s">
        <v>3802</v>
      </c>
      <c r="N720" t="s">
        <v>2829</v>
      </c>
      <c r="O720" t="s">
        <v>2830</v>
      </c>
      <c r="P720" t="s">
        <v>2027</v>
      </c>
      <c r="Q720" t="s">
        <v>3790</v>
      </c>
      <c r="S720">
        <v>2</v>
      </c>
      <c r="T720" t="s">
        <v>3803</v>
      </c>
      <c r="U720">
        <v>3745</v>
      </c>
      <c r="V720">
        <v>4584</v>
      </c>
      <c r="W720">
        <v>0.81699999999999995</v>
      </c>
      <c r="X720" t="s">
        <v>70</v>
      </c>
      <c r="Y720" t="s">
        <v>3792</v>
      </c>
      <c r="Z720">
        <v>279.72000000000003</v>
      </c>
      <c r="AA720">
        <v>9333.2000000000007</v>
      </c>
      <c r="AB720">
        <v>2610682</v>
      </c>
      <c r="AC720" t="b">
        <v>1</v>
      </c>
      <c r="AD720" t="b">
        <v>1</v>
      </c>
      <c r="AE720" t="b">
        <v>0</v>
      </c>
      <c r="AF720" t="b">
        <v>0</v>
      </c>
      <c r="AG720" t="s">
        <v>58</v>
      </c>
      <c r="AH720">
        <v>20</v>
      </c>
      <c r="AI720" t="s">
        <v>59</v>
      </c>
      <c r="AJ720" t="s">
        <v>71</v>
      </c>
      <c r="AL720" t="s">
        <v>72</v>
      </c>
      <c r="AM720" t="s">
        <v>62</v>
      </c>
      <c r="AN720" t="s">
        <v>63</v>
      </c>
      <c r="AO720" t="s">
        <v>3793</v>
      </c>
      <c r="AP720" t="s">
        <v>3800</v>
      </c>
    </row>
    <row r="721" spans="1:42" x14ac:dyDescent="0.45">
      <c r="A721" t="s">
        <v>2812</v>
      </c>
      <c r="B721" t="s">
        <v>2813</v>
      </c>
      <c r="C721" t="s">
        <v>3785</v>
      </c>
      <c r="D721">
        <v>2025</v>
      </c>
      <c r="E721" t="s">
        <v>45</v>
      </c>
      <c r="F721" t="s">
        <v>2020</v>
      </c>
      <c r="G721">
        <v>10</v>
      </c>
      <c r="J721" t="s">
        <v>3804</v>
      </c>
      <c r="K721" t="s">
        <v>3805</v>
      </c>
      <c r="L721" t="s">
        <v>3806</v>
      </c>
      <c r="M721" t="s">
        <v>3807</v>
      </c>
      <c r="N721" t="s">
        <v>2829</v>
      </c>
      <c r="O721" t="s">
        <v>2830</v>
      </c>
      <c r="P721" t="s">
        <v>2027</v>
      </c>
      <c r="Q721" t="s">
        <v>3790</v>
      </c>
      <c r="S721">
        <v>6</v>
      </c>
      <c r="T721" t="s">
        <v>3808</v>
      </c>
      <c r="U721">
        <v>4481</v>
      </c>
      <c r="V721">
        <v>4584</v>
      </c>
      <c r="W721">
        <v>0.97750000000000004</v>
      </c>
      <c r="X721" t="s">
        <v>70</v>
      </c>
      <c r="Y721" t="s">
        <v>3792</v>
      </c>
      <c r="Z721">
        <v>307.69</v>
      </c>
      <c r="AA721">
        <v>7944.55</v>
      </c>
      <c r="AB721">
        <v>2444453</v>
      </c>
      <c r="AC721" t="b">
        <v>1</v>
      </c>
      <c r="AD721" t="b">
        <v>1</v>
      </c>
      <c r="AE721" t="b">
        <v>0</v>
      </c>
      <c r="AF721" t="b">
        <v>0</v>
      </c>
      <c r="AG721" t="s">
        <v>58</v>
      </c>
      <c r="AH721">
        <v>20</v>
      </c>
      <c r="AI721" t="s">
        <v>59</v>
      </c>
      <c r="AJ721" t="s">
        <v>71</v>
      </c>
      <c r="AL721" t="s">
        <v>72</v>
      </c>
      <c r="AM721" t="s">
        <v>62</v>
      </c>
      <c r="AN721" t="s">
        <v>63</v>
      </c>
      <c r="AO721" t="s">
        <v>3793</v>
      </c>
      <c r="AP721" t="s">
        <v>3805</v>
      </c>
    </row>
    <row r="722" spans="1:42" x14ac:dyDescent="0.45">
      <c r="A722" t="s">
        <v>2812</v>
      </c>
      <c r="B722" t="s">
        <v>2813</v>
      </c>
      <c r="C722" t="s">
        <v>3785</v>
      </c>
      <c r="D722">
        <v>2025</v>
      </c>
      <c r="E722" t="s">
        <v>45</v>
      </c>
      <c r="F722" t="s">
        <v>2020</v>
      </c>
      <c r="G722">
        <v>6</v>
      </c>
      <c r="J722" t="s">
        <v>3809</v>
      </c>
      <c r="K722" t="s">
        <v>3810</v>
      </c>
      <c r="L722" t="s">
        <v>3811</v>
      </c>
      <c r="M722" t="s">
        <v>3812</v>
      </c>
      <c r="N722" t="s">
        <v>2829</v>
      </c>
      <c r="O722" t="s">
        <v>2830</v>
      </c>
      <c r="P722" t="s">
        <v>2027</v>
      </c>
      <c r="Q722" t="s">
        <v>3790</v>
      </c>
      <c r="S722">
        <v>10</v>
      </c>
      <c r="T722" t="s">
        <v>3813</v>
      </c>
      <c r="U722">
        <v>4584</v>
      </c>
      <c r="V722">
        <v>4584</v>
      </c>
      <c r="W722">
        <v>1</v>
      </c>
      <c r="X722" t="s">
        <v>70</v>
      </c>
      <c r="Y722" t="s">
        <v>3792</v>
      </c>
      <c r="Z722">
        <v>335.72</v>
      </c>
      <c r="AA722">
        <v>7901.77</v>
      </c>
      <c r="AB722">
        <v>2652783</v>
      </c>
      <c r="AC722" t="b">
        <v>1</v>
      </c>
      <c r="AD722" t="b">
        <v>1</v>
      </c>
      <c r="AE722" t="b">
        <v>0</v>
      </c>
      <c r="AF722" t="b">
        <v>0</v>
      </c>
      <c r="AG722" t="s">
        <v>58</v>
      </c>
      <c r="AH722">
        <v>20</v>
      </c>
      <c r="AI722" t="s">
        <v>59</v>
      </c>
      <c r="AJ722" t="s">
        <v>71</v>
      </c>
      <c r="AL722" t="s">
        <v>72</v>
      </c>
      <c r="AM722" t="s">
        <v>62</v>
      </c>
      <c r="AN722" t="s">
        <v>63</v>
      </c>
      <c r="AO722" t="s">
        <v>3793</v>
      </c>
      <c r="AP722" t="s">
        <v>3810</v>
      </c>
    </row>
    <row r="723" spans="1:42" x14ac:dyDescent="0.45">
      <c r="A723" t="s">
        <v>2812</v>
      </c>
      <c r="B723" t="s">
        <v>2813</v>
      </c>
      <c r="C723" t="s">
        <v>3785</v>
      </c>
      <c r="D723">
        <v>2025</v>
      </c>
      <c r="E723" t="s">
        <v>45</v>
      </c>
      <c r="F723" t="s">
        <v>2020</v>
      </c>
      <c r="G723">
        <v>12</v>
      </c>
      <c r="J723" t="s">
        <v>3814</v>
      </c>
      <c r="K723" t="s">
        <v>3815</v>
      </c>
      <c r="L723" t="s">
        <v>3816</v>
      </c>
      <c r="M723" t="s">
        <v>3817</v>
      </c>
      <c r="N723" t="s">
        <v>2829</v>
      </c>
      <c r="O723" t="s">
        <v>2830</v>
      </c>
      <c r="P723" t="s">
        <v>2027</v>
      </c>
      <c r="Q723" t="s">
        <v>3790</v>
      </c>
      <c r="S723">
        <v>4</v>
      </c>
      <c r="T723" t="s">
        <v>3818</v>
      </c>
      <c r="U723">
        <v>3829</v>
      </c>
      <c r="V723">
        <v>4584</v>
      </c>
      <c r="W723">
        <v>0.83530000000000004</v>
      </c>
      <c r="X723" t="s">
        <v>70</v>
      </c>
      <c r="Y723" t="s">
        <v>3792</v>
      </c>
      <c r="Z723">
        <v>293.72000000000003</v>
      </c>
      <c r="AA723">
        <v>9197.67</v>
      </c>
      <c r="AB723">
        <v>2701539</v>
      </c>
      <c r="AC723" t="b">
        <v>1</v>
      </c>
      <c r="AD723" t="b">
        <v>1</v>
      </c>
      <c r="AE723" t="b">
        <v>0</v>
      </c>
      <c r="AF723" t="b">
        <v>0</v>
      </c>
      <c r="AG723" t="s">
        <v>58</v>
      </c>
      <c r="AH723">
        <v>20</v>
      </c>
      <c r="AI723" t="s">
        <v>59</v>
      </c>
      <c r="AJ723" t="s">
        <v>71</v>
      </c>
      <c r="AL723" t="s">
        <v>72</v>
      </c>
      <c r="AM723" t="s">
        <v>62</v>
      </c>
      <c r="AN723" t="s">
        <v>63</v>
      </c>
      <c r="AO723" t="s">
        <v>3793</v>
      </c>
      <c r="AP723" t="s">
        <v>3815</v>
      </c>
    </row>
    <row r="724" spans="1:42" x14ac:dyDescent="0.45">
      <c r="A724" t="s">
        <v>2812</v>
      </c>
      <c r="B724" t="s">
        <v>2813</v>
      </c>
      <c r="C724" t="s">
        <v>3785</v>
      </c>
      <c r="D724">
        <v>2025</v>
      </c>
      <c r="E724" t="s">
        <v>45</v>
      </c>
      <c r="F724" t="s">
        <v>2020</v>
      </c>
      <c r="G724">
        <v>11</v>
      </c>
      <c r="J724" t="s">
        <v>3819</v>
      </c>
      <c r="K724" t="s">
        <v>3820</v>
      </c>
      <c r="L724" t="s">
        <v>3821</v>
      </c>
      <c r="M724" t="s">
        <v>3822</v>
      </c>
      <c r="N724" t="s">
        <v>2829</v>
      </c>
      <c r="O724" t="s">
        <v>2830</v>
      </c>
      <c r="P724" t="s">
        <v>2027</v>
      </c>
      <c r="Q724" t="s">
        <v>3790</v>
      </c>
      <c r="S724">
        <v>5</v>
      </c>
      <c r="T724" t="s">
        <v>3823</v>
      </c>
      <c r="U724">
        <v>5172</v>
      </c>
      <c r="V724">
        <v>4584</v>
      </c>
      <c r="W724">
        <v>1.1283000000000001</v>
      </c>
      <c r="X724" t="s">
        <v>70</v>
      </c>
      <c r="Y724" t="s">
        <v>3792</v>
      </c>
      <c r="Z724">
        <v>300.72000000000003</v>
      </c>
      <c r="AA724">
        <v>9748.27</v>
      </c>
      <c r="AB724">
        <v>2931499</v>
      </c>
      <c r="AC724" t="b">
        <v>1</v>
      </c>
      <c r="AD724" t="b">
        <v>1</v>
      </c>
      <c r="AE724" t="b">
        <v>0</v>
      </c>
      <c r="AF724" t="b">
        <v>0</v>
      </c>
      <c r="AG724" t="s">
        <v>58</v>
      </c>
      <c r="AH724">
        <v>20</v>
      </c>
      <c r="AI724" t="s">
        <v>59</v>
      </c>
      <c r="AJ724" t="s">
        <v>71</v>
      </c>
      <c r="AL724" t="s">
        <v>72</v>
      </c>
      <c r="AM724" t="s">
        <v>62</v>
      </c>
      <c r="AN724" t="s">
        <v>63</v>
      </c>
      <c r="AO724" t="s">
        <v>3793</v>
      </c>
      <c r="AP724" t="s">
        <v>3820</v>
      </c>
    </row>
    <row r="725" spans="1:42" x14ac:dyDescent="0.45">
      <c r="A725" t="s">
        <v>2812</v>
      </c>
      <c r="B725" t="s">
        <v>2813</v>
      </c>
      <c r="C725" t="s">
        <v>3785</v>
      </c>
      <c r="D725">
        <v>2025</v>
      </c>
      <c r="E725" t="s">
        <v>45</v>
      </c>
      <c r="F725" t="s">
        <v>2020</v>
      </c>
      <c r="G725">
        <v>13</v>
      </c>
      <c r="J725" t="s">
        <v>3824</v>
      </c>
      <c r="K725" t="s">
        <v>3825</v>
      </c>
      <c r="L725" t="s">
        <v>3826</v>
      </c>
      <c r="M725" t="s">
        <v>3827</v>
      </c>
      <c r="N725" t="s">
        <v>2829</v>
      </c>
      <c r="O725" t="s">
        <v>2830</v>
      </c>
      <c r="P725" t="s">
        <v>2027</v>
      </c>
      <c r="Q725" t="s">
        <v>3790</v>
      </c>
      <c r="S725">
        <v>3</v>
      </c>
      <c r="T725" t="s">
        <v>3828</v>
      </c>
      <c r="U725">
        <v>4079</v>
      </c>
      <c r="V725">
        <v>4584</v>
      </c>
      <c r="W725">
        <v>0.88980000000000004</v>
      </c>
      <c r="X725" t="s">
        <v>70</v>
      </c>
      <c r="Y725" t="s">
        <v>3792</v>
      </c>
      <c r="Z725">
        <v>286.72000000000003</v>
      </c>
      <c r="AA725">
        <v>9042.89</v>
      </c>
      <c r="AB725">
        <v>2592776</v>
      </c>
      <c r="AC725" t="b">
        <v>1</v>
      </c>
      <c r="AD725" t="b">
        <v>1</v>
      </c>
      <c r="AE725" t="b">
        <v>0</v>
      </c>
      <c r="AF725" t="b">
        <v>0</v>
      </c>
      <c r="AG725" t="s">
        <v>58</v>
      </c>
      <c r="AH725">
        <v>20</v>
      </c>
      <c r="AI725" t="s">
        <v>59</v>
      </c>
      <c r="AJ725" t="s">
        <v>71</v>
      </c>
      <c r="AL725" t="s">
        <v>72</v>
      </c>
      <c r="AM725" t="s">
        <v>62</v>
      </c>
      <c r="AN725" t="s">
        <v>63</v>
      </c>
      <c r="AO725" t="s">
        <v>3793</v>
      </c>
      <c r="AP725" t="s">
        <v>3825</v>
      </c>
    </row>
    <row r="726" spans="1:42" x14ac:dyDescent="0.45">
      <c r="A726" t="s">
        <v>2812</v>
      </c>
      <c r="B726" t="s">
        <v>2813</v>
      </c>
      <c r="C726" t="s">
        <v>3785</v>
      </c>
      <c r="D726">
        <v>2025</v>
      </c>
      <c r="E726" t="s">
        <v>45</v>
      </c>
      <c r="F726" t="s">
        <v>2020</v>
      </c>
      <c r="G726">
        <v>1</v>
      </c>
      <c r="J726" t="s">
        <v>3829</v>
      </c>
      <c r="K726" t="s">
        <v>3830</v>
      </c>
      <c r="L726" t="s">
        <v>3831</v>
      </c>
      <c r="M726" t="s">
        <v>3832</v>
      </c>
      <c r="N726" t="s">
        <v>2829</v>
      </c>
      <c r="O726" t="s">
        <v>2830</v>
      </c>
      <c r="P726" t="s">
        <v>2027</v>
      </c>
      <c r="Q726" t="s">
        <v>3790</v>
      </c>
      <c r="S726">
        <v>15</v>
      </c>
      <c r="T726" t="s">
        <v>3833</v>
      </c>
      <c r="U726">
        <v>4848</v>
      </c>
      <c r="V726">
        <v>4584</v>
      </c>
      <c r="W726">
        <v>1.0576000000000001</v>
      </c>
      <c r="X726" t="s">
        <v>70</v>
      </c>
      <c r="Y726" t="s">
        <v>3792</v>
      </c>
      <c r="Z726">
        <v>370.72</v>
      </c>
      <c r="AA726">
        <v>19322.5</v>
      </c>
      <c r="AB726">
        <v>7163236</v>
      </c>
      <c r="AC726" t="b">
        <v>1</v>
      </c>
      <c r="AD726" t="b">
        <v>1</v>
      </c>
      <c r="AE726" t="b">
        <v>0</v>
      </c>
      <c r="AF726" t="b">
        <v>0</v>
      </c>
      <c r="AG726" t="s">
        <v>58</v>
      </c>
      <c r="AH726">
        <v>20</v>
      </c>
      <c r="AI726" t="s">
        <v>59</v>
      </c>
      <c r="AJ726" t="s">
        <v>71</v>
      </c>
      <c r="AL726" t="s">
        <v>72</v>
      </c>
      <c r="AM726" t="s">
        <v>62</v>
      </c>
      <c r="AN726" t="s">
        <v>63</v>
      </c>
      <c r="AO726" t="s">
        <v>3793</v>
      </c>
      <c r="AP726" t="s">
        <v>3830</v>
      </c>
    </row>
    <row r="727" spans="1:42" x14ac:dyDescent="0.45">
      <c r="A727" t="s">
        <v>2812</v>
      </c>
      <c r="B727" t="s">
        <v>2813</v>
      </c>
      <c r="C727" t="s">
        <v>3785</v>
      </c>
      <c r="D727">
        <v>2025</v>
      </c>
      <c r="E727" t="s">
        <v>45</v>
      </c>
      <c r="F727" t="s">
        <v>2020</v>
      </c>
      <c r="G727">
        <v>4</v>
      </c>
      <c r="J727" t="s">
        <v>3834</v>
      </c>
      <c r="K727" t="s">
        <v>3835</v>
      </c>
      <c r="L727" t="s">
        <v>3836</v>
      </c>
      <c r="M727" t="s">
        <v>3837</v>
      </c>
      <c r="N727" t="s">
        <v>2829</v>
      </c>
      <c r="O727" t="s">
        <v>2830</v>
      </c>
      <c r="P727" t="s">
        <v>2027</v>
      </c>
      <c r="Q727" t="s">
        <v>3790</v>
      </c>
      <c r="S727">
        <v>12</v>
      </c>
      <c r="T727" t="s">
        <v>3838</v>
      </c>
      <c r="U727">
        <v>5002</v>
      </c>
      <c r="V727">
        <v>4584</v>
      </c>
      <c r="W727">
        <v>1.0911999999999999</v>
      </c>
      <c r="X727" t="s">
        <v>70</v>
      </c>
      <c r="Y727" t="s">
        <v>3792</v>
      </c>
      <c r="Z727">
        <v>349.72</v>
      </c>
      <c r="AA727">
        <v>7259.47</v>
      </c>
      <c r="AB727">
        <v>2538782</v>
      </c>
      <c r="AC727" t="b">
        <v>1</v>
      </c>
      <c r="AD727" t="b">
        <v>1</v>
      </c>
      <c r="AE727" t="b">
        <v>0</v>
      </c>
      <c r="AF727" t="b">
        <v>0</v>
      </c>
      <c r="AG727" t="s">
        <v>58</v>
      </c>
      <c r="AH727">
        <v>20</v>
      </c>
      <c r="AI727" t="s">
        <v>59</v>
      </c>
      <c r="AJ727" t="s">
        <v>71</v>
      </c>
      <c r="AL727" t="s">
        <v>72</v>
      </c>
      <c r="AM727" t="s">
        <v>62</v>
      </c>
      <c r="AN727" t="s">
        <v>63</v>
      </c>
      <c r="AO727" t="s">
        <v>3793</v>
      </c>
      <c r="AP727" t="s">
        <v>3835</v>
      </c>
    </row>
    <row r="728" spans="1:42" x14ac:dyDescent="0.45">
      <c r="A728" t="s">
        <v>2812</v>
      </c>
      <c r="B728" t="s">
        <v>2813</v>
      </c>
      <c r="C728" t="s">
        <v>3785</v>
      </c>
      <c r="D728">
        <v>2025</v>
      </c>
      <c r="E728" t="s">
        <v>45</v>
      </c>
      <c r="F728" t="s">
        <v>2020</v>
      </c>
      <c r="G728">
        <v>7</v>
      </c>
      <c r="J728" t="s">
        <v>3839</v>
      </c>
      <c r="K728" t="s">
        <v>3840</v>
      </c>
      <c r="L728" t="s">
        <v>3841</v>
      </c>
      <c r="M728" t="s">
        <v>3842</v>
      </c>
      <c r="N728" t="s">
        <v>2829</v>
      </c>
      <c r="O728" t="s">
        <v>2830</v>
      </c>
      <c r="P728" t="s">
        <v>2027</v>
      </c>
      <c r="Q728" t="s">
        <v>3790</v>
      </c>
      <c r="S728">
        <v>9</v>
      </c>
      <c r="T728" t="s">
        <v>3843</v>
      </c>
      <c r="U728">
        <v>3434</v>
      </c>
      <c r="V728">
        <v>4584</v>
      </c>
      <c r="W728">
        <v>0.74909999999999999</v>
      </c>
      <c r="X728" t="s">
        <v>70</v>
      </c>
      <c r="Y728" t="s">
        <v>3792</v>
      </c>
      <c r="Z728">
        <v>328.72</v>
      </c>
      <c r="AA728">
        <v>8017.49</v>
      </c>
      <c r="AB728">
        <v>2635507</v>
      </c>
      <c r="AC728" t="b">
        <v>1</v>
      </c>
      <c r="AD728" t="b">
        <v>1</v>
      </c>
      <c r="AE728" t="b">
        <v>0</v>
      </c>
      <c r="AF728" t="b">
        <v>0</v>
      </c>
      <c r="AG728" t="s">
        <v>58</v>
      </c>
      <c r="AH728">
        <v>20</v>
      </c>
      <c r="AI728" t="s">
        <v>59</v>
      </c>
      <c r="AJ728" t="s">
        <v>71</v>
      </c>
      <c r="AL728" t="s">
        <v>72</v>
      </c>
      <c r="AM728" t="s">
        <v>62</v>
      </c>
      <c r="AN728" t="s">
        <v>63</v>
      </c>
      <c r="AO728" t="s">
        <v>3793</v>
      </c>
      <c r="AP728" t="s">
        <v>3840</v>
      </c>
    </row>
    <row r="729" spans="1:42" x14ac:dyDescent="0.45">
      <c r="A729" t="s">
        <v>2812</v>
      </c>
      <c r="B729" t="s">
        <v>2813</v>
      </c>
      <c r="C729" t="s">
        <v>3785</v>
      </c>
      <c r="D729">
        <v>2025</v>
      </c>
      <c r="E729" t="s">
        <v>45</v>
      </c>
      <c r="F729" t="s">
        <v>2020</v>
      </c>
      <c r="G729">
        <v>5</v>
      </c>
      <c r="J729" t="s">
        <v>3844</v>
      </c>
      <c r="K729" t="s">
        <v>3845</v>
      </c>
      <c r="L729" t="s">
        <v>3846</v>
      </c>
      <c r="M729" t="s">
        <v>3847</v>
      </c>
      <c r="N729" t="s">
        <v>2829</v>
      </c>
      <c r="O729" t="s">
        <v>2830</v>
      </c>
      <c r="P729" t="s">
        <v>2027</v>
      </c>
      <c r="Q729" t="s">
        <v>3790</v>
      </c>
      <c r="S729">
        <v>11</v>
      </c>
      <c r="T729" t="s">
        <v>3848</v>
      </c>
      <c r="U729">
        <v>4889</v>
      </c>
      <c r="V729">
        <v>4584</v>
      </c>
      <c r="W729">
        <v>1.0665</v>
      </c>
      <c r="X729" t="s">
        <v>70</v>
      </c>
      <c r="Y729" t="s">
        <v>3792</v>
      </c>
      <c r="Z729">
        <v>342.72</v>
      </c>
      <c r="AA729">
        <v>7898.41</v>
      </c>
      <c r="AB729">
        <v>2706941</v>
      </c>
      <c r="AC729" t="b">
        <v>1</v>
      </c>
      <c r="AD729" t="b">
        <v>1</v>
      </c>
      <c r="AE729" t="b">
        <v>0</v>
      </c>
      <c r="AF729" t="b">
        <v>0</v>
      </c>
      <c r="AG729" t="s">
        <v>58</v>
      </c>
      <c r="AH729">
        <v>20</v>
      </c>
      <c r="AI729" t="s">
        <v>59</v>
      </c>
      <c r="AJ729" t="s">
        <v>71</v>
      </c>
      <c r="AL729" t="s">
        <v>72</v>
      </c>
      <c r="AM729" t="s">
        <v>62</v>
      </c>
      <c r="AN729" t="s">
        <v>63</v>
      </c>
      <c r="AO729" t="s">
        <v>3793</v>
      </c>
      <c r="AP729" t="s">
        <v>3845</v>
      </c>
    </row>
    <row r="730" spans="1:42" x14ac:dyDescent="0.45">
      <c r="A730" t="s">
        <v>2812</v>
      </c>
      <c r="B730" t="s">
        <v>2813</v>
      </c>
      <c r="C730" t="s">
        <v>3785</v>
      </c>
      <c r="D730">
        <v>2025</v>
      </c>
      <c r="E730" t="s">
        <v>45</v>
      </c>
      <c r="F730" t="s">
        <v>2020</v>
      </c>
      <c r="G730">
        <v>2</v>
      </c>
      <c r="J730" t="s">
        <v>3849</v>
      </c>
      <c r="K730" t="s">
        <v>3850</v>
      </c>
      <c r="L730" t="s">
        <v>3851</v>
      </c>
      <c r="M730" t="s">
        <v>3852</v>
      </c>
      <c r="N730" t="s">
        <v>2829</v>
      </c>
      <c r="O730" t="s">
        <v>2830</v>
      </c>
      <c r="P730" t="s">
        <v>2027</v>
      </c>
      <c r="Q730" t="s">
        <v>3790</v>
      </c>
      <c r="S730">
        <v>14</v>
      </c>
      <c r="T730" t="s">
        <v>3853</v>
      </c>
      <c r="U730">
        <v>4501</v>
      </c>
      <c r="V730">
        <v>4584</v>
      </c>
      <c r="W730">
        <v>0.9819</v>
      </c>
      <c r="X730" t="s">
        <v>70</v>
      </c>
      <c r="Y730" t="s">
        <v>3792</v>
      </c>
      <c r="Z730">
        <v>363.72</v>
      </c>
      <c r="AA730">
        <v>11790.27</v>
      </c>
      <c r="AB730">
        <v>4288355</v>
      </c>
      <c r="AC730" t="b">
        <v>1</v>
      </c>
      <c r="AD730" t="b">
        <v>1</v>
      </c>
      <c r="AE730" t="b">
        <v>0</v>
      </c>
      <c r="AF730" t="b">
        <v>0</v>
      </c>
      <c r="AG730" t="s">
        <v>58</v>
      </c>
      <c r="AH730">
        <v>20</v>
      </c>
      <c r="AI730" t="s">
        <v>59</v>
      </c>
      <c r="AJ730" t="s">
        <v>71</v>
      </c>
      <c r="AL730" t="s">
        <v>72</v>
      </c>
      <c r="AM730" t="s">
        <v>62</v>
      </c>
      <c r="AN730" t="s">
        <v>63</v>
      </c>
      <c r="AO730" t="s">
        <v>3793</v>
      </c>
      <c r="AP730" t="s">
        <v>3850</v>
      </c>
    </row>
    <row r="731" spans="1:42" x14ac:dyDescent="0.45">
      <c r="A731" t="s">
        <v>2812</v>
      </c>
      <c r="B731" t="s">
        <v>2813</v>
      </c>
      <c r="C731" t="s">
        <v>3785</v>
      </c>
      <c r="D731">
        <v>2025</v>
      </c>
      <c r="E731" t="s">
        <v>45</v>
      </c>
      <c r="F731" t="s">
        <v>2020</v>
      </c>
      <c r="G731">
        <v>8</v>
      </c>
      <c r="J731" t="s">
        <v>3854</v>
      </c>
      <c r="K731" t="s">
        <v>3855</v>
      </c>
      <c r="L731" t="s">
        <v>3856</v>
      </c>
      <c r="M731" t="s">
        <v>3857</v>
      </c>
      <c r="N731" t="s">
        <v>2829</v>
      </c>
      <c r="O731" t="s">
        <v>2830</v>
      </c>
      <c r="P731" t="s">
        <v>2027</v>
      </c>
      <c r="Q731" t="s">
        <v>3790</v>
      </c>
      <c r="S731">
        <v>8</v>
      </c>
      <c r="T731" t="s">
        <v>3858</v>
      </c>
      <c r="U731">
        <v>6317</v>
      </c>
      <c r="V731">
        <v>4584</v>
      </c>
      <c r="W731">
        <v>1.3781000000000001</v>
      </c>
      <c r="X731" t="s">
        <v>70</v>
      </c>
      <c r="Y731" t="s">
        <v>3792</v>
      </c>
      <c r="Z731">
        <v>321.72000000000003</v>
      </c>
      <c r="AA731">
        <v>8890.25</v>
      </c>
      <c r="AB731">
        <v>2860170</v>
      </c>
      <c r="AC731" t="b">
        <v>1</v>
      </c>
      <c r="AD731" t="b">
        <v>1</v>
      </c>
      <c r="AE731" t="b">
        <v>0</v>
      </c>
      <c r="AF731" t="b">
        <v>0</v>
      </c>
      <c r="AG731" t="s">
        <v>58</v>
      </c>
      <c r="AH731">
        <v>20</v>
      </c>
      <c r="AI731" t="s">
        <v>59</v>
      </c>
      <c r="AJ731" t="s">
        <v>71</v>
      </c>
      <c r="AL731" t="s">
        <v>72</v>
      </c>
      <c r="AM731" t="s">
        <v>62</v>
      </c>
      <c r="AN731" t="s">
        <v>63</v>
      </c>
      <c r="AO731" t="s">
        <v>3793</v>
      </c>
      <c r="AP731" t="s">
        <v>3855</v>
      </c>
    </row>
    <row r="732" spans="1:42" x14ac:dyDescent="0.45">
      <c r="A732" t="s">
        <v>2812</v>
      </c>
      <c r="B732" t="s">
        <v>2813</v>
      </c>
      <c r="C732" t="s">
        <v>3785</v>
      </c>
      <c r="D732">
        <v>2025</v>
      </c>
      <c r="E732" t="s">
        <v>45</v>
      </c>
      <c r="F732" t="s">
        <v>2020</v>
      </c>
      <c r="J732" t="s">
        <v>3859</v>
      </c>
      <c r="K732" t="s">
        <v>3860</v>
      </c>
      <c r="L732" t="s">
        <v>3861</v>
      </c>
      <c r="M732" t="s">
        <v>3862</v>
      </c>
      <c r="N732" t="s">
        <v>2829</v>
      </c>
      <c r="O732" t="s">
        <v>2830</v>
      </c>
      <c r="P732" t="s">
        <v>2027</v>
      </c>
      <c r="Q732" t="s">
        <v>3790</v>
      </c>
      <c r="S732">
        <v>0</v>
      </c>
      <c r="T732" t="s">
        <v>3863</v>
      </c>
      <c r="U732">
        <v>5459</v>
      </c>
      <c r="V732">
        <v>4584</v>
      </c>
      <c r="W732">
        <v>1.1909000000000001</v>
      </c>
      <c r="X732" t="s">
        <v>70</v>
      </c>
      <c r="Y732" t="s">
        <v>3792</v>
      </c>
      <c r="Z732">
        <v>265.72000000000003</v>
      </c>
      <c r="AA732">
        <v>9071.74</v>
      </c>
      <c r="AB732">
        <v>2410541</v>
      </c>
      <c r="AC732" t="b">
        <v>0</v>
      </c>
      <c r="AD732" t="b">
        <v>0</v>
      </c>
      <c r="AE732" t="b">
        <v>0</v>
      </c>
      <c r="AF732" t="b">
        <v>0</v>
      </c>
      <c r="AG732" t="s">
        <v>58</v>
      </c>
      <c r="AH732">
        <v>16</v>
      </c>
      <c r="AI732" t="s">
        <v>386</v>
      </c>
      <c r="AJ732" t="s">
        <v>387</v>
      </c>
      <c r="AL732" t="s">
        <v>1330</v>
      </c>
      <c r="AM732" t="s">
        <v>62</v>
      </c>
      <c r="AN732" t="s">
        <v>63</v>
      </c>
      <c r="AO732" t="s">
        <v>3793</v>
      </c>
      <c r="AP732" t="s">
        <v>3860</v>
      </c>
    </row>
    <row r="733" spans="1:42" x14ac:dyDescent="0.45">
      <c r="A733" t="s">
        <v>2812</v>
      </c>
      <c r="B733" t="s">
        <v>2813</v>
      </c>
      <c r="C733" t="s">
        <v>3785</v>
      </c>
      <c r="D733">
        <v>2025</v>
      </c>
      <c r="E733" t="s">
        <v>45</v>
      </c>
      <c r="F733" t="s">
        <v>2020</v>
      </c>
      <c r="G733">
        <v>3</v>
      </c>
      <c r="J733" t="s">
        <v>3864</v>
      </c>
      <c r="K733" t="s">
        <v>3865</v>
      </c>
      <c r="L733" t="s">
        <v>3866</v>
      </c>
      <c r="M733" t="s">
        <v>3867</v>
      </c>
      <c r="N733" t="s">
        <v>2829</v>
      </c>
      <c r="O733" t="s">
        <v>2830</v>
      </c>
      <c r="P733" t="s">
        <v>2027</v>
      </c>
      <c r="Q733" t="s">
        <v>3790</v>
      </c>
      <c r="S733">
        <v>13</v>
      </c>
      <c r="T733" t="s">
        <v>3868</v>
      </c>
      <c r="U733">
        <v>6292</v>
      </c>
      <c r="V733">
        <v>4584</v>
      </c>
      <c r="W733">
        <v>1.3726</v>
      </c>
      <c r="X733" t="s">
        <v>70</v>
      </c>
      <c r="Y733" t="s">
        <v>3792</v>
      </c>
      <c r="Z733">
        <v>356.72</v>
      </c>
      <c r="AA733">
        <v>9231.94</v>
      </c>
      <c r="AB733">
        <v>3293217</v>
      </c>
      <c r="AC733" t="b">
        <v>1</v>
      </c>
      <c r="AD733" t="b">
        <v>1</v>
      </c>
      <c r="AE733" t="b">
        <v>0</v>
      </c>
      <c r="AF733" t="b">
        <v>0</v>
      </c>
      <c r="AG733" t="s">
        <v>58</v>
      </c>
      <c r="AH733">
        <v>20</v>
      </c>
      <c r="AI733" t="s">
        <v>59</v>
      </c>
      <c r="AJ733" t="s">
        <v>71</v>
      </c>
      <c r="AL733" t="s">
        <v>72</v>
      </c>
      <c r="AM733" t="s">
        <v>62</v>
      </c>
      <c r="AN733" t="s">
        <v>63</v>
      </c>
      <c r="AO733" t="s">
        <v>3793</v>
      </c>
      <c r="AP733" t="s">
        <v>3865</v>
      </c>
    </row>
    <row r="734" spans="1:42" x14ac:dyDescent="0.45">
      <c r="A734" t="s">
        <v>2812</v>
      </c>
      <c r="B734" t="s">
        <v>2813</v>
      </c>
      <c r="C734" t="s">
        <v>3869</v>
      </c>
      <c r="D734">
        <v>2026</v>
      </c>
      <c r="E734" t="s">
        <v>783</v>
      </c>
      <c r="F734" t="s">
        <v>2020</v>
      </c>
      <c r="J734" t="s">
        <v>3870</v>
      </c>
      <c r="K734" t="s">
        <v>3871</v>
      </c>
      <c r="L734" t="s">
        <v>3872</v>
      </c>
      <c r="M734" t="s">
        <v>3873</v>
      </c>
      <c r="N734" t="s">
        <v>2829</v>
      </c>
      <c r="O734" t="s">
        <v>2830</v>
      </c>
      <c r="P734" t="s">
        <v>2027</v>
      </c>
      <c r="Q734" t="s">
        <v>3874</v>
      </c>
      <c r="S734">
        <v>17</v>
      </c>
      <c r="T734" t="s">
        <v>3875</v>
      </c>
      <c r="U734">
        <v>206</v>
      </c>
      <c r="Y734" t="s">
        <v>3876</v>
      </c>
      <c r="Z734">
        <v>9.77</v>
      </c>
      <c r="AA734">
        <v>283.63</v>
      </c>
      <c r="AB734">
        <v>2771</v>
      </c>
      <c r="AC734" t="b">
        <v>0</v>
      </c>
      <c r="AD734" t="b">
        <v>0</v>
      </c>
      <c r="AE734" t="b">
        <v>0</v>
      </c>
      <c r="AF734" t="b">
        <v>0</v>
      </c>
      <c r="AG734" t="s">
        <v>58</v>
      </c>
      <c r="AH734">
        <v>8</v>
      </c>
      <c r="AI734" t="s">
        <v>169</v>
      </c>
      <c r="AJ734" t="s">
        <v>60</v>
      </c>
      <c r="AL734" t="s">
        <v>380</v>
      </c>
      <c r="AM734" t="s">
        <v>245</v>
      </c>
      <c r="AN734" t="s">
        <v>63</v>
      </c>
      <c r="AO734" t="s">
        <v>3877</v>
      </c>
      <c r="AP734" t="s">
        <v>3871</v>
      </c>
    </row>
    <row r="735" spans="1:42" x14ac:dyDescent="0.45">
      <c r="A735" t="s">
        <v>2812</v>
      </c>
      <c r="B735" t="s">
        <v>2813</v>
      </c>
      <c r="C735" t="s">
        <v>3869</v>
      </c>
      <c r="D735">
        <v>2026</v>
      </c>
      <c r="E735" t="s">
        <v>783</v>
      </c>
      <c r="F735" t="s">
        <v>2020</v>
      </c>
      <c r="J735" t="s">
        <v>3878</v>
      </c>
      <c r="K735" t="s">
        <v>3879</v>
      </c>
      <c r="L735" t="s">
        <v>3880</v>
      </c>
      <c r="M735" t="s">
        <v>3881</v>
      </c>
      <c r="N735" t="s">
        <v>2829</v>
      </c>
      <c r="O735" t="s">
        <v>2830</v>
      </c>
      <c r="P735" t="s">
        <v>2027</v>
      </c>
      <c r="Q735" t="s">
        <v>3874</v>
      </c>
      <c r="S735">
        <v>20</v>
      </c>
      <c r="T735" t="s">
        <v>3882</v>
      </c>
      <c r="U735">
        <v>231</v>
      </c>
      <c r="Y735" t="s">
        <v>3876</v>
      </c>
      <c r="Z735">
        <v>12.77</v>
      </c>
      <c r="AA735">
        <v>784.44</v>
      </c>
      <c r="AB735">
        <v>10017</v>
      </c>
      <c r="AC735" t="b">
        <v>0</v>
      </c>
      <c r="AD735" t="b">
        <v>0</v>
      </c>
      <c r="AE735" t="b">
        <v>0</v>
      </c>
      <c r="AF735" t="b">
        <v>0</v>
      </c>
      <c r="AG735" t="s">
        <v>58</v>
      </c>
      <c r="AH735">
        <v>8</v>
      </c>
      <c r="AI735" t="s">
        <v>169</v>
      </c>
      <c r="AJ735" t="s">
        <v>60</v>
      </c>
      <c r="AL735" t="s">
        <v>380</v>
      </c>
      <c r="AM735" t="s">
        <v>245</v>
      </c>
      <c r="AN735" t="s">
        <v>63</v>
      </c>
      <c r="AO735" t="s">
        <v>3877</v>
      </c>
      <c r="AP735" t="s">
        <v>3879</v>
      </c>
    </row>
    <row r="736" spans="1:42" x14ac:dyDescent="0.45">
      <c r="A736" t="s">
        <v>2812</v>
      </c>
      <c r="B736" t="s">
        <v>2813</v>
      </c>
      <c r="C736" t="s">
        <v>3869</v>
      </c>
      <c r="D736">
        <v>2026</v>
      </c>
      <c r="E736" t="s">
        <v>783</v>
      </c>
      <c r="F736" t="s">
        <v>2020</v>
      </c>
      <c r="J736" t="s">
        <v>3883</v>
      </c>
      <c r="K736" t="s">
        <v>3884</v>
      </c>
      <c r="L736" t="s">
        <v>3885</v>
      </c>
      <c r="M736" t="s">
        <v>3886</v>
      </c>
      <c r="N736" t="s">
        <v>2829</v>
      </c>
      <c r="O736" t="s">
        <v>2830</v>
      </c>
      <c r="P736" t="s">
        <v>2027</v>
      </c>
      <c r="Q736" t="s">
        <v>3874</v>
      </c>
      <c r="S736">
        <v>23</v>
      </c>
      <c r="T736" t="s">
        <v>3887</v>
      </c>
      <c r="U736">
        <v>96</v>
      </c>
      <c r="Y736" t="s">
        <v>3876</v>
      </c>
      <c r="Z736">
        <v>14.81</v>
      </c>
      <c r="AA736">
        <v>454.51</v>
      </c>
      <c r="AB736">
        <v>6732</v>
      </c>
      <c r="AC736" t="b">
        <v>0</v>
      </c>
      <c r="AD736" t="b">
        <v>0</v>
      </c>
      <c r="AE736" t="b">
        <v>0</v>
      </c>
      <c r="AF736" t="b">
        <v>0</v>
      </c>
      <c r="AG736" t="s">
        <v>58</v>
      </c>
      <c r="AH736">
        <v>-15</v>
      </c>
      <c r="AI736" t="s">
        <v>59</v>
      </c>
      <c r="AJ736" t="s">
        <v>60</v>
      </c>
      <c r="AK736" t="s">
        <v>128</v>
      </c>
      <c r="AL736" t="s">
        <v>129</v>
      </c>
      <c r="AM736" t="s">
        <v>245</v>
      </c>
      <c r="AN736" t="s">
        <v>63</v>
      </c>
      <c r="AO736" t="s">
        <v>3877</v>
      </c>
      <c r="AP736" t="s">
        <v>3884</v>
      </c>
    </row>
    <row r="737" spans="1:42" x14ac:dyDescent="0.45">
      <c r="A737" t="s">
        <v>2812</v>
      </c>
      <c r="B737" t="s">
        <v>2813</v>
      </c>
      <c r="C737" t="s">
        <v>3869</v>
      </c>
      <c r="D737">
        <v>2026</v>
      </c>
      <c r="E737" t="s">
        <v>783</v>
      </c>
      <c r="F737" t="s">
        <v>2020</v>
      </c>
      <c r="J737" t="s">
        <v>3888</v>
      </c>
      <c r="K737" t="s">
        <v>3889</v>
      </c>
      <c r="L737" t="s">
        <v>3890</v>
      </c>
      <c r="M737" t="s">
        <v>3891</v>
      </c>
      <c r="N737" t="s">
        <v>2829</v>
      </c>
      <c r="O737" t="s">
        <v>2830</v>
      </c>
      <c r="P737" t="s">
        <v>2027</v>
      </c>
      <c r="Q737" t="s">
        <v>3874</v>
      </c>
      <c r="S737">
        <v>13</v>
      </c>
      <c r="T737" t="s">
        <v>3892</v>
      </c>
      <c r="U737">
        <v>18</v>
      </c>
      <c r="Y737" t="s">
        <v>3876</v>
      </c>
      <c r="Z737">
        <v>8.77</v>
      </c>
      <c r="AA737">
        <v>234.56</v>
      </c>
      <c r="AB737">
        <v>2057</v>
      </c>
      <c r="AC737" t="b">
        <v>0</v>
      </c>
      <c r="AD737" t="b">
        <v>0</v>
      </c>
      <c r="AE737" t="b">
        <v>0</v>
      </c>
      <c r="AF737" t="b">
        <v>0</v>
      </c>
      <c r="AG737" t="s">
        <v>58</v>
      </c>
      <c r="AH737">
        <v>8</v>
      </c>
      <c r="AI737" t="s">
        <v>169</v>
      </c>
      <c r="AJ737" t="s">
        <v>60</v>
      </c>
      <c r="AL737" t="s">
        <v>380</v>
      </c>
      <c r="AM737" t="s">
        <v>245</v>
      </c>
      <c r="AN737" t="s">
        <v>63</v>
      </c>
      <c r="AO737" t="s">
        <v>3877</v>
      </c>
      <c r="AP737" t="s">
        <v>3889</v>
      </c>
    </row>
    <row r="738" spans="1:42" x14ac:dyDescent="0.45">
      <c r="A738" t="s">
        <v>2812</v>
      </c>
      <c r="B738" t="s">
        <v>2813</v>
      </c>
      <c r="C738" t="s">
        <v>3869</v>
      </c>
      <c r="D738">
        <v>2026</v>
      </c>
      <c r="E738" t="s">
        <v>783</v>
      </c>
      <c r="F738" t="s">
        <v>2020</v>
      </c>
      <c r="J738" t="s">
        <v>3893</v>
      </c>
      <c r="K738" t="s">
        <v>3894</v>
      </c>
      <c r="L738" t="s">
        <v>3895</v>
      </c>
      <c r="M738" t="s">
        <v>3896</v>
      </c>
      <c r="N738" t="s">
        <v>2829</v>
      </c>
      <c r="O738" t="s">
        <v>2830</v>
      </c>
      <c r="P738" t="s">
        <v>2027</v>
      </c>
      <c r="Q738" t="s">
        <v>3874</v>
      </c>
      <c r="S738">
        <v>22</v>
      </c>
      <c r="T738" t="s">
        <v>3897</v>
      </c>
      <c r="U738">
        <v>179</v>
      </c>
      <c r="Y738" t="s">
        <v>3876</v>
      </c>
      <c r="Z738">
        <v>13.8</v>
      </c>
      <c r="AA738">
        <v>376.47</v>
      </c>
      <c r="AB738">
        <v>5197</v>
      </c>
      <c r="AC738" t="b">
        <v>0</v>
      </c>
      <c r="AD738" t="b">
        <v>0</v>
      </c>
      <c r="AE738" t="b">
        <v>0</v>
      </c>
      <c r="AF738" t="b">
        <v>0</v>
      </c>
      <c r="AG738" t="s">
        <v>58</v>
      </c>
      <c r="AH738">
        <v>8</v>
      </c>
      <c r="AI738" t="s">
        <v>169</v>
      </c>
      <c r="AJ738" t="s">
        <v>60</v>
      </c>
      <c r="AL738" t="s">
        <v>380</v>
      </c>
      <c r="AM738" t="s">
        <v>245</v>
      </c>
      <c r="AN738" t="s">
        <v>63</v>
      </c>
      <c r="AO738" t="s">
        <v>3877</v>
      </c>
      <c r="AP738" t="s">
        <v>3894</v>
      </c>
    </row>
    <row r="739" spans="1:42" x14ac:dyDescent="0.45">
      <c r="A739" t="s">
        <v>2812</v>
      </c>
      <c r="B739" t="s">
        <v>2813</v>
      </c>
      <c r="C739" t="s">
        <v>3869</v>
      </c>
      <c r="D739">
        <v>2026</v>
      </c>
      <c r="E739" t="s">
        <v>783</v>
      </c>
      <c r="F739" t="s">
        <v>2020</v>
      </c>
      <c r="J739" t="s">
        <v>3898</v>
      </c>
      <c r="K739" t="s">
        <v>3899</v>
      </c>
      <c r="L739" t="s">
        <v>3900</v>
      </c>
      <c r="M739" t="s">
        <v>3901</v>
      </c>
      <c r="N739" t="s">
        <v>2829</v>
      </c>
      <c r="O739" t="s">
        <v>2830</v>
      </c>
      <c r="P739" t="s">
        <v>2027</v>
      </c>
      <c r="Q739" t="s">
        <v>3874</v>
      </c>
      <c r="S739">
        <v>25</v>
      </c>
      <c r="T739" t="s">
        <v>3902</v>
      </c>
      <c r="U739">
        <v>130</v>
      </c>
      <c r="Y739" t="s">
        <v>3876</v>
      </c>
      <c r="Z739">
        <v>16.73</v>
      </c>
      <c r="AA739">
        <v>256.20999999999998</v>
      </c>
      <c r="AB739">
        <v>4286</v>
      </c>
      <c r="AC739" t="b">
        <v>0</v>
      </c>
      <c r="AD739" t="b">
        <v>0</v>
      </c>
      <c r="AE739" t="b">
        <v>0</v>
      </c>
      <c r="AF739" t="b">
        <v>0</v>
      </c>
      <c r="AG739" t="s">
        <v>58</v>
      </c>
      <c r="AH739">
        <v>8</v>
      </c>
      <c r="AI739" t="s">
        <v>169</v>
      </c>
      <c r="AJ739" t="s">
        <v>60</v>
      </c>
      <c r="AL739" t="s">
        <v>380</v>
      </c>
      <c r="AM739" t="s">
        <v>245</v>
      </c>
      <c r="AN739" t="s">
        <v>63</v>
      </c>
      <c r="AO739" t="s">
        <v>3877</v>
      </c>
      <c r="AP739" t="s">
        <v>3899</v>
      </c>
    </row>
    <row r="740" spans="1:42" x14ac:dyDescent="0.45">
      <c r="A740" t="s">
        <v>2812</v>
      </c>
      <c r="B740" t="s">
        <v>2813</v>
      </c>
      <c r="C740" t="s">
        <v>3869</v>
      </c>
      <c r="D740">
        <v>2026</v>
      </c>
      <c r="E740" t="s">
        <v>783</v>
      </c>
      <c r="F740" t="s">
        <v>2020</v>
      </c>
      <c r="J740" t="s">
        <v>3903</v>
      </c>
      <c r="K740" t="s">
        <v>3904</v>
      </c>
      <c r="L740" t="s">
        <v>3905</v>
      </c>
      <c r="M740" t="s">
        <v>3906</v>
      </c>
      <c r="N740" t="s">
        <v>2829</v>
      </c>
      <c r="O740" t="s">
        <v>2830</v>
      </c>
      <c r="P740" t="s">
        <v>2027</v>
      </c>
      <c r="Q740" t="s">
        <v>3874</v>
      </c>
      <c r="S740">
        <v>19</v>
      </c>
      <c r="T740" t="s">
        <v>3907</v>
      </c>
      <c r="U740">
        <v>212</v>
      </c>
      <c r="Y740" t="s">
        <v>3876</v>
      </c>
      <c r="Z740">
        <v>11.81</v>
      </c>
      <c r="AA740">
        <v>287.27</v>
      </c>
      <c r="AB740">
        <v>3393</v>
      </c>
      <c r="AC740" t="b">
        <v>0</v>
      </c>
      <c r="AD740" t="b">
        <v>0</v>
      </c>
      <c r="AE740" t="b">
        <v>0</v>
      </c>
      <c r="AF740" t="b">
        <v>0</v>
      </c>
      <c r="AG740" t="s">
        <v>58</v>
      </c>
      <c r="AH740">
        <v>8</v>
      </c>
      <c r="AI740" t="s">
        <v>169</v>
      </c>
      <c r="AJ740" t="s">
        <v>60</v>
      </c>
      <c r="AL740" t="s">
        <v>380</v>
      </c>
      <c r="AM740" t="s">
        <v>245</v>
      </c>
      <c r="AN740" t="s">
        <v>63</v>
      </c>
      <c r="AO740" t="s">
        <v>3877</v>
      </c>
      <c r="AP740" t="s">
        <v>3904</v>
      </c>
    </row>
    <row r="741" spans="1:42" x14ac:dyDescent="0.45">
      <c r="A741" t="s">
        <v>2812</v>
      </c>
      <c r="B741" t="s">
        <v>2813</v>
      </c>
      <c r="C741" t="s">
        <v>3869</v>
      </c>
      <c r="D741">
        <v>2026</v>
      </c>
      <c r="E741" t="s">
        <v>783</v>
      </c>
      <c r="F741" t="s">
        <v>2020</v>
      </c>
      <c r="J741" t="s">
        <v>3908</v>
      </c>
      <c r="K741" t="s">
        <v>3909</v>
      </c>
      <c r="L741" t="s">
        <v>3910</v>
      </c>
      <c r="M741" t="s">
        <v>3911</v>
      </c>
      <c r="N741" t="s">
        <v>2829</v>
      </c>
      <c r="O741" t="s">
        <v>2830</v>
      </c>
      <c r="P741" t="s">
        <v>2027</v>
      </c>
      <c r="Q741" t="s">
        <v>3874</v>
      </c>
      <c r="S741">
        <v>26</v>
      </c>
      <c r="T741" t="s">
        <v>3912</v>
      </c>
      <c r="U741">
        <v>146</v>
      </c>
      <c r="Y741" t="s">
        <v>3876</v>
      </c>
      <c r="Z741">
        <v>17.23</v>
      </c>
      <c r="AA741">
        <v>331.72</v>
      </c>
      <c r="AB741">
        <v>5715</v>
      </c>
      <c r="AC741" t="b">
        <v>0</v>
      </c>
      <c r="AD741" t="b">
        <v>0</v>
      </c>
      <c r="AE741" t="b">
        <v>0</v>
      </c>
      <c r="AF741" t="b">
        <v>0</v>
      </c>
      <c r="AG741" t="s">
        <v>58</v>
      </c>
      <c r="AH741">
        <v>8</v>
      </c>
      <c r="AI741" t="s">
        <v>169</v>
      </c>
      <c r="AJ741" t="s">
        <v>60</v>
      </c>
      <c r="AL741" t="s">
        <v>380</v>
      </c>
      <c r="AM741" t="s">
        <v>245</v>
      </c>
      <c r="AN741" t="s">
        <v>63</v>
      </c>
      <c r="AO741" t="s">
        <v>3877</v>
      </c>
      <c r="AP741" t="s">
        <v>3909</v>
      </c>
    </row>
    <row r="742" spans="1:42" x14ac:dyDescent="0.45">
      <c r="A742" t="s">
        <v>2812</v>
      </c>
      <c r="B742" t="s">
        <v>2813</v>
      </c>
      <c r="C742" t="s">
        <v>3869</v>
      </c>
      <c r="D742">
        <v>2026</v>
      </c>
      <c r="E742" t="s">
        <v>783</v>
      </c>
      <c r="F742" t="s">
        <v>2020</v>
      </c>
      <c r="J742" t="s">
        <v>3913</v>
      </c>
      <c r="K742" t="s">
        <v>3914</v>
      </c>
      <c r="L742" t="s">
        <v>3915</v>
      </c>
      <c r="M742" t="s">
        <v>3916</v>
      </c>
      <c r="N742" t="s">
        <v>2829</v>
      </c>
      <c r="O742" t="s">
        <v>2830</v>
      </c>
      <c r="P742" t="s">
        <v>2027</v>
      </c>
      <c r="Q742" t="s">
        <v>3874</v>
      </c>
      <c r="S742">
        <v>29</v>
      </c>
      <c r="T742" t="s">
        <v>3917</v>
      </c>
      <c r="U742">
        <v>21</v>
      </c>
      <c r="Y742" t="s">
        <v>3876</v>
      </c>
      <c r="Z742">
        <v>18.75</v>
      </c>
      <c r="AA742">
        <v>485.85</v>
      </c>
      <c r="AB742">
        <v>9109</v>
      </c>
      <c r="AC742" t="b">
        <v>0</v>
      </c>
      <c r="AD742" t="b">
        <v>0</v>
      </c>
      <c r="AE742" t="b">
        <v>0</v>
      </c>
      <c r="AF742" t="b">
        <v>0</v>
      </c>
      <c r="AG742" t="s">
        <v>58</v>
      </c>
      <c r="AH742">
        <v>8</v>
      </c>
      <c r="AI742" t="s">
        <v>169</v>
      </c>
      <c r="AJ742" t="s">
        <v>60</v>
      </c>
      <c r="AL742" t="s">
        <v>380</v>
      </c>
      <c r="AM742" t="s">
        <v>245</v>
      </c>
      <c r="AN742" t="s">
        <v>63</v>
      </c>
      <c r="AO742" t="s">
        <v>3877</v>
      </c>
      <c r="AP742" t="s">
        <v>3914</v>
      </c>
    </row>
    <row r="743" spans="1:42" x14ac:dyDescent="0.45">
      <c r="A743" t="s">
        <v>2812</v>
      </c>
      <c r="B743" t="s">
        <v>2813</v>
      </c>
      <c r="C743" t="s">
        <v>3869</v>
      </c>
      <c r="D743">
        <v>2026</v>
      </c>
      <c r="E743" t="s">
        <v>783</v>
      </c>
      <c r="F743" t="s">
        <v>2020</v>
      </c>
      <c r="J743" t="s">
        <v>3918</v>
      </c>
      <c r="K743" t="s">
        <v>3919</v>
      </c>
      <c r="L743" t="s">
        <v>3920</v>
      </c>
      <c r="M743" t="s">
        <v>3921</v>
      </c>
      <c r="N743" t="s">
        <v>2829</v>
      </c>
      <c r="O743" t="s">
        <v>2830</v>
      </c>
      <c r="P743" t="s">
        <v>2027</v>
      </c>
      <c r="Q743" t="s">
        <v>3874</v>
      </c>
      <c r="S743">
        <v>31</v>
      </c>
      <c r="T743" t="s">
        <v>3922</v>
      </c>
      <c r="U743">
        <v>106</v>
      </c>
      <c r="Y743" t="s">
        <v>3876</v>
      </c>
      <c r="Z743">
        <v>19.73</v>
      </c>
      <c r="AA743">
        <v>308.77999999999997</v>
      </c>
      <c r="AB743">
        <v>6091</v>
      </c>
      <c r="AC743" t="b">
        <v>0</v>
      </c>
      <c r="AD743" t="b">
        <v>0</v>
      </c>
      <c r="AE743" t="b">
        <v>0</v>
      </c>
      <c r="AF743" t="b">
        <v>0</v>
      </c>
      <c r="AG743" t="s">
        <v>58</v>
      </c>
      <c r="AH743">
        <v>8</v>
      </c>
      <c r="AI743" t="s">
        <v>169</v>
      </c>
      <c r="AJ743" t="s">
        <v>60</v>
      </c>
      <c r="AL743" t="s">
        <v>380</v>
      </c>
      <c r="AM743" t="s">
        <v>245</v>
      </c>
      <c r="AN743" t="s">
        <v>63</v>
      </c>
      <c r="AO743" t="s">
        <v>3877</v>
      </c>
      <c r="AP743" t="s">
        <v>3919</v>
      </c>
    </row>
    <row r="744" spans="1:42" x14ac:dyDescent="0.45">
      <c r="A744" t="s">
        <v>2812</v>
      </c>
      <c r="B744" t="s">
        <v>2813</v>
      </c>
      <c r="C744" t="s">
        <v>3869</v>
      </c>
      <c r="D744">
        <v>2026</v>
      </c>
      <c r="E744" t="s">
        <v>783</v>
      </c>
      <c r="F744" t="s">
        <v>2020</v>
      </c>
      <c r="J744" t="s">
        <v>3923</v>
      </c>
      <c r="K744" t="s">
        <v>3924</v>
      </c>
      <c r="L744" t="s">
        <v>3925</v>
      </c>
      <c r="M744" t="s">
        <v>3926</v>
      </c>
      <c r="N744" t="s">
        <v>2829</v>
      </c>
      <c r="O744" t="s">
        <v>2830</v>
      </c>
      <c r="P744" t="s">
        <v>2027</v>
      </c>
      <c r="Q744" t="s">
        <v>3874</v>
      </c>
      <c r="S744">
        <v>0</v>
      </c>
      <c r="T744" t="s">
        <v>3927</v>
      </c>
      <c r="U744">
        <v>32</v>
      </c>
      <c r="Y744" t="s">
        <v>3876</v>
      </c>
      <c r="Z744">
        <v>0.17</v>
      </c>
      <c r="AA744">
        <v>4548.3100000000004</v>
      </c>
      <c r="AB744">
        <v>754</v>
      </c>
      <c r="AC744" t="b">
        <v>0</v>
      </c>
      <c r="AD744" t="b">
        <v>0</v>
      </c>
      <c r="AE744" t="b">
        <v>0</v>
      </c>
      <c r="AF744" t="b">
        <v>0</v>
      </c>
      <c r="AG744" t="s">
        <v>58</v>
      </c>
      <c r="AH744">
        <v>8</v>
      </c>
      <c r="AI744" t="s">
        <v>169</v>
      </c>
      <c r="AJ744" t="s">
        <v>60</v>
      </c>
      <c r="AL744" t="s">
        <v>380</v>
      </c>
      <c r="AM744" t="s">
        <v>245</v>
      </c>
      <c r="AN744" t="s">
        <v>63</v>
      </c>
      <c r="AO744" t="s">
        <v>3877</v>
      </c>
      <c r="AP744" t="s">
        <v>3924</v>
      </c>
    </row>
    <row r="745" spans="1:42" x14ac:dyDescent="0.45">
      <c r="A745" t="s">
        <v>2812</v>
      </c>
      <c r="B745" t="s">
        <v>2813</v>
      </c>
      <c r="C745" t="s">
        <v>3869</v>
      </c>
      <c r="D745">
        <v>2026</v>
      </c>
      <c r="E745" t="s">
        <v>783</v>
      </c>
      <c r="F745" t="s">
        <v>2020</v>
      </c>
      <c r="J745" t="s">
        <v>3928</v>
      </c>
      <c r="K745" t="s">
        <v>3929</v>
      </c>
      <c r="L745" t="s">
        <v>3930</v>
      </c>
      <c r="M745" t="s">
        <v>3931</v>
      </c>
      <c r="N745" t="s">
        <v>2829</v>
      </c>
      <c r="O745" t="s">
        <v>2830</v>
      </c>
      <c r="P745" t="s">
        <v>2027</v>
      </c>
      <c r="Q745" t="s">
        <v>3874</v>
      </c>
      <c r="S745">
        <v>6</v>
      </c>
      <c r="T745" t="s">
        <v>3932</v>
      </c>
      <c r="U745">
        <v>132</v>
      </c>
      <c r="Y745" t="s">
        <v>3876</v>
      </c>
      <c r="Z745">
        <v>5.16</v>
      </c>
      <c r="AA745">
        <v>606.09</v>
      </c>
      <c r="AB745">
        <v>3130</v>
      </c>
      <c r="AC745" t="b">
        <v>0</v>
      </c>
      <c r="AD745" t="b">
        <v>0</v>
      </c>
      <c r="AE745" t="b">
        <v>0</v>
      </c>
      <c r="AF745" t="b">
        <v>0</v>
      </c>
      <c r="AG745" t="s">
        <v>58</v>
      </c>
      <c r="AH745">
        <v>4</v>
      </c>
      <c r="AI745" t="s">
        <v>59</v>
      </c>
      <c r="AJ745" t="s">
        <v>60</v>
      </c>
      <c r="AL745" t="s">
        <v>476</v>
      </c>
      <c r="AM745" t="s">
        <v>245</v>
      </c>
      <c r="AN745" t="s">
        <v>63</v>
      </c>
      <c r="AO745" t="s">
        <v>3877</v>
      </c>
      <c r="AP745" t="s">
        <v>3929</v>
      </c>
    </row>
    <row r="746" spans="1:42" x14ac:dyDescent="0.45">
      <c r="A746" t="s">
        <v>2812</v>
      </c>
      <c r="B746" t="s">
        <v>2813</v>
      </c>
      <c r="C746" t="s">
        <v>3869</v>
      </c>
      <c r="D746">
        <v>2026</v>
      </c>
      <c r="E746" t="s">
        <v>783</v>
      </c>
      <c r="F746" t="s">
        <v>2020</v>
      </c>
      <c r="J746" t="s">
        <v>3933</v>
      </c>
      <c r="K746" t="s">
        <v>3934</v>
      </c>
      <c r="L746" t="s">
        <v>3935</v>
      </c>
      <c r="M746" t="s">
        <v>3936</v>
      </c>
      <c r="N746" t="s">
        <v>2829</v>
      </c>
      <c r="O746" t="s">
        <v>2830</v>
      </c>
      <c r="P746" t="s">
        <v>2027</v>
      </c>
      <c r="Q746" t="s">
        <v>3874</v>
      </c>
      <c r="S746">
        <v>32</v>
      </c>
      <c r="T746" t="s">
        <v>3937</v>
      </c>
      <c r="U746">
        <v>121</v>
      </c>
      <c r="Y746" t="s">
        <v>3876</v>
      </c>
      <c r="Z746">
        <v>20.77</v>
      </c>
      <c r="AA746">
        <v>797.59</v>
      </c>
      <c r="AB746">
        <v>16566</v>
      </c>
      <c r="AC746" t="b">
        <v>0</v>
      </c>
      <c r="AD746" t="b">
        <v>0</v>
      </c>
      <c r="AE746" t="b">
        <v>0</v>
      </c>
      <c r="AF746" t="b">
        <v>0</v>
      </c>
      <c r="AG746" t="s">
        <v>58</v>
      </c>
      <c r="AH746">
        <v>4</v>
      </c>
      <c r="AI746" t="s">
        <v>59</v>
      </c>
      <c r="AJ746" t="s">
        <v>60</v>
      </c>
      <c r="AL746" t="s">
        <v>476</v>
      </c>
      <c r="AM746" t="s">
        <v>245</v>
      </c>
      <c r="AN746" t="s">
        <v>63</v>
      </c>
      <c r="AO746" t="s">
        <v>3877</v>
      </c>
      <c r="AP746" t="s">
        <v>3934</v>
      </c>
    </row>
    <row r="747" spans="1:42" x14ac:dyDescent="0.45">
      <c r="A747" t="s">
        <v>2812</v>
      </c>
      <c r="B747" t="s">
        <v>2813</v>
      </c>
      <c r="C747" t="s">
        <v>3869</v>
      </c>
      <c r="D747">
        <v>2026</v>
      </c>
      <c r="E747" t="s">
        <v>783</v>
      </c>
      <c r="F747" t="s">
        <v>2020</v>
      </c>
      <c r="J747" t="s">
        <v>3938</v>
      </c>
      <c r="K747" t="s">
        <v>3939</v>
      </c>
      <c r="L747" t="s">
        <v>3940</v>
      </c>
      <c r="M747" t="s">
        <v>3941</v>
      </c>
      <c r="N747" t="s">
        <v>2829</v>
      </c>
      <c r="O747" t="s">
        <v>2830</v>
      </c>
      <c r="P747" t="s">
        <v>2027</v>
      </c>
      <c r="Q747" t="s">
        <v>3874</v>
      </c>
      <c r="S747">
        <v>10</v>
      </c>
      <c r="T747" t="s">
        <v>3942</v>
      </c>
      <c r="U747">
        <v>18</v>
      </c>
      <c r="Y747" t="s">
        <v>3876</v>
      </c>
      <c r="Z747">
        <v>8.19</v>
      </c>
      <c r="AA747">
        <v>387.35</v>
      </c>
      <c r="AB747">
        <v>3171</v>
      </c>
      <c r="AC747" t="b">
        <v>0</v>
      </c>
      <c r="AD747" t="b">
        <v>0</v>
      </c>
      <c r="AE747" t="b">
        <v>0</v>
      </c>
      <c r="AF747" t="b">
        <v>0</v>
      </c>
      <c r="AG747" t="s">
        <v>58</v>
      </c>
      <c r="AH747">
        <v>8</v>
      </c>
      <c r="AI747" t="s">
        <v>169</v>
      </c>
      <c r="AJ747" t="s">
        <v>60</v>
      </c>
      <c r="AL747" t="s">
        <v>380</v>
      </c>
      <c r="AM747" t="s">
        <v>245</v>
      </c>
      <c r="AN747" t="s">
        <v>63</v>
      </c>
      <c r="AO747" t="s">
        <v>3877</v>
      </c>
      <c r="AP747" t="s">
        <v>3939</v>
      </c>
    </row>
    <row r="748" spans="1:42" x14ac:dyDescent="0.45">
      <c r="A748" t="s">
        <v>2812</v>
      </c>
      <c r="B748" t="s">
        <v>2813</v>
      </c>
      <c r="C748" t="s">
        <v>3869</v>
      </c>
      <c r="D748">
        <v>2026</v>
      </c>
      <c r="E748" t="s">
        <v>783</v>
      </c>
      <c r="F748" t="s">
        <v>2020</v>
      </c>
      <c r="J748" t="s">
        <v>3943</v>
      </c>
      <c r="K748" t="s">
        <v>3944</v>
      </c>
      <c r="L748" t="s">
        <v>3945</v>
      </c>
      <c r="M748" t="s">
        <v>3946</v>
      </c>
      <c r="N748" t="s">
        <v>2829</v>
      </c>
      <c r="O748" t="s">
        <v>2830</v>
      </c>
      <c r="P748" t="s">
        <v>2027</v>
      </c>
      <c r="Q748" t="s">
        <v>3874</v>
      </c>
      <c r="S748">
        <v>5</v>
      </c>
      <c r="T748" t="s">
        <v>3947</v>
      </c>
      <c r="U748">
        <v>33</v>
      </c>
      <c r="Y748" t="s">
        <v>3876</v>
      </c>
      <c r="Z748">
        <v>5.08</v>
      </c>
      <c r="AA748">
        <v>550.76</v>
      </c>
      <c r="AB748">
        <v>2799</v>
      </c>
      <c r="AC748" t="b">
        <v>0</v>
      </c>
      <c r="AD748" t="b">
        <v>0</v>
      </c>
      <c r="AE748" t="b">
        <v>0</v>
      </c>
      <c r="AF748" t="b">
        <v>0</v>
      </c>
      <c r="AG748" t="s">
        <v>58</v>
      </c>
      <c r="AH748">
        <v>8</v>
      </c>
      <c r="AI748" t="s">
        <v>169</v>
      </c>
      <c r="AJ748" t="s">
        <v>60</v>
      </c>
      <c r="AL748" t="s">
        <v>380</v>
      </c>
      <c r="AM748" t="s">
        <v>245</v>
      </c>
      <c r="AN748" t="s">
        <v>63</v>
      </c>
      <c r="AO748" t="s">
        <v>3877</v>
      </c>
      <c r="AP748" t="s">
        <v>3944</v>
      </c>
    </row>
    <row r="749" spans="1:42" x14ac:dyDescent="0.45">
      <c r="A749" t="s">
        <v>2812</v>
      </c>
      <c r="B749" t="s">
        <v>2813</v>
      </c>
      <c r="C749" t="s">
        <v>3869</v>
      </c>
      <c r="D749">
        <v>2026</v>
      </c>
      <c r="E749" t="s">
        <v>783</v>
      </c>
      <c r="F749" t="s">
        <v>2020</v>
      </c>
      <c r="J749" t="s">
        <v>3948</v>
      </c>
      <c r="K749" t="s">
        <v>3949</v>
      </c>
      <c r="L749" t="s">
        <v>3950</v>
      </c>
      <c r="M749" t="s">
        <v>3951</v>
      </c>
      <c r="N749" t="s">
        <v>2829</v>
      </c>
      <c r="O749" t="s">
        <v>2830</v>
      </c>
      <c r="P749" t="s">
        <v>2027</v>
      </c>
      <c r="Q749" t="s">
        <v>3874</v>
      </c>
      <c r="S749">
        <v>3</v>
      </c>
      <c r="T749" t="s">
        <v>3952</v>
      </c>
      <c r="U749">
        <v>30</v>
      </c>
      <c r="Y749" t="s">
        <v>3876</v>
      </c>
      <c r="Z749">
        <v>4.8499999999999996</v>
      </c>
      <c r="AA749">
        <v>1440.91</v>
      </c>
      <c r="AB749">
        <v>6993</v>
      </c>
      <c r="AC749" t="b">
        <v>0</v>
      </c>
      <c r="AD749" t="b">
        <v>0</v>
      </c>
      <c r="AE749" t="b">
        <v>0</v>
      </c>
      <c r="AF749" t="b">
        <v>0</v>
      </c>
      <c r="AG749" t="s">
        <v>58</v>
      </c>
      <c r="AH749">
        <v>8</v>
      </c>
      <c r="AI749" t="s">
        <v>169</v>
      </c>
      <c r="AJ749" t="s">
        <v>60</v>
      </c>
      <c r="AL749" t="s">
        <v>380</v>
      </c>
      <c r="AM749" t="s">
        <v>245</v>
      </c>
      <c r="AN749" t="s">
        <v>63</v>
      </c>
      <c r="AO749" t="s">
        <v>3877</v>
      </c>
      <c r="AP749" t="s">
        <v>3949</v>
      </c>
    </row>
    <row r="750" spans="1:42" x14ac:dyDescent="0.45">
      <c r="A750" t="s">
        <v>2812</v>
      </c>
      <c r="B750" t="s">
        <v>2813</v>
      </c>
      <c r="C750" t="s">
        <v>3869</v>
      </c>
      <c r="D750">
        <v>2026</v>
      </c>
      <c r="E750" t="s">
        <v>783</v>
      </c>
      <c r="F750" t="s">
        <v>2020</v>
      </c>
      <c r="J750" t="s">
        <v>3953</v>
      </c>
      <c r="K750" t="s">
        <v>3954</v>
      </c>
      <c r="L750" t="s">
        <v>3955</v>
      </c>
      <c r="M750" t="s">
        <v>3956</v>
      </c>
      <c r="N750" t="s">
        <v>2829</v>
      </c>
      <c r="O750" t="s">
        <v>2830</v>
      </c>
      <c r="P750" t="s">
        <v>2027</v>
      </c>
      <c r="Q750" t="s">
        <v>3874</v>
      </c>
      <c r="S750">
        <v>8</v>
      </c>
      <c r="T750" t="s">
        <v>3957</v>
      </c>
      <c r="U750">
        <v>26</v>
      </c>
      <c r="Y750" t="s">
        <v>3876</v>
      </c>
      <c r="Z750">
        <v>6.09</v>
      </c>
      <c r="AA750">
        <v>829.88</v>
      </c>
      <c r="AB750">
        <v>5052</v>
      </c>
      <c r="AC750" t="b">
        <v>0</v>
      </c>
      <c r="AD750" t="b">
        <v>0</v>
      </c>
      <c r="AE750" t="b">
        <v>0</v>
      </c>
      <c r="AF750" t="b">
        <v>0</v>
      </c>
      <c r="AG750" t="s">
        <v>58</v>
      </c>
      <c r="AH750">
        <v>8</v>
      </c>
      <c r="AI750" t="s">
        <v>169</v>
      </c>
      <c r="AJ750" t="s">
        <v>60</v>
      </c>
      <c r="AL750" t="s">
        <v>380</v>
      </c>
      <c r="AM750" t="s">
        <v>245</v>
      </c>
      <c r="AN750" t="s">
        <v>63</v>
      </c>
      <c r="AO750" t="s">
        <v>3877</v>
      </c>
      <c r="AP750" t="s">
        <v>3954</v>
      </c>
    </row>
    <row r="751" spans="1:42" x14ac:dyDescent="0.45">
      <c r="A751" t="s">
        <v>2812</v>
      </c>
      <c r="B751" t="s">
        <v>2813</v>
      </c>
      <c r="C751" t="s">
        <v>3869</v>
      </c>
      <c r="D751">
        <v>2026</v>
      </c>
      <c r="E751" t="s">
        <v>783</v>
      </c>
      <c r="F751" t="s">
        <v>2020</v>
      </c>
      <c r="J751" t="s">
        <v>3958</v>
      </c>
      <c r="K751" t="s">
        <v>3959</v>
      </c>
      <c r="L751" t="s">
        <v>3960</v>
      </c>
      <c r="M751" t="s">
        <v>3961</v>
      </c>
      <c r="N751" t="s">
        <v>2829</v>
      </c>
      <c r="O751" t="s">
        <v>2830</v>
      </c>
      <c r="P751" t="s">
        <v>2027</v>
      </c>
      <c r="Q751" t="s">
        <v>3874</v>
      </c>
      <c r="S751">
        <v>9</v>
      </c>
      <c r="T751" t="s">
        <v>3962</v>
      </c>
      <c r="U751">
        <v>17</v>
      </c>
      <c r="Y751" t="s">
        <v>3876</v>
      </c>
      <c r="Z751">
        <v>8.19</v>
      </c>
      <c r="AA751">
        <v>451.24</v>
      </c>
      <c r="AB751">
        <v>3694</v>
      </c>
      <c r="AC751" t="b">
        <v>0</v>
      </c>
      <c r="AD751" t="b">
        <v>0</v>
      </c>
      <c r="AE751" t="b">
        <v>0</v>
      </c>
      <c r="AF751" t="b">
        <v>0</v>
      </c>
      <c r="AG751" t="s">
        <v>58</v>
      </c>
      <c r="AH751">
        <v>8</v>
      </c>
      <c r="AI751" t="s">
        <v>169</v>
      </c>
      <c r="AJ751" t="s">
        <v>60</v>
      </c>
      <c r="AL751" t="s">
        <v>380</v>
      </c>
      <c r="AM751" t="s">
        <v>245</v>
      </c>
      <c r="AN751" t="s">
        <v>63</v>
      </c>
      <c r="AO751" t="s">
        <v>3877</v>
      </c>
      <c r="AP751" t="s">
        <v>3959</v>
      </c>
    </row>
    <row r="752" spans="1:42" x14ac:dyDescent="0.45">
      <c r="A752" t="s">
        <v>2812</v>
      </c>
      <c r="B752" t="s">
        <v>2813</v>
      </c>
      <c r="C752" t="s">
        <v>3869</v>
      </c>
      <c r="D752">
        <v>2026</v>
      </c>
      <c r="E752" t="s">
        <v>783</v>
      </c>
      <c r="F752" t="s">
        <v>2020</v>
      </c>
      <c r="J752" t="s">
        <v>3963</v>
      </c>
      <c r="K752" t="s">
        <v>3964</v>
      </c>
      <c r="L752" t="s">
        <v>3965</v>
      </c>
      <c r="M752" t="s">
        <v>3966</v>
      </c>
      <c r="N752" t="s">
        <v>2829</v>
      </c>
      <c r="O752" t="s">
        <v>2830</v>
      </c>
      <c r="P752" t="s">
        <v>2027</v>
      </c>
      <c r="Q752" t="s">
        <v>3874</v>
      </c>
      <c r="S752">
        <v>2</v>
      </c>
      <c r="T752" t="s">
        <v>3967</v>
      </c>
      <c r="U752">
        <v>182</v>
      </c>
      <c r="Y752" t="s">
        <v>3876</v>
      </c>
      <c r="Z752">
        <v>4.2300000000000004</v>
      </c>
      <c r="AA752">
        <v>245.97</v>
      </c>
      <c r="AB752">
        <v>1040</v>
      </c>
      <c r="AC752" t="b">
        <v>0</v>
      </c>
      <c r="AD752" t="b">
        <v>0</v>
      </c>
      <c r="AE752" t="b">
        <v>0</v>
      </c>
      <c r="AF752" t="b">
        <v>0</v>
      </c>
      <c r="AG752" t="s">
        <v>58</v>
      </c>
      <c r="AH752">
        <v>8</v>
      </c>
      <c r="AI752" t="s">
        <v>169</v>
      </c>
      <c r="AJ752" t="s">
        <v>60</v>
      </c>
      <c r="AL752" t="s">
        <v>380</v>
      </c>
      <c r="AM752" t="s">
        <v>245</v>
      </c>
      <c r="AN752" t="s">
        <v>63</v>
      </c>
      <c r="AO752" t="s">
        <v>3877</v>
      </c>
      <c r="AP752" t="s">
        <v>3964</v>
      </c>
    </row>
    <row r="753" spans="1:42" x14ac:dyDescent="0.45">
      <c r="A753" t="s">
        <v>2812</v>
      </c>
      <c r="B753" t="s">
        <v>2813</v>
      </c>
      <c r="C753" t="s">
        <v>3869</v>
      </c>
      <c r="D753">
        <v>2026</v>
      </c>
      <c r="E753" t="s">
        <v>783</v>
      </c>
      <c r="F753" t="s">
        <v>2020</v>
      </c>
      <c r="J753" t="s">
        <v>3968</v>
      </c>
      <c r="K753" t="s">
        <v>3969</v>
      </c>
      <c r="L753" t="s">
        <v>3970</v>
      </c>
      <c r="M753" t="s">
        <v>3971</v>
      </c>
      <c r="N753" t="s">
        <v>2829</v>
      </c>
      <c r="O753" t="s">
        <v>2830</v>
      </c>
      <c r="P753" t="s">
        <v>2027</v>
      </c>
      <c r="Q753" t="s">
        <v>3874</v>
      </c>
      <c r="S753">
        <v>11</v>
      </c>
      <c r="T753" t="s">
        <v>3972</v>
      </c>
      <c r="U753">
        <v>17</v>
      </c>
      <c r="Y753" t="s">
        <v>3876</v>
      </c>
      <c r="Z753">
        <v>8.23</v>
      </c>
      <c r="AA753">
        <v>507.42</v>
      </c>
      <c r="AB753">
        <v>4175</v>
      </c>
      <c r="AC753" t="b">
        <v>0</v>
      </c>
      <c r="AD753" t="b">
        <v>0</v>
      </c>
      <c r="AE753" t="b">
        <v>0</v>
      </c>
      <c r="AF753" t="b">
        <v>0</v>
      </c>
      <c r="AG753" t="s">
        <v>58</v>
      </c>
      <c r="AH753">
        <v>8</v>
      </c>
      <c r="AI753" t="s">
        <v>169</v>
      </c>
      <c r="AJ753" t="s">
        <v>60</v>
      </c>
      <c r="AL753" t="s">
        <v>380</v>
      </c>
      <c r="AM753" t="s">
        <v>245</v>
      </c>
      <c r="AN753" t="s">
        <v>63</v>
      </c>
      <c r="AO753" t="s">
        <v>3877</v>
      </c>
      <c r="AP753" t="s">
        <v>3969</v>
      </c>
    </row>
    <row r="754" spans="1:42" x14ac:dyDescent="0.45">
      <c r="A754" t="s">
        <v>2812</v>
      </c>
      <c r="B754" t="s">
        <v>2813</v>
      </c>
      <c r="C754" t="s">
        <v>3869</v>
      </c>
      <c r="D754">
        <v>2026</v>
      </c>
      <c r="E754" t="s">
        <v>783</v>
      </c>
      <c r="F754" t="s">
        <v>2020</v>
      </c>
      <c r="J754" t="s">
        <v>3973</v>
      </c>
      <c r="K754" t="s">
        <v>3974</v>
      </c>
      <c r="L754" t="s">
        <v>3975</v>
      </c>
      <c r="M754" t="s">
        <v>3976</v>
      </c>
      <c r="N754" t="s">
        <v>2829</v>
      </c>
      <c r="O754" t="s">
        <v>2830</v>
      </c>
      <c r="P754" t="s">
        <v>2027</v>
      </c>
      <c r="Q754" t="s">
        <v>3874</v>
      </c>
      <c r="S754">
        <v>34</v>
      </c>
      <c r="T754" t="s">
        <v>3977</v>
      </c>
      <c r="U754">
        <v>25</v>
      </c>
      <c r="Y754" t="s">
        <v>3876</v>
      </c>
      <c r="Z754">
        <v>24.75</v>
      </c>
      <c r="AA754">
        <v>420.42</v>
      </c>
      <c r="AB754">
        <v>10405</v>
      </c>
      <c r="AC754" t="b">
        <v>0</v>
      </c>
      <c r="AD754" t="b">
        <v>0</v>
      </c>
      <c r="AE754" t="b">
        <v>0</v>
      </c>
      <c r="AF754" t="b">
        <v>0</v>
      </c>
      <c r="AG754" t="s">
        <v>58</v>
      </c>
      <c r="AH754">
        <v>8</v>
      </c>
      <c r="AI754" t="s">
        <v>169</v>
      </c>
      <c r="AJ754" t="s">
        <v>60</v>
      </c>
      <c r="AL754" t="s">
        <v>380</v>
      </c>
      <c r="AM754" t="s">
        <v>245</v>
      </c>
      <c r="AN754" t="s">
        <v>63</v>
      </c>
      <c r="AO754" t="s">
        <v>3877</v>
      </c>
      <c r="AP754" t="s">
        <v>3974</v>
      </c>
    </row>
    <row r="755" spans="1:42" x14ac:dyDescent="0.45">
      <c r="A755" t="s">
        <v>2812</v>
      </c>
      <c r="B755" t="s">
        <v>2813</v>
      </c>
      <c r="C755" t="s">
        <v>3869</v>
      </c>
      <c r="D755">
        <v>2026</v>
      </c>
      <c r="E755" t="s">
        <v>783</v>
      </c>
      <c r="F755" t="s">
        <v>2020</v>
      </c>
      <c r="J755" t="s">
        <v>3978</v>
      </c>
      <c r="K755" t="s">
        <v>3979</v>
      </c>
      <c r="L755" t="s">
        <v>3980</v>
      </c>
      <c r="M755" t="s">
        <v>3981</v>
      </c>
      <c r="N755" t="s">
        <v>2829</v>
      </c>
      <c r="O755" t="s">
        <v>2830</v>
      </c>
      <c r="P755" t="s">
        <v>2027</v>
      </c>
      <c r="Q755" t="s">
        <v>3874</v>
      </c>
      <c r="S755">
        <v>14</v>
      </c>
      <c r="T755" t="s">
        <v>3982</v>
      </c>
      <c r="U755">
        <v>27</v>
      </c>
      <c r="Y755" t="s">
        <v>3876</v>
      </c>
      <c r="Z755">
        <v>8.81</v>
      </c>
      <c r="AA755">
        <v>650.41</v>
      </c>
      <c r="AB755">
        <v>5731</v>
      </c>
      <c r="AC755" t="b">
        <v>0</v>
      </c>
      <c r="AD755" t="b">
        <v>0</v>
      </c>
      <c r="AE755" t="b">
        <v>0</v>
      </c>
      <c r="AF755" t="b">
        <v>0</v>
      </c>
      <c r="AG755" t="s">
        <v>58</v>
      </c>
      <c r="AH755">
        <v>8</v>
      </c>
      <c r="AI755" t="s">
        <v>169</v>
      </c>
      <c r="AJ755" t="s">
        <v>60</v>
      </c>
      <c r="AL755" t="s">
        <v>380</v>
      </c>
      <c r="AM755" t="s">
        <v>245</v>
      </c>
      <c r="AN755" t="s">
        <v>63</v>
      </c>
      <c r="AO755" t="s">
        <v>3877</v>
      </c>
      <c r="AP755" t="s">
        <v>3979</v>
      </c>
    </row>
    <row r="756" spans="1:42" x14ac:dyDescent="0.45">
      <c r="A756" t="s">
        <v>2812</v>
      </c>
      <c r="B756" t="s">
        <v>2813</v>
      </c>
      <c r="C756" t="s">
        <v>3869</v>
      </c>
      <c r="D756">
        <v>2026</v>
      </c>
      <c r="E756" t="s">
        <v>783</v>
      </c>
      <c r="F756" t="s">
        <v>2020</v>
      </c>
      <c r="J756" t="s">
        <v>3983</v>
      </c>
      <c r="K756" t="s">
        <v>3984</v>
      </c>
      <c r="L756" t="s">
        <v>3985</v>
      </c>
      <c r="M756" t="s">
        <v>3986</v>
      </c>
      <c r="N756" t="s">
        <v>2829</v>
      </c>
      <c r="O756" t="s">
        <v>2830</v>
      </c>
      <c r="P756" t="s">
        <v>2027</v>
      </c>
      <c r="Q756" t="s">
        <v>3874</v>
      </c>
      <c r="S756">
        <v>28</v>
      </c>
      <c r="T756" t="s">
        <v>3987</v>
      </c>
      <c r="U756">
        <v>22</v>
      </c>
      <c r="Y756" t="s">
        <v>3876</v>
      </c>
      <c r="Z756">
        <v>18.170000000000002</v>
      </c>
      <c r="AA756">
        <v>660.86</v>
      </c>
      <c r="AB756">
        <v>12005</v>
      </c>
      <c r="AC756" t="b">
        <v>0</v>
      </c>
      <c r="AD756" t="b">
        <v>0</v>
      </c>
      <c r="AE756" t="b">
        <v>0</v>
      </c>
      <c r="AF756" t="b">
        <v>0</v>
      </c>
      <c r="AG756" t="s">
        <v>58</v>
      </c>
      <c r="AH756">
        <v>8</v>
      </c>
      <c r="AI756" t="s">
        <v>169</v>
      </c>
      <c r="AJ756" t="s">
        <v>60</v>
      </c>
      <c r="AL756" t="s">
        <v>380</v>
      </c>
      <c r="AM756" t="s">
        <v>245</v>
      </c>
      <c r="AN756" t="s">
        <v>63</v>
      </c>
      <c r="AO756" t="s">
        <v>3877</v>
      </c>
      <c r="AP756" t="s">
        <v>3984</v>
      </c>
    </row>
    <row r="757" spans="1:42" x14ac:dyDescent="0.45">
      <c r="A757" t="s">
        <v>2812</v>
      </c>
      <c r="B757" t="s">
        <v>2813</v>
      </c>
      <c r="C757" t="s">
        <v>3869</v>
      </c>
      <c r="D757">
        <v>2026</v>
      </c>
      <c r="E757" t="s">
        <v>783</v>
      </c>
      <c r="F757" t="s">
        <v>2020</v>
      </c>
      <c r="J757" t="s">
        <v>3988</v>
      </c>
      <c r="K757" t="s">
        <v>3989</v>
      </c>
      <c r="L757" t="s">
        <v>3990</v>
      </c>
      <c r="M757" t="s">
        <v>3991</v>
      </c>
      <c r="N757" t="s">
        <v>2829</v>
      </c>
      <c r="O757" t="s">
        <v>2830</v>
      </c>
      <c r="P757" t="s">
        <v>2027</v>
      </c>
      <c r="Q757" t="s">
        <v>3874</v>
      </c>
      <c r="S757">
        <v>35</v>
      </c>
      <c r="T757" t="s">
        <v>3992</v>
      </c>
      <c r="U757">
        <v>30</v>
      </c>
      <c r="Y757" t="s">
        <v>3876</v>
      </c>
      <c r="Z757">
        <v>25.17</v>
      </c>
      <c r="AA757">
        <v>338.84</v>
      </c>
      <c r="AB757">
        <v>8527</v>
      </c>
      <c r="AC757" t="b">
        <v>0</v>
      </c>
      <c r="AD757" t="b">
        <v>0</v>
      </c>
      <c r="AE757" t="b">
        <v>0</v>
      </c>
      <c r="AF757" t="b">
        <v>0</v>
      </c>
      <c r="AG757" t="s">
        <v>58</v>
      </c>
      <c r="AH757">
        <v>8</v>
      </c>
      <c r="AI757" t="s">
        <v>169</v>
      </c>
      <c r="AJ757" t="s">
        <v>60</v>
      </c>
      <c r="AL757" t="s">
        <v>380</v>
      </c>
      <c r="AM757" t="s">
        <v>245</v>
      </c>
      <c r="AN757" t="s">
        <v>63</v>
      </c>
      <c r="AO757" t="s">
        <v>3877</v>
      </c>
      <c r="AP757" t="s">
        <v>3989</v>
      </c>
    </row>
    <row r="758" spans="1:42" x14ac:dyDescent="0.45">
      <c r="A758" t="s">
        <v>2812</v>
      </c>
      <c r="B758" t="s">
        <v>2813</v>
      </c>
      <c r="C758" t="s">
        <v>3869</v>
      </c>
      <c r="D758">
        <v>2026</v>
      </c>
      <c r="E758" t="s">
        <v>783</v>
      </c>
      <c r="F758" t="s">
        <v>2020</v>
      </c>
      <c r="J758" t="s">
        <v>3993</v>
      </c>
      <c r="K758" t="s">
        <v>3994</v>
      </c>
      <c r="L758" t="s">
        <v>3995</v>
      </c>
      <c r="M758" t="s">
        <v>3996</v>
      </c>
      <c r="N758" t="s">
        <v>2829</v>
      </c>
      <c r="O758" t="s">
        <v>2830</v>
      </c>
      <c r="P758" t="s">
        <v>2027</v>
      </c>
      <c r="Q758" t="s">
        <v>3874</v>
      </c>
      <c r="S758">
        <v>27</v>
      </c>
      <c r="T758" t="s">
        <v>3997</v>
      </c>
      <c r="U758">
        <v>25</v>
      </c>
      <c r="Y758" t="s">
        <v>3876</v>
      </c>
      <c r="Z758">
        <v>17.75</v>
      </c>
      <c r="AA758">
        <v>522</v>
      </c>
      <c r="AB758">
        <v>9265</v>
      </c>
      <c r="AC758" t="b">
        <v>0</v>
      </c>
      <c r="AD758" t="b">
        <v>0</v>
      </c>
      <c r="AE758" t="b">
        <v>0</v>
      </c>
      <c r="AF758" t="b">
        <v>0</v>
      </c>
      <c r="AG758" t="s">
        <v>58</v>
      </c>
      <c r="AH758">
        <v>8</v>
      </c>
      <c r="AI758" t="s">
        <v>169</v>
      </c>
      <c r="AJ758" t="s">
        <v>60</v>
      </c>
      <c r="AL758" t="s">
        <v>380</v>
      </c>
      <c r="AM758" t="s">
        <v>245</v>
      </c>
      <c r="AN758" t="s">
        <v>63</v>
      </c>
      <c r="AO758" t="s">
        <v>3877</v>
      </c>
      <c r="AP758" t="s">
        <v>3994</v>
      </c>
    </row>
    <row r="759" spans="1:42" x14ac:dyDescent="0.45">
      <c r="A759" t="s">
        <v>2812</v>
      </c>
      <c r="B759" t="s">
        <v>2813</v>
      </c>
      <c r="C759" t="s">
        <v>3869</v>
      </c>
      <c r="D759">
        <v>2026</v>
      </c>
      <c r="E759" t="s">
        <v>783</v>
      </c>
      <c r="F759" t="s">
        <v>2020</v>
      </c>
      <c r="J759" t="s">
        <v>3998</v>
      </c>
      <c r="K759" t="s">
        <v>3999</v>
      </c>
      <c r="L759" t="s">
        <v>4000</v>
      </c>
      <c r="M759" t="s">
        <v>4001</v>
      </c>
      <c r="N759" t="s">
        <v>2829</v>
      </c>
      <c r="O759" t="s">
        <v>2830</v>
      </c>
      <c r="P759" t="s">
        <v>2027</v>
      </c>
      <c r="Q759" t="s">
        <v>3874</v>
      </c>
      <c r="S759">
        <v>30</v>
      </c>
      <c r="T759" t="s">
        <v>4002</v>
      </c>
      <c r="U759">
        <v>31</v>
      </c>
      <c r="Y759" t="s">
        <v>3876</v>
      </c>
      <c r="Z759">
        <v>19.16</v>
      </c>
      <c r="AA759">
        <v>338.98</v>
      </c>
      <c r="AB759">
        <v>6494</v>
      </c>
      <c r="AC759" t="b">
        <v>0</v>
      </c>
      <c r="AD759" t="b">
        <v>0</v>
      </c>
      <c r="AE759" t="b">
        <v>0</v>
      </c>
      <c r="AF759" t="b">
        <v>0</v>
      </c>
      <c r="AG759" t="s">
        <v>58</v>
      </c>
      <c r="AH759">
        <v>8</v>
      </c>
      <c r="AI759" t="s">
        <v>169</v>
      </c>
      <c r="AJ759" t="s">
        <v>60</v>
      </c>
      <c r="AL759" t="s">
        <v>380</v>
      </c>
      <c r="AM759" t="s">
        <v>245</v>
      </c>
      <c r="AN759" t="s">
        <v>63</v>
      </c>
      <c r="AO759" t="s">
        <v>3877</v>
      </c>
      <c r="AP759" t="s">
        <v>3999</v>
      </c>
    </row>
    <row r="760" spans="1:42" x14ac:dyDescent="0.45">
      <c r="A760" t="s">
        <v>2812</v>
      </c>
      <c r="B760" t="s">
        <v>2813</v>
      </c>
      <c r="C760" t="s">
        <v>3869</v>
      </c>
      <c r="D760">
        <v>2026</v>
      </c>
      <c r="E760" t="s">
        <v>783</v>
      </c>
      <c r="F760" t="s">
        <v>2020</v>
      </c>
      <c r="J760" t="s">
        <v>4003</v>
      </c>
      <c r="K760" t="s">
        <v>4004</v>
      </c>
      <c r="L760" t="s">
        <v>4005</v>
      </c>
      <c r="M760" t="s">
        <v>4006</v>
      </c>
      <c r="N760" t="s">
        <v>2829</v>
      </c>
      <c r="O760" t="s">
        <v>2830</v>
      </c>
      <c r="P760" t="s">
        <v>2027</v>
      </c>
      <c r="Q760" t="s">
        <v>3874</v>
      </c>
      <c r="S760">
        <v>1</v>
      </c>
      <c r="T760" t="s">
        <v>4007</v>
      </c>
      <c r="U760">
        <v>236</v>
      </c>
      <c r="Y760" t="s">
        <v>3876</v>
      </c>
      <c r="Z760">
        <v>3.23</v>
      </c>
      <c r="AA760">
        <v>485.41</v>
      </c>
      <c r="AB760">
        <v>1567</v>
      </c>
      <c r="AC760" t="b">
        <v>0</v>
      </c>
      <c r="AD760" t="b">
        <v>0</v>
      </c>
      <c r="AE760" t="b">
        <v>0</v>
      </c>
      <c r="AF760" t="b">
        <v>0</v>
      </c>
      <c r="AG760" t="s">
        <v>58</v>
      </c>
      <c r="AH760">
        <v>8</v>
      </c>
      <c r="AI760" t="s">
        <v>169</v>
      </c>
      <c r="AJ760" t="s">
        <v>60</v>
      </c>
      <c r="AL760" t="s">
        <v>380</v>
      </c>
      <c r="AM760" t="s">
        <v>245</v>
      </c>
      <c r="AN760" t="s">
        <v>63</v>
      </c>
      <c r="AO760" t="s">
        <v>3877</v>
      </c>
      <c r="AP760" t="s">
        <v>4004</v>
      </c>
    </row>
    <row r="761" spans="1:42" x14ac:dyDescent="0.45">
      <c r="A761" t="s">
        <v>2812</v>
      </c>
      <c r="B761" t="s">
        <v>2813</v>
      </c>
      <c r="C761" t="s">
        <v>3869</v>
      </c>
      <c r="D761">
        <v>2026</v>
      </c>
      <c r="E761" t="s">
        <v>783</v>
      </c>
      <c r="F761" t="s">
        <v>2020</v>
      </c>
      <c r="J761" t="s">
        <v>4008</v>
      </c>
      <c r="K761" t="s">
        <v>4009</v>
      </c>
      <c r="L761" t="s">
        <v>4010</v>
      </c>
      <c r="M761" t="s">
        <v>4011</v>
      </c>
      <c r="N761" t="s">
        <v>2829</v>
      </c>
      <c r="O761" t="s">
        <v>2830</v>
      </c>
      <c r="P761" t="s">
        <v>2027</v>
      </c>
      <c r="Q761" t="s">
        <v>3874</v>
      </c>
      <c r="S761">
        <v>21</v>
      </c>
      <c r="T761" t="s">
        <v>4012</v>
      </c>
      <c r="U761">
        <v>162</v>
      </c>
      <c r="Y761" t="s">
        <v>3876</v>
      </c>
      <c r="Z761">
        <v>13.73</v>
      </c>
      <c r="AA761">
        <v>431.37</v>
      </c>
      <c r="AB761">
        <v>5922</v>
      </c>
      <c r="AC761" t="b">
        <v>0</v>
      </c>
      <c r="AD761" t="b">
        <v>0</v>
      </c>
      <c r="AE761" t="b">
        <v>0</v>
      </c>
      <c r="AF761" t="b">
        <v>0</v>
      </c>
      <c r="AG761" t="s">
        <v>58</v>
      </c>
      <c r="AH761">
        <v>8</v>
      </c>
      <c r="AI761" t="s">
        <v>169</v>
      </c>
      <c r="AJ761" t="s">
        <v>60</v>
      </c>
      <c r="AL761" t="s">
        <v>380</v>
      </c>
      <c r="AM761" t="s">
        <v>245</v>
      </c>
      <c r="AN761" t="s">
        <v>63</v>
      </c>
      <c r="AO761" t="s">
        <v>3877</v>
      </c>
      <c r="AP761" t="s">
        <v>4009</v>
      </c>
    </row>
    <row r="762" spans="1:42" x14ac:dyDescent="0.45">
      <c r="A762" t="s">
        <v>2812</v>
      </c>
      <c r="B762" t="s">
        <v>2813</v>
      </c>
      <c r="C762" t="s">
        <v>3869</v>
      </c>
      <c r="D762">
        <v>2026</v>
      </c>
      <c r="E762" t="s">
        <v>783</v>
      </c>
      <c r="F762" t="s">
        <v>2020</v>
      </c>
      <c r="J762" t="s">
        <v>4013</v>
      </c>
      <c r="K762" t="s">
        <v>4014</v>
      </c>
      <c r="L762" t="s">
        <v>4015</v>
      </c>
      <c r="M762" t="s">
        <v>4016</v>
      </c>
      <c r="N762" t="s">
        <v>2829</v>
      </c>
      <c r="O762" t="s">
        <v>2830</v>
      </c>
      <c r="P762" t="s">
        <v>2027</v>
      </c>
      <c r="Q762" t="s">
        <v>3874</v>
      </c>
      <c r="S762">
        <v>4</v>
      </c>
      <c r="T762" t="s">
        <v>4017</v>
      </c>
      <c r="U762">
        <v>20</v>
      </c>
      <c r="Y762" t="s">
        <v>3876</v>
      </c>
      <c r="Z762">
        <v>5.0199999999999996</v>
      </c>
      <c r="AA762">
        <v>973.58</v>
      </c>
      <c r="AB762">
        <v>4887</v>
      </c>
      <c r="AC762" t="b">
        <v>0</v>
      </c>
      <c r="AD762" t="b">
        <v>0</v>
      </c>
      <c r="AE762" t="b">
        <v>0</v>
      </c>
      <c r="AF762" t="b">
        <v>0</v>
      </c>
      <c r="AG762" t="s">
        <v>58</v>
      </c>
      <c r="AH762">
        <v>8</v>
      </c>
      <c r="AI762" t="s">
        <v>169</v>
      </c>
      <c r="AJ762" t="s">
        <v>60</v>
      </c>
      <c r="AL762" t="s">
        <v>380</v>
      </c>
      <c r="AM762" t="s">
        <v>245</v>
      </c>
      <c r="AN762" t="s">
        <v>63</v>
      </c>
      <c r="AO762" t="s">
        <v>3877</v>
      </c>
      <c r="AP762" t="s">
        <v>4014</v>
      </c>
    </row>
    <row r="763" spans="1:42" x14ac:dyDescent="0.45">
      <c r="A763" t="s">
        <v>2812</v>
      </c>
      <c r="B763" t="s">
        <v>2813</v>
      </c>
      <c r="C763" t="s">
        <v>3869</v>
      </c>
      <c r="D763">
        <v>2026</v>
      </c>
      <c r="E763" t="s">
        <v>783</v>
      </c>
      <c r="F763" t="s">
        <v>2020</v>
      </c>
      <c r="J763" t="s">
        <v>4018</v>
      </c>
      <c r="K763" t="s">
        <v>4019</v>
      </c>
      <c r="L763" t="s">
        <v>4020</v>
      </c>
      <c r="M763" t="s">
        <v>4021</v>
      </c>
      <c r="N763" t="s">
        <v>2829</v>
      </c>
      <c r="O763" t="s">
        <v>2830</v>
      </c>
      <c r="P763" t="s">
        <v>2027</v>
      </c>
      <c r="Q763" t="s">
        <v>3874</v>
      </c>
      <c r="S763">
        <v>33</v>
      </c>
      <c r="T763" t="s">
        <v>4022</v>
      </c>
      <c r="U763">
        <v>90</v>
      </c>
      <c r="Y763" t="s">
        <v>3876</v>
      </c>
      <c r="Z763">
        <v>21.77</v>
      </c>
      <c r="AA763">
        <v>167.43</v>
      </c>
      <c r="AB763">
        <v>3645</v>
      </c>
      <c r="AC763" t="b">
        <v>0</v>
      </c>
      <c r="AD763" t="b">
        <v>0</v>
      </c>
      <c r="AE763" t="b">
        <v>0</v>
      </c>
      <c r="AF763" t="b">
        <v>0</v>
      </c>
      <c r="AG763" t="s">
        <v>58</v>
      </c>
      <c r="AH763">
        <v>4</v>
      </c>
      <c r="AI763" t="s">
        <v>59</v>
      </c>
      <c r="AJ763" t="s">
        <v>60</v>
      </c>
      <c r="AL763" t="s">
        <v>476</v>
      </c>
      <c r="AM763" t="s">
        <v>245</v>
      </c>
      <c r="AN763" t="s">
        <v>63</v>
      </c>
      <c r="AO763" t="s">
        <v>3877</v>
      </c>
      <c r="AP763" t="s">
        <v>4019</v>
      </c>
    </row>
    <row r="764" spans="1:42" x14ac:dyDescent="0.45">
      <c r="A764" t="s">
        <v>2812</v>
      </c>
      <c r="B764" t="s">
        <v>2813</v>
      </c>
      <c r="C764" t="s">
        <v>3869</v>
      </c>
      <c r="D764">
        <v>2026</v>
      </c>
      <c r="E764" t="s">
        <v>783</v>
      </c>
      <c r="F764" t="s">
        <v>2020</v>
      </c>
      <c r="J764" t="s">
        <v>4023</v>
      </c>
      <c r="K764" t="s">
        <v>4024</v>
      </c>
      <c r="L764" t="s">
        <v>4025</v>
      </c>
      <c r="M764" t="s">
        <v>4026</v>
      </c>
      <c r="N764" t="s">
        <v>2829</v>
      </c>
      <c r="O764" t="s">
        <v>2830</v>
      </c>
      <c r="P764" t="s">
        <v>2027</v>
      </c>
      <c r="Q764" t="s">
        <v>3874</v>
      </c>
      <c r="S764">
        <v>12</v>
      </c>
      <c r="T764" t="s">
        <v>4027</v>
      </c>
      <c r="U764">
        <v>32</v>
      </c>
      <c r="Y764" t="s">
        <v>3876</v>
      </c>
      <c r="Z764">
        <v>8.73</v>
      </c>
      <c r="AA764">
        <v>214.82</v>
      </c>
      <c r="AB764">
        <v>1875</v>
      </c>
      <c r="AC764" t="b">
        <v>0</v>
      </c>
      <c r="AD764" t="b">
        <v>0</v>
      </c>
      <c r="AE764" t="b">
        <v>0</v>
      </c>
      <c r="AF764" t="b">
        <v>0</v>
      </c>
      <c r="AG764" t="s">
        <v>58</v>
      </c>
      <c r="AH764">
        <v>8</v>
      </c>
      <c r="AI764" t="s">
        <v>169</v>
      </c>
      <c r="AJ764" t="s">
        <v>60</v>
      </c>
      <c r="AL764" t="s">
        <v>380</v>
      </c>
      <c r="AM764" t="s">
        <v>245</v>
      </c>
      <c r="AN764" t="s">
        <v>63</v>
      </c>
      <c r="AO764" t="s">
        <v>3877</v>
      </c>
      <c r="AP764" t="s">
        <v>4024</v>
      </c>
    </row>
    <row r="765" spans="1:42" x14ac:dyDescent="0.45">
      <c r="A765" t="s">
        <v>2812</v>
      </c>
      <c r="B765" t="s">
        <v>2813</v>
      </c>
      <c r="C765" t="s">
        <v>3869</v>
      </c>
      <c r="D765">
        <v>2026</v>
      </c>
      <c r="E765" t="s">
        <v>783</v>
      </c>
      <c r="F765" t="s">
        <v>2020</v>
      </c>
      <c r="J765" t="s">
        <v>4028</v>
      </c>
      <c r="K765" t="s">
        <v>4029</v>
      </c>
      <c r="L765" t="s">
        <v>4030</v>
      </c>
      <c r="M765" t="s">
        <v>4031</v>
      </c>
      <c r="N765" t="s">
        <v>2829</v>
      </c>
      <c r="O765" t="s">
        <v>2830</v>
      </c>
      <c r="P765" t="s">
        <v>2027</v>
      </c>
      <c r="Q765" t="s">
        <v>3874</v>
      </c>
      <c r="S765">
        <v>15</v>
      </c>
      <c r="T765" t="s">
        <v>4032</v>
      </c>
      <c r="U765">
        <v>21</v>
      </c>
      <c r="Y765" t="s">
        <v>3876</v>
      </c>
      <c r="Z765">
        <v>9.14</v>
      </c>
      <c r="AA765">
        <v>293.07</v>
      </c>
      <c r="AB765">
        <v>2680</v>
      </c>
      <c r="AC765" t="b">
        <v>0</v>
      </c>
      <c r="AD765" t="b">
        <v>0</v>
      </c>
      <c r="AE765" t="b">
        <v>0</v>
      </c>
      <c r="AF765" t="b">
        <v>0</v>
      </c>
      <c r="AG765" t="s">
        <v>58</v>
      </c>
      <c r="AH765">
        <v>8</v>
      </c>
      <c r="AI765" t="s">
        <v>169</v>
      </c>
      <c r="AJ765" t="s">
        <v>60</v>
      </c>
      <c r="AL765" t="s">
        <v>380</v>
      </c>
      <c r="AM765" t="s">
        <v>245</v>
      </c>
      <c r="AN765" t="s">
        <v>63</v>
      </c>
      <c r="AO765" t="s">
        <v>3877</v>
      </c>
      <c r="AP765" t="s">
        <v>4029</v>
      </c>
    </row>
    <row r="766" spans="1:42" x14ac:dyDescent="0.45">
      <c r="A766" t="s">
        <v>2812</v>
      </c>
      <c r="B766" t="s">
        <v>2813</v>
      </c>
      <c r="C766" t="s">
        <v>3869</v>
      </c>
      <c r="D766">
        <v>2026</v>
      </c>
      <c r="E766" t="s">
        <v>783</v>
      </c>
      <c r="F766" t="s">
        <v>2020</v>
      </c>
      <c r="J766" t="s">
        <v>4033</v>
      </c>
      <c r="K766" t="s">
        <v>4034</v>
      </c>
      <c r="L766" t="s">
        <v>4035</v>
      </c>
      <c r="M766" t="s">
        <v>4036</v>
      </c>
      <c r="N766" t="s">
        <v>2829</v>
      </c>
      <c r="O766" t="s">
        <v>2830</v>
      </c>
      <c r="P766" t="s">
        <v>2027</v>
      </c>
      <c r="Q766" t="s">
        <v>3874</v>
      </c>
      <c r="S766">
        <v>18</v>
      </c>
      <c r="T766" t="s">
        <v>4037</v>
      </c>
      <c r="U766">
        <v>217</v>
      </c>
      <c r="Y766" t="s">
        <v>3876</v>
      </c>
      <c r="Z766">
        <v>10.77</v>
      </c>
      <c r="AA766">
        <v>131.66</v>
      </c>
      <c r="AB766">
        <v>1418</v>
      </c>
      <c r="AC766" t="b">
        <v>0</v>
      </c>
      <c r="AD766" t="b">
        <v>0</v>
      </c>
      <c r="AE766" t="b">
        <v>0</v>
      </c>
      <c r="AF766" t="b">
        <v>0</v>
      </c>
      <c r="AG766" t="s">
        <v>58</v>
      </c>
      <c r="AH766">
        <v>8</v>
      </c>
      <c r="AI766" t="s">
        <v>169</v>
      </c>
      <c r="AJ766" t="s">
        <v>60</v>
      </c>
      <c r="AL766" t="s">
        <v>380</v>
      </c>
      <c r="AM766" t="s">
        <v>245</v>
      </c>
      <c r="AN766" t="s">
        <v>63</v>
      </c>
      <c r="AO766" t="s">
        <v>3877</v>
      </c>
      <c r="AP766" t="s">
        <v>4034</v>
      </c>
    </row>
    <row r="767" spans="1:42" x14ac:dyDescent="0.45">
      <c r="A767" t="s">
        <v>2812</v>
      </c>
      <c r="B767" t="s">
        <v>2813</v>
      </c>
      <c r="C767" t="s">
        <v>3869</v>
      </c>
      <c r="D767">
        <v>2026</v>
      </c>
      <c r="E767" t="s">
        <v>783</v>
      </c>
      <c r="F767" t="s">
        <v>2020</v>
      </c>
      <c r="J767" t="s">
        <v>4038</v>
      </c>
      <c r="K767" t="s">
        <v>4039</v>
      </c>
      <c r="L767" t="s">
        <v>4040</v>
      </c>
      <c r="M767" t="s">
        <v>4041</v>
      </c>
      <c r="N767" t="s">
        <v>2829</v>
      </c>
      <c r="O767" t="s">
        <v>2830</v>
      </c>
      <c r="P767" t="s">
        <v>2027</v>
      </c>
      <c r="Q767" t="s">
        <v>3874</v>
      </c>
      <c r="S767">
        <v>7</v>
      </c>
      <c r="T767" t="s">
        <v>4042</v>
      </c>
      <c r="U767">
        <v>153</v>
      </c>
      <c r="Y767" t="s">
        <v>3876</v>
      </c>
      <c r="Z767">
        <v>5.91</v>
      </c>
      <c r="AA767">
        <v>281.39</v>
      </c>
      <c r="AB767">
        <v>1662</v>
      </c>
      <c r="AC767" t="b">
        <v>0</v>
      </c>
      <c r="AD767" t="b">
        <v>0</v>
      </c>
      <c r="AE767" t="b">
        <v>0</v>
      </c>
      <c r="AF767" t="b">
        <v>0</v>
      </c>
      <c r="AG767" t="s">
        <v>58</v>
      </c>
      <c r="AH767">
        <v>4</v>
      </c>
      <c r="AI767" t="s">
        <v>59</v>
      </c>
      <c r="AJ767" t="s">
        <v>60</v>
      </c>
      <c r="AL767" t="s">
        <v>476</v>
      </c>
      <c r="AM767" t="s">
        <v>245</v>
      </c>
      <c r="AN767" t="s">
        <v>63</v>
      </c>
      <c r="AO767" t="s">
        <v>3877</v>
      </c>
      <c r="AP767" t="s">
        <v>4039</v>
      </c>
    </row>
    <row r="768" spans="1:42" x14ac:dyDescent="0.45">
      <c r="A768" t="s">
        <v>2812</v>
      </c>
      <c r="B768" t="s">
        <v>2813</v>
      </c>
      <c r="C768" t="s">
        <v>3869</v>
      </c>
      <c r="D768">
        <v>2026</v>
      </c>
      <c r="E768" t="s">
        <v>783</v>
      </c>
      <c r="F768" t="s">
        <v>2020</v>
      </c>
      <c r="J768" t="s">
        <v>4043</v>
      </c>
      <c r="K768" t="s">
        <v>4044</v>
      </c>
      <c r="L768" t="s">
        <v>4045</v>
      </c>
      <c r="M768" t="s">
        <v>4046</v>
      </c>
      <c r="N768" t="s">
        <v>2829</v>
      </c>
      <c r="O768" t="s">
        <v>2830</v>
      </c>
      <c r="P768" t="s">
        <v>2027</v>
      </c>
      <c r="Q768" t="s">
        <v>3874</v>
      </c>
      <c r="S768">
        <v>16</v>
      </c>
      <c r="T768" t="s">
        <v>4047</v>
      </c>
      <c r="U768">
        <v>19</v>
      </c>
      <c r="Y768" t="s">
        <v>3876</v>
      </c>
      <c r="Z768">
        <v>9.1999999999999993</v>
      </c>
      <c r="AA768">
        <v>430.09</v>
      </c>
      <c r="AB768">
        <v>3957</v>
      </c>
      <c r="AC768" t="b">
        <v>0</v>
      </c>
      <c r="AD768" t="b">
        <v>0</v>
      </c>
      <c r="AE768" t="b">
        <v>0</v>
      </c>
      <c r="AF768" t="b">
        <v>0</v>
      </c>
      <c r="AG768" t="s">
        <v>58</v>
      </c>
      <c r="AH768">
        <v>8</v>
      </c>
      <c r="AI768" t="s">
        <v>169</v>
      </c>
      <c r="AJ768" t="s">
        <v>60</v>
      </c>
      <c r="AL768" t="s">
        <v>380</v>
      </c>
      <c r="AM768" t="s">
        <v>245</v>
      </c>
      <c r="AN768" t="s">
        <v>63</v>
      </c>
      <c r="AO768" t="s">
        <v>3877</v>
      </c>
      <c r="AP768" t="s">
        <v>4044</v>
      </c>
    </row>
    <row r="769" spans="1:42" x14ac:dyDescent="0.45">
      <c r="A769" t="s">
        <v>2812</v>
      </c>
      <c r="B769" t="s">
        <v>2813</v>
      </c>
      <c r="C769" t="s">
        <v>3869</v>
      </c>
      <c r="D769">
        <v>2026</v>
      </c>
      <c r="E769" t="s">
        <v>783</v>
      </c>
      <c r="F769" t="s">
        <v>2020</v>
      </c>
      <c r="J769" t="s">
        <v>4048</v>
      </c>
      <c r="K769" t="s">
        <v>4049</v>
      </c>
      <c r="L769" t="s">
        <v>4050</v>
      </c>
      <c r="M769" t="s">
        <v>4051</v>
      </c>
      <c r="N769" t="s">
        <v>2829</v>
      </c>
      <c r="O769" t="s">
        <v>2830</v>
      </c>
      <c r="P769" t="s">
        <v>2027</v>
      </c>
      <c r="Q769" t="s">
        <v>3874</v>
      </c>
      <c r="S769">
        <v>24</v>
      </c>
      <c r="T769" t="s">
        <v>4052</v>
      </c>
      <c r="U769">
        <v>116</v>
      </c>
      <c r="Y769" t="s">
        <v>3876</v>
      </c>
      <c r="Z769">
        <v>16.190000000000001</v>
      </c>
      <c r="AA769">
        <v>529.21</v>
      </c>
      <c r="AB769">
        <v>8566</v>
      </c>
      <c r="AC769" t="b">
        <v>0</v>
      </c>
      <c r="AD769" t="b">
        <v>0</v>
      </c>
      <c r="AE769" t="b">
        <v>0</v>
      </c>
      <c r="AF769" t="b">
        <v>0</v>
      </c>
      <c r="AG769" t="s">
        <v>58</v>
      </c>
      <c r="AH769">
        <v>-15</v>
      </c>
      <c r="AI769" t="s">
        <v>59</v>
      </c>
      <c r="AJ769" t="s">
        <v>60</v>
      </c>
      <c r="AK769" t="s">
        <v>128</v>
      </c>
      <c r="AL769" t="s">
        <v>129</v>
      </c>
      <c r="AM769" t="s">
        <v>245</v>
      </c>
      <c r="AN769" t="s">
        <v>63</v>
      </c>
      <c r="AO769" t="s">
        <v>3877</v>
      </c>
      <c r="AP769" t="s">
        <v>4049</v>
      </c>
    </row>
    <row r="770" spans="1:42" x14ac:dyDescent="0.45">
      <c r="A770" t="s">
        <v>4053</v>
      </c>
      <c r="B770" t="s">
        <v>2563</v>
      </c>
      <c r="C770" t="s">
        <v>4054</v>
      </c>
      <c r="D770">
        <v>2025</v>
      </c>
      <c r="E770" t="s">
        <v>45</v>
      </c>
      <c r="F770" t="s">
        <v>46</v>
      </c>
      <c r="G770">
        <v>6</v>
      </c>
      <c r="J770" t="s">
        <v>4055</v>
      </c>
      <c r="K770" t="s">
        <v>4056</v>
      </c>
      <c r="L770" t="s">
        <v>4057</v>
      </c>
      <c r="M770" t="s">
        <v>4058</v>
      </c>
      <c r="N770" t="s">
        <v>221</v>
      </c>
      <c r="O770" t="s">
        <v>222</v>
      </c>
      <c r="P770" t="s">
        <v>223</v>
      </c>
      <c r="Q770" t="s">
        <v>4059</v>
      </c>
      <c r="S770">
        <v>7</v>
      </c>
      <c r="T770" t="s">
        <v>4060</v>
      </c>
      <c r="U770">
        <v>7492</v>
      </c>
      <c r="V770">
        <v>7265</v>
      </c>
      <c r="W770">
        <v>1.0311999999999999</v>
      </c>
      <c r="X770" t="s">
        <v>70</v>
      </c>
      <c r="Y770" t="s">
        <v>4061</v>
      </c>
      <c r="Z770">
        <v>397.75</v>
      </c>
      <c r="AA770">
        <v>1515.89</v>
      </c>
      <c r="AB770">
        <v>602944</v>
      </c>
      <c r="AC770" t="b">
        <v>1</v>
      </c>
      <c r="AD770" t="b">
        <v>1</v>
      </c>
      <c r="AE770" t="b">
        <v>0</v>
      </c>
      <c r="AF770" t="b">
        <v>0</v>
      </c>
      <c r="AG770" t="s">
        <v>58</v>
      </c>
      <c r="AH770">
        <v>14</v>
      </c>
      <c r="AI770" t="s">
        <v>59</v>
      </c>
      <c r="AJ770" t="s">
        <v>71</v>
      </c>
      <c r="AL770" t="s">
        <v>244</v>
      </c>
      <c r="AM770" t="s">
        <v>245</v>
      </c>
      <c r="AN770" t="s">
        <v>63</v>
      </c>
      <c r="AO770" t="s">
        <v>4062</v>
      </c>
      <c r="AP770" t="s">
        <v>4056</v>
      </c>
    </row>
    <row r="771" spans="1:42" x14ac:dyDescent="0.45">
      <c r="A771" t="s">
        <v>4053</v>
      </c>
      <c r="B771" t="s">
        <v>2563</v>
      </c>
      <c r="C771" t="s">
        <v>4054</v>
      </c>
      <c r="D771">
        <v>2025</v>
      </c>
      <c r="E771" t="s">
        <v>45</v>
      </c>
      <c r="F771" t="s">
        <v>46</v>
      </c>
      <c r="G771">
        <v>9</v>
      </c>
      <c r="J771" t="s">
        <v>4063</v>
      </c>
      <c r="K771" t="s">
        <v>4064</v>
      </c>
      <c r="L771" t="s">
        <v>4065</v>
      </c>
      <c r="M771" t="s">
        <v>4066</v>
      </c>
      <c r="N771" t="s">
        <v>221</v>
      </c>
      <c r="O771" t="s">
        <v>222</v>
      </c>
      <c r="P771" t="s">
        <v>223</v>
      </c>
      <c r="Q771" t="s">
        <v>4059</v>
      </c>
      <c r="S771">
        <v>4</v>
      </c>
      <c r="T771" t="s">
        <v>4067</v>
      </c>
      <c r="U771">
        <v>7943</v>
      </c>
      <c r="V771">
        <v>7265</v>
      </c>
      <c r="W771">
        <v>1.0932999999999999</v>
      </c>
      <c r="X771" t="s">
        <v>70</v>
      </c>
      <c r="Y771" t="s">
        <v>4061</v>
      </c>
      <c r="Z771">
        <v>380.74</v>
      </c>
      <c r="AA771">
        <v>8761.2800000000007</v>
      </c>
      <c r="AB771">
        <v>3335797</v>
      </c>
      <c r="AC771" t="b">
        <v>1</v>
      </c>
      <c r="AD771" t="b">
        <v>1</v>
      </c>
      <c r="AE771" t="b">
        <v>0</v>
      </c>
      <c r="AF771" t="b">
        <v>0</v>
      </c>
      <c r="AG771" t="s">
        <v>58</v>
      </c>
      <c r="AH771">
        <v>14</v>
      </c>
      <c r="AI771" t="s">
        <v>59</v>
      </c>
      <c r="AJ771" t="s">
        <v>71</v>
      </c>
      <c r="AL771" t="s">
        <v>244</v>
      </c>
      <c r="AM771" t="s">
        <v>245</v>
      </c>
      <c r="AN771" t="s">
        <v>63</v>
      </c>
      <c r="AO771" t="s">
        <v>4062</v>
      </c>
      <c r="AP771" t="s">
        <v>4064</v>
      </c>
    </row>
    <row r="772" spans="1:42" x14ac:dyDescent="0.45">
      <c r="A772" t="s">
        <v>4053</v>
      </c>
      <c r="B772" t="s">
        <v>2563</v>
      </c>
      <c r="C772" t="s">
        <v>4054</v>
      </c>
      <c r="D772">
        <v>2025</v>
      </c>
      <c r="E772" t="s">
        <v>45</v>
      </c>
      <c r="F772" t="s">
        <v>46</v>
      </c>
      <c r="G772">
        <v>7</v>
      </c>
      <c r="J772" t="s">
        <v>4068</v>
      </c>
      <c r="K772" t="s">
        <v>4069</v>
      </c>
      <c r="L772" t="s">
        <v>4070</v>
      </c>
      <c r="M772" t="s">
        <v>4071</v>
      </c>
      <c r="N772" t="s">
        <v>221</v>
      </c>
      <c r="O772" t="s">
        <v>222</v>
      </c>
      <c r="P772" t="s">
        <v>223</v>
      </c>
      <c r="Q772" t="s">
        <v>4059</v>
      </c>
      <c r="S772">
        <v>6</v>
      </c>
      <c r="T772" t="s">
        <v>4072</v>
      </c>
      <c r="U772">
        <v>7447</v>
      </c>
      <c r="V772">
        <v>7265</v>
      </c>
      <c r="W772">
        <v>1.0250999999999999</v>
      </c>
      <c r="X772" t="s">
        <v>70</v>
      </c>
      <c r="Y772" t="s">
        <v>4061</v>
      </c>
      <c r="Z772">
        <v>390.75</v>
      </c>
      <c r="AA772">
        <v>1557.06</v>
      </c>
      <c r="AB772">
        <v>608420</v>
      </c>
      <c r="AC772" t="b">
        <v>1</v>
      </c>
      <c r="AD772" t="b">
        <v>1</v>
      </c>
      <c r="AE772" t="b">
        <v>0</v>
      </c>
      <c r="AF772" t="b">
        <v>0</v>
      </c>
      <c r="AG772" t="s">
        <v>58</v>
      </c>
      <c r="AH772">
        <v>14</v>
      </c>
      <c r="AI772" t="s">
        <v>59</v>
      </c>
      <c r="AJ772" t="s">
        <v>71</v>
      </c>
      <c r="AL772" t="s">
        <v>244</v>
      </c>
      <c r="AM772" t="s">
        <v>245</v>
      </c>
      <c r="AN772" t="s">
        <v>63</v>
      </c>
      <c r="AO772" t="s">
        <v>4062</v>
      </c>
      <c r="AP772" t="s">
        <v>4069</v>
      </c>
    </row>
    <row r="773" spans="1:42" x14ac:dyDescent="0.45">
      <c r="A773" t="s">
        <v>4053</v>
      </c>
      <c r="B773" t="s">
        <v>2563</v>
      </c>
      <c r="C773" t="s">
        <v>4054</v>
      </c>
      <c r="D773">
        <v>2025</v>
      </c>
      <c r="E773" t="s">
        <v>45</v>
      </c>
      <c r="F773" t="s">
        <v>46</v>
      </c>
      <c r="G773">
        <v>12</v>
      </c>
      <c r="J773" t="s">
        <v>4073</v>
      </c>
      <c r="K773" t="s">
        <v>4074</v>
      </c>
      <c r="L773" t="s">
        <v>4075</v>
      </c>
      <c r="M773" t="s">
        <v>4076</v>
      </c>
      <c r="N773" t="s">
        <v>221</v>
      </c>
      <c r="O773" t="s">
        <v>222</v>
      </c>
      <c r="P773" t="s">
        <v>223</v>
      </c>
      <c r="Q773" t="s">
        <v>4059</v>
      </c>
      <c r="S773">
        <v>0</v>
      </c>
      <c r="T773" t="s">
        <v>4077</v>
      </c>
      <c r="U773">
        <v>8351</v>
      </c>
      <c r="V773">
        <v>7265</v>
      </c>
      <c r="W773">
        <v>1.1495</v>
      </c>
      <c r="X773" t="s">
        <v>70</v>
      </c>
      <c r="Y773" t="s">
        <v>4061</v>
      </c>
      <c r="Z773">
        <v>359.74</v>
      </c>
      <c r="AA773">
        <v>7144.38</v>
      </c>
      <c r="AB773">
        <v>2570141</v>
      </c>
      <c r="AC773" t="b">
        <v>1</v>
      </c>
      <c r="AD773" t="b">
        <v>1</v>
      </c>
      <c r="AE773" t="b">
        <v>0</v>
      </c>
      <c r="AF773" t="b">
        <v>0</v>
      </c>
      <c r="AG773" t="s">
        <v>58</v>
      </c>
      <c r="AH773">
        <v>14</v>
      </c>
      <c r="AI773" t="s">
        <v>59</v>
      </c>
      <c r="AJ773" t="s">
        <v>71</v>
      </c>
      <c r="AL773" t="s">
        <v>244</v>
      </c>
      <c r="AM773" t="s">
        <v>245</v>
      </c>
      <c r="AN773" t="s">
        <v>63</v>
      </c>
      <c r="AO773" t="s">
        <v>4062</v>
      </c>
      <c r="AP773" t="s">
        <v>4074</v>
      </c>
    </row>
    <row r="774" spans="1:42" x14ac:dyDescent="0.45">
      <c r="A774" t="s">
        <v>4053</v>
      </c>
      <c r="B774" t="s">
        <v>2563</v>
      </c>
      <c r="C774" t="s">
        <v>4054</v>
      </c>
      <c r="D774">
        <v>2025</v>
      </c>
      <c r="E774" t="s">
        <v>45</v>
      </c>
      <c r="F774" t="s">
        <v>46</v>
      </c>
      <c r="G774">
        <v>11</v>
      </c>
      <c r="J774" t="e">
        <v>#NAME?</v>
      </c>
      <c r="K774" t="s">
        <v>4078</v>
      </c>
      <c r="L774" t="s">
        <v>4079</v>
      </c>
      <c r="M774" t="s">
        <v>4080</v>
      </c>
      <c r="N774" t="s">
        <v>221</v>
      </c>
      <c r="O774" t="s">
        <v>222</v>
      </c>
      <c r="P774" t="s">
        <v>223</v>
      </c>
      <c r="Q774" t="s">
        <v>4059</v>
      </c>
      <c r="S774">
        <v>2</v>
      </c>
      <c r="T774" t="s">
        <v>4081</v>
      </c>
      <c r="U774">
        <v>7716</v>
      </c>
      <c r="V774">
        <v>7265</v>
      </c>
      <c r="W774">
        <v>1.0621</v>
      </c>
      <c r="X774" t="s">
        <v>70</v>
      </c>
      <c r="Y774" t="s">
        <v>4061</v>
      </c>
      <c r="Z774">
        <v>366.74</v>
      </c>
      <c r="AA774">
        <v>9228.1299999999992</v>
      </c>
      <c r="AB774">
        <v>3384354</v>
      </c>
      <c r="AC774" t="b">
        <v>1</v>
      </c>
      <c r="AD774" t="b">
        <v>1</v>
      </c>
      <c r="AE774" t="b">
        <v>0</v>
      </c>
      <c r="AF774" t="b">
        <v>0</v>
      </c>
      <c r="AG774" t="s">
        <v>58</v>
      </c>
      <c r="AH774">
        <v>14</v>
      </c>
      <c r="AI774" t="s">
        <v>59</v>
      </c>
      <c r="AJ774" t="s">
        <v>71</v>
      </c>
      <c r="AL774" t="s">
        <v>244</v>
      </c>
      <c r="AM774" t="s">
        <v>245</v>
      </c>
      <c r="AN774" t="s">
        <v>63</v>
      </c>
      <c r="AO774" t="s">
        <v>4062</v>
      </c>
      <c r="AP774" t="s">
        <v>4078</v>
      </c>
    </row>
    <row r="775" spans="1:42" x14ac:dyDescent="0.45">
      <c r="A775" t="s">
        <v>4053</v>
      </c>
      <c r="B775" t="s">
        <v>2563</v>
      </c>
      <c r="C775" t="s">
        <v>4054</v>
      </c>
      <c r="D775">
        <v>2025</v>
      </c>
      <c r="E775" t="s">
        <v>45</v>
      </c>
      <c r="F775" t="s">
        <v>46</v>
      </c>
      <c r="G775">
        <v>0</v>
      </c>
      <c r="J775" t="s">
        <v>4082</v>
      </c>
      <c r="K775" t="s">
        <v>4083</v>
      </c>
      <c r="L775" t="s">
        <v>4084</v>
      </c>
      <c r="M775" t="s">
        <v>4085</v>
      </c>
      <c r="N775" t="s">
        <v>221</v>
      </c>
      <c r="O775" t="s">
        <v>222</v>
      </c>
      <c r="P775" t="s">
        <v>223</v>
      </c>
      <c r="Q775" t="s">
        <v>4059</v>
      </c>
      <c r="S775">
        <v>12</v>
      </c>
      <c r="T775" t="s">
        <v>4086</v>
      </c>
      <c r="U775">
        <v>5339</v>
      </c>
      <c r="V775">
        <v>7265</v>
      </c>
      <c r="W775">
        <v>0.7349</v>
      </c>
      <c r="X775" t="s">
        <v>70</v>
      </c>
      <c r="Y775" t="s">
        <v>4061</v>
      </c>
      <c r="Z775">
        <v>450.74</v>
      </c>
      <c r="AA775">
        <v>8993.15</v>
      </c>
      <c r="AB775">
        <v>4053602</v>
      </c>
      <c r="AC775" t="b">
        <v>1</v>
      </c>
      <c r="AD775" t="b">
        <v>1</v>
      </c>
      <c r="AE775" t="b">
        <v>0</v>
      </c>
      <c r="AF775" t="b">
        <v>0</v>
      </c>
      <c r="AG775" t="s">
        <v>58</v>
      </c>
      <c r="AH775">
        <v>14</v>
      </c>
      <c r="AI775" t="s">
        <v>59</v>
      </c>
      <c r="AJ775" t="s">
        <v>71</v>
      </c>
      <c r="AL775" t="s">
        <v>244</v>
      </c>
      <c r="AM775" t="s">
        <v>245</v>
      </c>
      <c r="AN775" t="s">
        <v>63</v>
      </c>
      <c r="AO775" t="s">
        <v>4062</v>
      </c>
      <c r="AP775" t="s">
        <v>4083</v>
      </c>
    </row>
    <row r="776" spans="1:42" x14ac:dyDescent="0.45">
      <c r="A776" t="s">
        <v>4053</v>
      </c>
      <c r="B776" t="s">
        <v>2563</v>
      </c>
      <c r="C776" t="s">
        <v>4054</v>
      </c>
      <c r="D776">
        <v>2025</v>
      </c>
      <c r="E776" t="s">
        <v>45</v>
      </c>
      <c r="F776" t="s">
        <v>46</v>
      </c>
      <c r="G776">
        <v>1</v>
      </c>
      <c r="J776" t="s">
        <v>4087</v>
      </c>
      <c r="K776" t="s">
        <v>4088</v>
      </c>
      <c r="L776" t="s">
        <v>4089</v>
      </c>
      <c r="M776" t="s">
        <v>4090</v>
      </c>
      <c r="N776" t="s">
        <v>221</v>
      </c>
      <c r="O776" t="s">
        <v>222</v>
      </c>
      <c r="P776" t="s">
        <v>223</v>
      </c>
      <c r="Q776" t="s">
        <v>4059</v>
      </c>
      <c r="S776">
        <v>11</v>
      </c>
      <c r="T776" t="s">
        <v>4091</v>
      </c>
      <c r="U776">
        <v>6816</v>
      </c>
      <c r="V776">
        <v>7265</v>
      </c>
      <c r="W776">
        <v>0.93820000000000003</v>
      </c>
      <c r="X776" t="s">
        <v>70</v>
      </c>
      <c r="Y776" t="s">
        <v>4061</v>
      </c>
      <c r="Z776">
        <v>436.74</v>
      </c>
      <c r="AA776">
        <v>11770.1</v>
      </c>
      <c r="AB776">
        <v>5140511</v>
      </c>
      <c r="AC776" t="b">
        <v>1</v>
      </c>
      <c r="AD776" t="b">
        <v>1</v>
      </c>
      <c r="AE776" t="b">
        <v>0</v>
      </c>
      <c r="AF776" t="b">
        <v>0</v>
      </c>
      <c r="AG776" t="s">
        <v>58</v>
      </c>
      <c r="AH776">
        <v>14</v>
      </c>
      <c r="AI776" t="s">
        <v>59</v>
      </c>
      <c r="AJ776" t="s">
        <v>71</v>
      </c>
      <c r="AL776" t="s">
        <v>244</v>
      </c>
      <c r="AM776" t="s">
        <v>245</v>
      </c>
      <c r="AN776" t="s">
        <v>63</v>
      </c>
      <c r="AO776" t="s">
        <v>4062</v>
      </c>
      <c r="AP776" t="s">
        <v>4088</v>
      </c>
    </row>
    <row r="777" spans="1:42" x14ac:dyDescent="0.45">
      <c r="A777" t="s">
        <v>4053</v>
      </c>
      <c r="B777" t="s">
        <v>2563</v>
      </c>
      <c r="C777" t="s">
        <v>4054</v>
      </c>
      <c r="D777">
        <v>2025</v>
      </c>
      <c r="E777" t="s">
        <v>45</v>
      </c>
      <c r="F777" t="s">
        <v>46</v>
      </c>
      <c r="G777">
        <v>8</v>
      </c>
      <c r="J777" t="s">
        <v>4092</v>
      </c>
      <c r="K777" t="s">
        <v>4093</v>
      </c>
      <c r="L777" t="s">
        <v>4094</v>
      </c>
      <c r="M777" t="s">
        <v>4095</v>
      </c>
      <c r="N777" t="s">
        <v>221</v>
      </c>
      <c r="O777" t="s">
        <v>222</v>
      </c>
      <c r="P777" t="s">
        <v>223</v>
      </c>
      <c r="Q777" t="s">
        <v>4059</v>
      </c>
      <c r="S777">
        <v>5</v>
      </c>
      <c r="T777" t="s">
        <v>4096</v>
      </c>
      <c r="U777">
        <v>7083</v>
      </c>
      <c r="V777">
        <v>7265</v>
      </c>
      <c r="W777">
        <v>0.97489999999999999</v>
      </c>
      <c r="X777" t="s">
        <v>70</v>
      </c>
      <c r="Y777" t="s">
        <v>4061</v>
      </c>
      <c r="Z777">
        <v>387.74</v>
      </c>
      <c r="AA777">
        <v>7595.97</v>
      </c>
      <c r="AB777">
        <v>2945285</v>
      </c>
      <c r="AC777" t="b">
        <v>1</v>
      </c>
      <c r="AD777" t="b">
        <v>1</v>
      </c>
      <c r="AE777" t="b">
        <v>0</v>
      </c>
      <c r="AF777" t="b">
        <v>0</v>
      </c>
      <c r="AG777" t="s">
        <v>58</v>
      </c>
      <c r="AH777">
        <v>14</v>
      </c>
      <c r="AI777" t="s">
        <v>59</v>
      </c>
      <c r="AJ777" t="s">
        <v>71</v>
      </c>
      <c r="AL777" t="s">
        <v>244</v>
      </c>
      <c r="AM777" t="s">
        <v>245</v>
      </c>
      <c r="AN777" t="s">
        <v>63</v>
      </c>
      <c r="AO777" t="s">
        <v>4062</v>
      </c>
      <c r="AP777" t="s">
        <v>4093</v>
      </c>
    </row>
    <row r="778" spans="1:42" x14ac:dyDescent="0.45">
      <c r="A778" t="s">
        <v>4053</v>
      </c>
      <c r="B778" t="s">
        <v>2563</v>
      </c>
      <c r="C778" t="s">
        <v>4054</v>
      </c>
      <c r="D778">
        <v>2025</v>
      </c>
      <c r="E778" t="s">
        <v>45</v>
      </c>
      <c r="F778" t="s">
        <v>46</v>
      </c>
      <c r="G778">
        <v>2</v>
      </c>
      <c r="J778" t="s">
        <v>4097</v>
      </c>
      <c r="K778" t="s">
        <v>4098</v>
      </c>
      <c r="L778" t="s">
        <v>4099</v>
      </c>
      <c r="M778" t="s">
        <v>4100</v>
      </c>
      <c r="N778" t="s">
        <v>221</v>
      </c>
      <c r="O778" t="s">
        <v>222</v>
      </c>
      <c r="P778" t="s">
        <v>223</v>
      </c>
      <c r="Q778" t="s">
        <v>4059</v>
      </c>
      <c r="S778">
        <v>10</v>
      </c>
      <c r="T778" t="s">
        <v>4101</v>
      </c>
      <c r="U778">
        <v>5918</v>
      </c>
      <c r="V778">
        <v>7265</v>
      </c>
      <c r="W778">
        <v>0.81459999999999999</v>
      </c>
      <c r="X778" t="s">
        <v>70</v>
      </c>
      <c r="Y778" t="s">
        <v>4061</v>
      </c>
      <c r="Z778">
        <v>429.74</v>
      </c>
      <c r="AA778">
        <v>8119.17</v>
      </c>
      <c r="AB778">
        <v>3489156</v>
      </c>
      <c r="AC778" t="b">
        <v>1</v>
      </c>
      <c r="AD778" t="b">
        <v>1</v>
      </c>
      <c r="AE778" t="b">
        <v>0</v>
      </c>
      <c r="AF778" t="b">
        <v>0</v>
      </c>
      <c r="AG778" t="s">
        <v>58</v>
      </c>
      <c r="AH778">
        <v>14</v>
      </c>
      <c r="AI778" t="s">
        <v>59</v>
      </c>
      <c r="AJ778" t="s">
        <v>71</v>
      </c>
      <c r="AL778" t="s">
        <v>244</v>
      </c>
      <c r="AM778" t="s">
        <v>245</v>
      </c>
      <c r="AN778" t="s">
        <v>63</v>
      </c>
      <c r="AO778" t="s">
        <v>4062</v>
      </c>
      <c r="AP778" t="s">
        <v>4098</v>
      </c>
    </row>
    <row r="779" spans="1:42" x14ac:dyDescent="0.45">
      <c r="A779" t="s">
        <v>4053</v>
      </c>
      <c r="B779" t="s">
        <v>2563</v>
      </c>
      <c r="C779" t="s">
        <v>4054</v>
      </c>
      <c r="D779">
        <v>2025</v>
      </c>
      <c r="E779" t="s">
        <v>45</v>
      </c>
      <c r="F779" t="s">
        <v>46</v>
      </c>
      <c r="G779">
        <v>3</v>
      </c>
      <c r="J779" t="s">
        <v>217</v>
      </c>
      <c r="K779" t="s">
        <v>4102</v>
      </c>
      <c r="L779" t="s">
        <v>219</v>
      </c>
      <c r="M779" t="s">
        <v>220</v>
      </c>
      <c r="N779" t="s">
        <v>221</v>
      </c>
      <c r="O779" t="s">
        <v>222</v>
      </c>
      <c r="P779" t="s">
        <v>223</v>
      </c>
      <c r="Q779" t="s">
        <v>4059</v>
      </c>
      <c r="S779">
        <v>1</v>
      </c>
      <c r="T779" t="s">
        <v>224</v>
      </c>
      <c r="U779">
        <v>6389</v>
      </c>
      <c r="V779">
        <v>7265</v>
      </c>
      <c r="W779">
        <v>0.87939999999999996</v>
      </c>
      <c r="X779" t="s">
        <v>70</v>
      </c>
      <c r="Y779" t="s">
        <v>4061</v>
      </c>
      <c r="Z779">
        <v>51.77</v>
      </c>
      <c r="AA779">
        <v>45954.38</v>
      </c>
      <c r="AB779">
        <v>2379100</v>
      </c>
      <c r="AC779" t="b">
        <v>0</v>
      </c>
      <c r="AD779" t="b">
        <v>0</v>
      </c>
      <c r="AE779" t="b">
        <v>0</v>
      </c>
      <c r="AF779" t="b">
        <v>0</v>
      </c>
      <c r="AG779" t="s">
        <v>58</v>
      </c>
      <c r="AH779">
        <v>10</v>
      </c>
      <c r="AI779" t="s">
        <v>59</v>
      </c>
      <c r="AJ779" t="s">
        <v>60</v>
      </c>
      <c r="AL779" t="s">
        <v>281</v>
      </c>
      <c r="AM779" t="s">
        <v>245</v>
      </c>
      <c r="AN779" t="s">
        <v>63</v>
      </c>
      <c r="AO779" t="s">
        <v>4062</v>
      </c>
      <c r="AP779" t="s">
        <v>4102</v>
      </c>
    </row>
    <row r="780" spans="1:42" x14ac:dyDescent="0.45">
      <c r="A780" t="s">
        <v>4053</v>
      </c>
      <c r="B780" t="s">
        <v>2563</v>
      </c>
      <c r="C780" t="s">
        <v>4054</v>
      </c>
      <c r="D780">
        <v>2025</v>
      </c>
      <c r="E780" t="s">
        <v>45</v>
      </c>
      <c r="F780" t="s">
        <v>46</v>
      </c>
      <c r="G780">
        <v>10</v>
      </c>
      <c r="J780" t="s">
        <v>4103</v>
      </c>
      <c r="K780" t="s">
        <v>4104</v>
      </c>
      <c r="L780" t="s">
        <v>4105</v>
      </c>
      <c r="M780" t="s">
        <v>4106</v>
      </c>
      <c r="N780" t="s">
        <v>221</v>
      </c>
      <c r="O780" t="s">
        <v>222</v>
      </c>
      <c r="P780" t="s">
        <v>223</v>
      </c>
      <c r="Q780" t="s">
        <v>4059</v>
      </c>
      <c r="S780">
        <v>3</v>
      </c>
      <c r="T780" t="s">
        <v>4107</v>
      </c>
      <c r="U780">
        <v>9089</v>
      </c>
      <c r="V780">
        <v>7265</v>
      </c>
      <c r="W780">
        <v>1.2511000000000001</v>
      </c>
      <c r="X780" t="s">
        <v>70</v>
      </c>
      <c r="Y780" t="s">
        <v>4061</v>
      </c>
      <c r="Z780">
        <v>373.74</v>
      </c>
      <c r="AA780">
        <v>8871.18</v>
      </c>
      <c r="AB780">
        <v>3315541</v>
      </c>
      <c r="AC780" t="b">
        <v>1</v>
      </c>
      <c r="AD780" t="b">
        <v>1</v>
      </c>
      <c r="AE780" t="b">
        <v>0</v>
      </c>
      <c r="AF780" t="b">
        <v>0</v>
      </c>
      <c r="AG780" t="s">
        <v>58</v>
      </c>
      <c r="AH780">
        <v>14</v>
      </c>
      <c r="AI780" t="s">
        <v>59</v>
      </c>
      <c r="AJ780" t="s">
        <v>71</v>
      </c>
      <c r="AL780" t="s">
        <v>244</v>
      </c>
      <c r="AM780" t="s">
        <v>245</v>
      </c>
      <c r="AN780" t="s">
        <v>63</v>
      </c>
      <c r="AO780" t="s">
        <v>4062</v>
      </c>
      <c r="AP780" t="s">
        <v>4104</v>
      </c>
    </row>
    <row r="781" spans="1:42" x14ac:dyDescent="0.45">
      <c r="A781" t="s">
        <v>4053</v>
      </c>
      <c r="B781" t="s">
        <v>2563</v>
      </c>
      <c r="C781" t="s">
        <v>4054</v>
      </c>
      <c r="D781">
        <v>2025</v>
      </c>
      <c r="E781" t="s">
        <v>45</v>
      </c>
      <c r="F781" t="s">
        <v>46</v>
      </c>
      <c r="G781">
        <v>4</v>
      </c>
      <c r="J781" t="s">
        <v>4108</v>
      </c>
      <c r="K781" t="s">
        <v>4109</v>
      </c>
      <c r="L781" t="s">
        <v>4110</v>
      </c>
      <c r="M781" t="s">
        <v>4111</v>
      </c>
      <c r="N781" t="s">
        <v>221</v>
      </c>
      <c r="O781" t="s">
        <v>222</v>
      </c>
      <c r="P781" t="s">
        <v>223</v>
      </c>
      <c r="Q781" t="s">
        <v>4059</v>
      </c>
      <c r="S781">
        <v>8</v>
      </c>
      <c r="T781" t="s">
        <v>4112</v>
      </c>
      <c r="U781">
        <v>6846</v>
      </c>
      <c r="V781">
        <v>7265</v>
      </c>
      <c r="W781">
        <v>0.94230000000000003</v>
      </c>
      <c r="X781" t="s">
        <v>70</v>
      </c>
      <c r="Y781" t="s">
        <v>4061</v>
      </c>
      <c r="Z781">
        <v>415.74</v>
      </c>
      <c r="AA781">
        <v>7529.34</v>
      </c>
      <c r="AB781">
        <v>3130270</v>
      </c>
      <c r="AC781" t="b">
        <v>1</v>
      </c>
      <c r="AD781" t="b">
        <v>1</v>
      </c>
      <c r="AE781" t="b">
        <v>0</v>
      </c>
      <c r="AF781" t="b">
        <v>0</v>
      </c>
      <c r="AG781" t="s">
        <v>58</v>
      </c>
      <c r="AH781">
        <v>14</v>
      </c>
      <c r="AI781" t="s">
        <v>59</v>
      </c>
      <c r="AJ781" t="s">
        <v>71</v>
      </c>
      <c r="AL781" t="s">
        <v>244</v>
      </c>
      <c r="AM781" t="s">
        <v>245</v>
      </c>
      <c r="AN781" t="s">
        <v>63</v>
      </c>
      <c r="AO781" t="s">
        <v>4062</v>
      </c>
      <c r="AP781" t="s">
        <v>4109</v>
      </c>
    </row>
    <row r="782" spans="1:42" x14ac:dyDescent="0.45">
      <c r="A782" t="s">
        <v>4053</v>
      </c>
      <c r="B782" t="s">
        <v>2563</v>
      </c>
      <c r="C782" t="s">
        <v>4054</v>
      </c>
      <c r="D782">
        <v>2025</v>
      </c>
      <c r="E782" t="s">
        <v>45</v>
      </c>
      <c r="F782" t="s">
        <v>46</v>
      </c>
      <c r="G782">
        <v>3</v>
      </c>
      <c r="J782" t="s">
        <v>4113</v>
      </c>
      <c r="K782" t="s">
        <v>4114</v>
      </c>
      <c r="L782" t="s">
        <v>4115</v>
      </c>
      <c r="M782" t="s">
        <v>4116</v>
      </c>
      <c r="N782" t="s">
        <v>221</v>
      </c>
      <c r="O782" t="s">
        <v>222</v>
      </c>
      <c r="P782" t="s">
        <v>223</v>
      </c>
      <c r="Q782" t="s">
        <v>4059</v>
      </c>
      <c r="S782">
        <v>9</v>
      </c>
      <c r="T782" t="s">
        <v>4117</v>
      </c>
      <c r="U782">
        <v>6937</v>
      </c>
      <c r="V782">
        <v>7265</v>
      </c>
      <c r="W782">
        <v>0.95489999999999997</v>
      </c>
      <c r="X782" t="s">
        <v>70</v>
      </c>
      <c r="Y782" t="s">
        <v>4061</v>
      </c>
      <c r="Z782">
        <v>422.74</v>
      </c>
      <c r="AA782">
        <v>8536.84</v>
      </c>
      <c r="AB782">
        <v>3608892</v>
      </c>
      <c r="AC782" t="b">
        <v>1</v>
      </c>
      <c r="AD782" t="b">
        <v>1</v>
      </c>
      <c r="AE782" t="b">
        <v>0</v>
      </c>
      <c r="AF782" t="b">
        <v>0</v>
      </c>
      <c r="AG782" t="s">
        <v>58</v>
      </c>
      <c r="AH782">
        <v>14</v>
      </c>
      <c r="AI782" t="s">
        <v>59</v>
      </c>
      <c r="AJ782" t="s">
        <v>71</v>
      </c>
      <c r="AL782" t="s">
        <v>244</v>
      </c>
      <c r="AM782" t="s">
        <v>245</v>
      </c>
      <c r="AN782" t="s">
        <v>63</v>
      </c>
      <c r="AO782" t="s">
        <v>4062</v>
      </c>
      <c r="AP782" t="s">
        <v>4114</v>
      </c>
    </row>
    <row r="783" spans="1:42" x14ac:dyDescent="0.45">
      <c r="A783" t="s">
        <v>4118</v>
      </c>
      <c r="B783" t="s">
        <v>4119</v>
      </c>
      <c r="C783" t="s">
        <v>4120</v>
      </c>
      <c r="D783">
        <v>2025</v>
      </c>
      <c r="E783" t="s">
        <v>45</v>
      </c>
      <c r="F783" t="s">
        <v>46</v>
      </c>
      <c r="G783">
        <v>12</v>
      </c>
      <c r="J783" t="s">
        <v>4121</v>
      </c>
      <c r="K783" t="s">
        <v>4122</v>
      </c>
      <c r="L783" t="s">
        <v>4123</v>
      </c>
      <c r="M783" t="s">
        <v>4124</v>
      </c>
      <c r="N783" t="s">
        <v>221</v>
      </c>
      <c r="O783" t="s">
        <v>222</v>
      </c>
      <c r="P783" t="s">
        <v>223</v>
      </c>
      <c r="Q783" t="s">
        <v>4125</v>
      </c>
      <c r="S783">
        <v>2</v>
      </c>
      <c r="T783" t="s">
        <v>4126</v>
      </c>
      <c r="U783">
        <v>5834</v>
      </c>
      <c r="V783">
        <v>5835.5</v>
      </c>
      <c r="W783">
        <v>0.99970000000000003</v>
      </c>
      <c r="X783" t="s">
        <v>70</v>
      </c>
      <c r="Y783" t="s">
        <v>4127</v>
      </c>
      <c r="Z783">
        <v>464.74</v>
      </c>
      <c r="AA783">
        <v>6881.94</v>
      </c>
      <c r="AB783">
        <v>3198336</v>
      </c>
      <c r="AC783" t="b">
        <v>1</v>
      </c>
      <c r="AD783" t="b">
        <v>1</v>
      </c>
      <c r="AE783" t="b">
        <v>0</v>
      </c>
      <c r="AF783" t="b">
        <v>0</v>
      </c>
      <c r="AG783" t="s">
        <v>58</v>
      </c>
      <c r="AH783">
        <v>14</v>
      </c>
      <c r="AI783" t="s">
        <v>59</v>
      </c>
      <c r="AJ783" t="s">
        <v>71</v>
      </c>
      <c r="AL783" t="s">
        <v>244</v>
      </c>
      <c r="AM783" t="s">
        <v>245</v>
      </c>
      <c r="AN783" t="s">
        <v>63</v>
      </c>
      <c r="AO783" t="s">
        <v>4128</v>
      </c>
      <c r="AP783" t="s">
        <v>4122</v>
      </c>
    </row>
    <row r="784" spans="1:42" x14ac:dyDescent="0.45">
      <c r="A784" t="s">
        <v>4118</v>
      </c>
      <c r="B784" t="s">
        <v>4119</v>
      </c>
      <c r="C784" t="s">
        <v>4120</v>
      </c>
      <c r="D784">
        <v>2025</v>
      </c>
      <c r="E784" t="s">
        <v>45</v>
      </c>
      <c r="F784" t="s">
        <v>46</v>
      </c>
      <c r="G784">
        <v>11</v>
      </c>
      <c r="J784" t="s">
        <v>4129</v>
      </c>
      <c r="K784" t="s">
        <v>4130</v>
      </c>
      <c r="L784" t="s">
        <v>4131</v>
      </c>
      <c r="M784" t="s">
        <v>4132</v>
      </c>
      <c r="N784" t="s">
        <v>221</v>
      </c>
      <c r="O784" t="s">
        <v>222</v>
      </c>
      <c r="P784" t="s">
        <v>223</v>
      </c>
      <c r="Q784" t="s">
        <v>4125</v>
      </c>
      <c r="S784">
        <v>3</v>
      </c>
      <c r="T784" t="s">
        <v>4133</v>
      </c>
      <c r="U784">
        <v>5091</v>
      </c>
      <c r="V784">
        <v>5835.5</v>
      </c>
      <c r="W784">
        <v>0.87239999999999995</v>
      </c>
      <c r="X784" t="s">
        <v>70</v>
      </c>
      <c r="Y784" t="s">
        <v>4127</v>
      </c>
      <c r="Z784">
        <v>471.74</v>
      </c>
      <c r="AA784">
        <v>7435.44</v>
      </c>
      <c r="AB784">
        <v>3507622</v>
      </c>
      <c r="AC784" t="b">
        <v>1</v>
      </c>
      <c r="AD784" t="b">
        <v>1</v>
      </c>
      <c r="AE784" t="b">
        <v>0</v>
      </c>
      <c r="AF784" t="b">
        <v>0</v>
      </c>
      <c r="AG784" t="s">
        <v>58</v>
      </c>
      <c r="AH784">
        <v>14</v>
      </c>
      <c r="AI784" t="s">
        <v>59</v>
      </c>
      <c r="AJ784" t="s">
        <v>71</v>
      </c>
      <c r="AL784" t="s">
        <v>244</v>
      </c>
      <c r="AM784" t="s">
        <v>245</v>
      </c>
      <c r="AN784" t="s">
        <v>63</v>
      </c>
      <c r="AO784" t="s">
        <v>4128</v>
      </c>
      <c r="AP784" t="s">
        <v>4130</v>
      </c>
    </row>
    <row r="785" spans="1:42" x14ac:dyDescent="0.45">
      <c r="A785" t="s">
        <v>4118</v>
      </c>
      <c r="B785" t="s">
        <v>4119</v>
      </c>
      <c r="C785" t="s">
        <v>4120</v>
      </c>
      <c r="D785">
        <v>2025</v>
      </c>
      <c r="E785" t="s">
        <v>45</v>
      </c>
      <c r="F785" t="s">
        <v>46</v>
      </c>
      <c r="G785">
        <v>6</v>
      </c>
      <c r="J785" t="s">
        <v>4134</v>
      </c>
      <c r="K785" t="s">
        <v>4135</v>
      </c>
      <c r="L785" t="s">
        <v>4136</v>
      </c>
      <c r="M785" t="s">
        <v>4137</v>
      </c>
      <c r="N785" t="s">
        <v>221</v>
      </c>
      <c r="O785" t="s">
        <v>222</v>
      </c>
      <c r="P785" t="s">
        <v>223</v>
      </c>
      <c r="Q785" t="s">
        <v>4125</v>
      </c>
      <c r="S785">
        <v>8</v>
      </c>
      <c r="T785" t="s">
        <v>4138</v>
      </c>
      <c r="U785">
        <v>5259</v>
      </c>
      <c r="V785">
        <v>5835.5</v>
      </c>
      <c r="W785">
        <v>0.9012</v>
      </c>
      <c r="X785" t="s">
        <v>70</v>
      </c>
      <c r="Y785" t="s">
        <v>4127</v>
      </c>
      <c r="Z785">
        <v>506.74</v>
      </c>
      <c r="AA785">
        <v>8486.27</v>
      </c>
      <c r="AB785">
        <v>4300360</v>
      </c>
      <c r="AC785" t="b">
        <v>1</v>
      </c>
      <c r="AD785" t="b">
        <v>1</v>
      </c>
      <c r="AE785" t="b">
        <v>0</v>
      </c>
      <c r="AF785" t="b">
        <v>0</v>
      </c>
      <c r="AG785" t="s">
        <v>58</v>
      </c>
      <c r="AH785">
        <v>14</v>
      </c>
      <c r="AI785" t="s">
        <v>59</v>
      </c>
      <c r="AJ785" t="s">
        <v>71</v>
      </c>
      <c r="AL785" t="s">
        <v>244</v>
      </c>
      <c r="AM785" t="s">
        <v>245</v>
      </c>
      <c r="AN785" t="s">
        <v>63</v>
      </c>
      <c r="AO785" t="s">
        <v>4128</v>
      </c>
      <c r="AP785" t="s">
        <v>4135</v>
      </c>
    </row>
    <row r="786" spans="1:42" x14ac:dyDescent="0.45">
      <c r="A786" t="s">
        <v>4118</v>
      </c>
      <c r="B786" t="s">
        <v>4119</v>
      </c>
      <c r="C786" t="s">
        <v>4120</v>
      </c>
      <c r="D786">
        <v>2025</v>
      </c>
      <c r="E786" t="s">
        <v>45</v>
      </c>
      <c r="F786" t="s">
        <v>46</v>
      </c>
      <c r="G786">
        <v>1</v>
      </c>
      <c r="J786" t="s">
        <v>4139</v>
      </c>
      <c r="K786" t="s">
        <v>4140</v>
      </c>
      <c r="L786" t="s">
        <v>4141</v>
      </c>
      <c r="M786" t="s">
        <v>4142</v>
      </c>
      <c r="N786" t="s">
        <v>221</v>
      </c>
      <c r="O786" t="s">
        <v>222</v>
      </c>
      <c r="P786" t="s">
        <v>223</v>
      </c>
      <c r="Q786" t="s">
        <v>4125</v>
      </c>
      <c r="S786">
        <v>13</v>
      </c>
      <c r="T786" t="s">
        <v>4143</v>
      </c>
      <c r="U786">
        <v>6681</v>
      </c>
      <c r="V786">
        <v>5835.5</v>
      </c>
      <c r="W786">
        <v>1.1449</v>
      </c>
      <c r="X786" t="s">
        <v>70</v>
      </c>
      <c r="Y786" t="s">
        <v>4127</v>
      </c>
      <c r="Z786">
        <v>541.74</v>
      </c>
      <c r="AA786">
        <v>15894.13</v>
      </c>
      <c r="AB786">
        <v>8610541</v>
      </c>
      <c r="AC786" t="b">
        <v>1</v>
      </c>
      <c r="AD786" t="b">
        <v>1</v>
      </c>
      <c r="AE786" t="b">
        <v>0</v>
      </c>
      <c r="AF786" t="b">
        <v>0</v>
      </c>
      <c r="AG786" t="s">
        <v>58</v>
      </c>
      <c r="AH786">
        <v>14</v>
      </c>
      <c r="AI786" t="s">
        <v>59</v>
      </c>
      <c r="AJ786" t="s">
        <v>71</v>
      </c>
      <c r="AL786" t="s">
        <v>244</v>
      </c>
      <c r="AM786" t="s">
        <v>245</v>
      </c>
      <c r="AN786" t="s">
        <v>63</v>
      </c>
      <c r="AO786" t="s">
        <v>4128</v>
      </c>
      <c r="AP786" t="s">
        <v>4140</v>
      </c>
    </row>
    <row r="787" spans="1:42" x14ac:dyDescent="0.45">
      <c r="A787" t="s">
        <v>4118</v>
      </c>
      <c r="B787" t="s">
        <v>4119</v>
      </c>
      <c r="C787" t="s">
        <v>4120</v>
      </c>
      <c r="D787">
        <v>2025</v>
      </c>
      <c r="E787" t="s">
        <v>45</v>
      </c>
      <c r="F787" t="s">
        <v>46</v>
      </c>
      <c r="G787">
        <v>7</v>
      </c>
      <c r="J787" t="s">
        <v>4144</v>
      </c>
      <c r="K787" t="s">
        <v>4145</v>
      </c>
      <c r="L787" t="s">
        <v>4146</v>
      </c>
      <c r="M787" t="s">
        <v>4147</v>
      </c>
      <c r="N787" t="s">
        <v>221</v>
      </c>
      <c r="O787" t="s">
        <v>222</v>
      </c>
      <c r="P787" t="s">
        <v>223</v>
      </c>
      <c r="Q787" t="s">
        <v>4125</v>
      </c>
      <c r="S787">
        <v>7</v>
      </c>
      <c r="T787" t="s">
        <v>4148</v>
      </c>
      <c r="U787">
        <v>6380</v>
      </c>
      <c r="V787">
        <v>5835.5</v>
      </c>
      <c r="W787">
        <v>1.0932999999999999</v>
      </c>
      <c r="X787" t="s">
        <v>70</v>
      </c>
      <c r="Y787" t="s">
        <v>4127</v>
      </c>
      <c r="Z787">
        <v>499.74</v>
      </c>
      <c r="AA787">
        <v>8256.99</v>
      </c>
      <c r="AB787">
        <v>4126379</v>
      </c>
      <c r="AC787" t="b">
        <v>1</v>
      </c>
      <c r="AD787" t="b">
        <v>1</v>
      </c>
      <c r="AE787" t="b">
        <v>0</v>
      </c>
      <c r="AF787" t="b">
        <v>0</v>
      </c>
      <c r="AG787" t="s">
        <v>58</v>
      </c>
      <c r="AH787">
        <v>14</v>
      </c>
      <c r="AI787" t="s">
        <v>59</v>
      </c>
      <c r="AJ787" t="s">
        <v>71</v>
      </c>
      <c r="AL787" t="s">
        <v>244</v>
      </c>
      <c r="AM787" t="s">
        <v>245</v>
      </c>
      <c r="AN787" t="s">
        <v>63</v>
      </c>
      <c r="AO787" t="s">
        <v>4128</v>
      </c>
      <c r="AP787" t="s">
        <v>4145</v>
      </c>
    </row>
    <row r="788" spans="1:42" x14ac:dyDescent="0.45">
      <c r="A788" t="s">
        <v>4118</v>
      </c>
      <c r="B788" t="s">
        <v>4119</v>
      </c>
      <c r="C788" t="s">
        <v>4120</v>
      </c>
      <c r="D788">
        <v>2025</v>
      </c>
      <c r="E788" t="s">
        <v>45</v>
      </c>
      <c r="F788" t="s">
        <v>46</v>
      </c>
      <c r="G788">
        <v>10</v>
      </c>
      <c r="J788" t="s">
        <v>4149</v>
      </c>
      <c r="K788" t="s">
        <v>4150</v>
      </c>
      <c r="L788" t="s">
        <v>4151</v>
      </c>
      <c r="M788" t="s">
        <v>4152</v>
      </c>
      <c r="N788" t="s">
        <v>221</v>
      </c>
      <c r="O788" t="s">
        <v>222</v>
      </c>
      <c r="P788" t="s">
        <v>223</v>
      </c>
      <c r="Q788" t="s">
        <v>4125</v>
      </c>
      <c r="S788">
        <v>4</v>
      </c>
      <c r="T788" t="s">
        <v>4153</v>
      </c>
      <c r="U788">
        <v>6387</v>
      </c>
      <c r="V788">
        <v>5835.5</v>
      </c>
      <c r="W788">
        <v>1.0945</v>
      </c>
      <c r="X788" t="s">
        <v>70</v>
      </c>
      <c r="Y788" t="s">
        <v>4127</v>
      </c>
      <c r="Z788">
        <v>478.74</v>
      </c>
      <c r="AA788">
        <v>8907.33</v>
      </c>
      <c r="AB788">
        <v>4264325</v>
      </c>
      <c r="AC788" t="b">
        <v>1</v>
      </c>
      <c r="AD788" t="b">
        <v>1</v>
      </c>
      <c r="AE788" t="b">
        <v>0</v>
      </c>
      <c r="AF788" t="b">
        <v>0</v>
      </c>
      <c r="AG788" t="s">
        <v>58</v>
      </c>
      <c r="AH788">
        <v>14</v>
      </c>
      <c r="AI788" t="s">
        <v>59</v>
      </c>
      <c r="AJ788" t="s">
        <v>71</v>
      </c>
      <c r="AL788" t="s">
        <v>244</v>
      </c>
      <c r="AM788" t="s">
        <v>245</v>
      </c>
      <c r="AN788" t="s">
        <v>63</v>
      </c>
      <c r="AO788" t="s">
        <v>4128</v>
      </c>
      <c r="AP788" t="s">
        <v>4150</v>
      </c>
    </row>
    <row r="789" spans="1:42" x14ac:dyDescent="0.45">
      <c r="A789" t="s">
        <v>4118</v>
      </c>
      <c r="B789" t="s">
        <v>4119</v>
      </c>
      <c r="C789" t="s">
        <v>4120</v>
      </c>
      <c r="D789">
        <v>2025</v>
      </c>
      <c r="E789" t="s">
        <v>45</v>
      </c>
      <c r="F789" t="s">
        <v>46</v>
      </c>
      <c r="G789">
        <v>4</v>
      </c>
      <c r="J789" t="s">
        <v>4154</v>
      </c>
      <c r="K789" t="s">
        <v>4155</v>
      </c>
      <c r="L789" t="s">
        <v>4156</v>
      </c>
      <c r="M789" t="s">
        <v>4157</v>
      </c>
      <c r="N789" t="s">
        <v>221</v>
      </c>
      <c r="O789" t="s">
        <v>222</v>
      </c>
      <c r="P789" t="s">
        <v>223</v>
      </c>
      <c r="Q789" t="s">
        <v>4125</v>
      </c>
      <c r="S789">
        <v>10</v>
      </c>
      <c r="T789" t="s">
        <v>4158</v>
      </c>
      <c r="U789">
        <v>5684</v>
      </c>
      <c r="V789">
        <v>5835.5</v>
      </c>
      <c r="W789">
        <v>0.97399999999999998</v>
      </c>
      <c r="X789" t="s">
        <v>70</v>
      </c>
      <c r="Y789" t="s">
        <v>4127</v>
      </c>
      <c r="Z789">
        <v>520.74</v>
      </c>
      <c r="AA789">
        <v>12304.58</v>
      </c>
      <c r="AB789">
        <v>6407528</v>
      </c>
      <c r="AC789" t="b">
        <v>1</v>
      </c>
      <c r="AD789" t="b">
        <v>1</v>
      </c>
      <c r="AE789" t="b">
        <v>0</v>
      </c>
      <c r="AF789" t="b">
        <v>0</v>
      </c>
      <c r="AG789" t="s">
        <v>58</v>
      </c>
      <c r="AH789">
        <v>14</v>
      </c>
      <c r="AI789" t="s">
        <v>59</v>
      </c>
      <c r="AJ789" t="s">
        <v>71</v>
      </c>
      <c r="AL789" t="s">
        <v>244</v>
      </c>
      <c r="AM789" t="s">
        <v>245</v>
      </c>
      <c r="AN789" t="s">
        <v>63</v>
      </c>
      <c r="AO789" t="s">
        <v>4128</v>
      </c>
      <c r="AP789" t="s">
        <v>4155</v>
      </c>
    </row>
    <row r="790" spans="1:42" x14ac:dyDescent="0.45">
      <c r="A790" t="s">
        <v>4118</v>
      </c>
      <c r="B790" t="s">
        <v>4119</v>
      </c>
      <c r="C790" t="s">
        <v>4120</v>
      </c>
      <c r="D790">
        <v>2025</v>
      </c>
      <c r="E790" t="s">
        <v>45</v>
      </c>
      <c r="F790" t="s">
        <v>46</v>
      </c>
      <c r="G790">
        <v>5</v>
      </c>
      <c r="J790" t="s">
        <v>4159</v>
      </c>
      <c r="K790" t="s">
        <v>4160</v>
      </c>
      <c r="L790" t="s">
        <v>4161</v>
      </c>
      <c r="M790" t="s">
        <v>4162</v>
      </c>
      <c r="N790" t="s">
        <v>221</v>
      </c>
      <c r="O790" t="s">
        <v>222</v>
      </c>
      <c r="P790" t="s">
        <v>223</v>
      </c>
      <c r="Q790" t="s">
        <v>4125</v>
      </c>
      <c r="S790">
        <v>9</v>
      </c>
      <c r="T790" t="s">
        <v>4163</v>
      </c>
      <c r="U790">
        <v>5474</v>
      </c>
      <c r="V790">
        <v>5835.5</v>
      </c>
      <c r="W790">
        <v>0.93810000000000004</v>
      </c>
      <c r="X790" t="s">
        <v>70</v>
      </c>
      <c r="Y790" t="s">
        <v>4127</v>
      </c>
      <c r="Z790">
        <v>513.74</v>
      </c>
      <c r="AA790">
        <v>10552.35</v>
      </c>
      <c r="AB790">
        <v>5421201</v>
      </c>
      <c r="AC790" t="b">
        <v>1</v>
      </c>
      <c r="AD790" t="b">
        <v>1</v>
      </c>
      <c r="AE790" t="b">
        <v>0</v>
      </c>
      <c r="AF790" t="b">
        <v>0</v>
      </c>
      <c r="AG790" t="s">
        <v>58</v>
      </c>
      <c r="AH790">
        <v>14</v>
      </c>
      <c r="AI790" t="s">
        <v>59</v>
      </c>
      <c r="AJ790" t="s">
        <v>71</v>
      </c>
      <c r="AL790" t="s">
        <v>244</v>
      </c>
      <c r="AM790" t="s">
        <v>245</v>
      </c>
      <c r="AN790" t="s">
        <v>63</v>
      </c>
      <c r="AO790" t="s">
        <v>4128</v>
      </c>
      <c r="AP790" t="s">
        <v>4160</v>
      </c>
    </row>
    <row r="791" spans="1:42" x14ac:dyDescent="0.45">
      <c r="A791" t="s">
        <v>4118</v>
      </c>
      <c r="B791" t="s">
        <v>4119</v>
      </c>
      <c r="C791" t="s">
        <v>4120</v>
      </c>
      <c r="D791">
        <v>2025</v>
      </c>
      <c r="E791" t="s">
        <v>45</v>
      </c>
      <c r="F791" t="s">
        <v>46</v>
      </c>
      <c r="G791">
        <v>3</v>
      </c>
      <c r="J791" t="s">
        <v>4164</v>
      </c>
      <c r="K791" t="s">
        <v>4165</v>
      </c>
      <c r="L791" t="s">
        <v>4166</v>
      </c>
      <c r="M791" t="s">
        <v>4167</v>
      </c>
      <c r="N791" t="s">
        <v>221</v>
      </c>
      <c r="O791" t="s">
        <v>222</v>
      </c>
      <c r="P791" t="s">
        <v>223</v>
      </c>
      <c r="Q791" t="s">
        <v>4125</v>
      </c>
      <c r="S791">
        <v>11</v>
      </c>
      <c r="T791" t="s">
        <v>4168</v>
      </c>
      <c r="U791">
        <v>5837</v>
      </c>
      <c r="V791">
        <v>5835.5</v>
      </c>
      <c r="W791">
        <v>1.0003</v>
      </c>
      <c r="X791" t="s">
        <v>70</v>
      </c>
      <c r="Y791" t="s">
        <v>4127</v>
      </c>
      <c r="Z791">
        <v>527.74</v>
      </c>
      <c r="AA791">
        <v>11116.39</v>
      </c>
      <c r="AB791">
        <v>5866604</v>
      </c>
      <c r="AC791" t="b">
        <v>1</v>
      </c>
      <c r="AD791" t="b">
        <v>1</v>
      </c>
      <c r="AE791" t="b">
        <v>0</v>
      </c>
      <c r="AF791" t="b">
        <v>0</v>
      </c>
      <c r="AG791" t="s">
        <v>58</v>
      </c>
      <c r="AH791">
        <v>14</v>
      </c>
      <c r="AI791" t="s">
        <v>59</v>
      </c>
      <c r="AJ791" t="s">
        <v>71</v>
      </c>
      <c r="AL791" t="s">
        <v>244</v>
      </c>
      <c r="AM791" t="s">
        <v>245</v>
      </c>
      <c r="AN791" t="s">
        <v>63</v>
      </c>
      <c r="AO791" t="s">
        <v>4128</v>
      </c>
      <c r="AP791" t="s">
        <v>4165</v>
      </c>
    </row>
    <row r="792" spans="1:42" x14ac:dyDescent="0.45">
      <c r="A792" t="s">
        <v>4118</v>
      </c>
      <c r="B792" t="s">
        <v>4119</v>
      </c>
      <c r="C792" t="s">
        <v>4120</v>
      </c>
      <c r="D792">
        <v>2025</v>
      </c>
      <c r="E792" t="s">
        <v>45</v>
      </c>
      <c r="F792" t="s">
        <v>46</v>
      </c>
      <c r="G792">
        <v>9</v>
      </c>
      <c r="J792" t="s">
        <v>4169</v>
      </c>
      <c r="K792" t="s">
        <v>4170</v>
      </c>
      <c r="L792" t="s">
        <v>4171</v>
      </c>
      <c r="M792" t="s">
        <v>4172</v>
      </c>
      <c r="N792" t="s">
        <v>221</v>
      </c>
      <c r="O792" t="s">
        <v>222</v>
      </c>
      <c r="P792" t="s">
        <v>223</v>
      </c>
      <c r="Q792" t="s">
        <v>4125</v>
      </c>
      <c r="S792">
        <v>5</v>
      </c>
      <c r="T792" t="s">
        <v>4173</v>
      </c>
      <c r="U792">
        <v>6383</v>
      </c>
      <c r="V792">
        <v>5835.5</v>
      </c>
      <c r="W792">
        <v>1.0938000000000001</v>
      </c>
      <c r="X792" t="s">
        <v>70</v>
      </c>
      <c r="Y792" t="s">
        <v>4127</v>
      </c>
      <c r="Z792">
        <v>485.74</v>
      </c>
      <c r="AA792">
        <v>8236.9699999999993</v>
      </c>
      <c r="AB792">
        <v>4001052</v>
      </c>
      <c r="AC792" t="b">
        <v>1</v>
      </c>
      <c r="AD792" t="b">
        <v>1</v>
      </c>
      <c r="AE792" t="b">
        <v>0</v>
      </c>
      <c r="AF792" t="b">
        <v>0</v>
      </c>
      <c r="AG792" t="s">
        <v>58</v>
      </c>
      <c r="AH792">
        <v>14</v>
      </c>
      <c r="AI792" t="s">
        <v>59</v>
      </c>
      <c r="AJ792" t="s">
        <v>71</v>
      </c>
      <c r="AL792" t="s">
        <v>244</v>
      </c>
      <c r="AM792" t="s">
        <v>245</v>
      </c>
      <c r="AN792" t="s">
        <v>63</v>
      </c>
      <c r="AO792" t="s">
        <v>4128</v>
      </c>
      <c r="AP792" t="s">
        <v>4170</v>
      </c>
    </row>
    <row r="793" spans="1:42" x14ac:dyDescent="0.45">
      <c r="A793" t="s">
        <v>4118</v>
      </c>
      <c r="B793" t="s">
        <v>4119</v>
      </c>
      <c r="C793" t="s">
        <v>4120</v>
      </c>
      <c r="D793">
        <v>2025</v>
      </c>
      <c r="E793" t="s">
        <v>45</v>
      </c>
      <c r="F793" t="s">
        <v>46</v>
      </c>
      <c r="G793">
        <v>8</v>
      </c>
      <c r="J793" t="s">
        <v>4174</v>
      </c>
      <c r="K793" t="s">
        <v>4175</v>
      </c>
      <c r="L793" t="s">
        <v>4176</v>
      </c>
      <c r="M793" t="s">
        <v>4177</v>
      </c>
      <c r="N793" t="s">
        <v>221</v>
      </c>
      <c r="O793" t="s">
        <v>222</v>
      </c>
      <c r="P793" t="s">
        <v>223</v>
      </c>
      <c r="Q793" t="s">
        <v>4125</v>
      </c>
      <c r="S793">
        <v>6</v>
      </c>
      <c r="T793" t="s">
        <v>4178</v>
      </c>
      <c r="U793">
        <v>5887</v>
      </c>
      <c r="V793">
        <v>5835.5</v>
      </c>
      <c r="W793">
        <v>1.0087999999999999</v>
      </c>
      <c r="X793" t="s">
        <v>70</v>
      </c>
      <c r="Y793" t="s">
        <v>4127</v>
      </c>
      <c r="Z793">
        <v>492.74</v>
      </c>
      <c r="AA793">
        <v>9714.59</v>
      </c>
      <c r="AB793">
        <v>4786799</v>
      </c>
      <c r="AC793" t="b">
        <v>1</v>
      </c>
      <c r="AD793" t="b">
        <v>1</v>
      </c>
      <c r="AE793" t="b">
        <v>0</v>
      </c>
      <c r="AF793" t="b">
        <v>0</v>
      </c>
      <c r="AG793" t="s">
        <v>58</v>
      </c>
      <c r="AH793">
        <v>14</v>
      </c>
      <c r="AI793" t="s">
        <v>59</v>
      </c>
      <c r="AJ793" t="s">
        <v>71</v>
      </c>
      <c r="AL793" t="s">
        <v>244</v>
      </c>
      <c r="AM793" t="s">
        <v>245</v>
      </c>
      <c r="AN793" t="s">
        <v>63</v>
      </c>
      <c r="AO793" t="s">
        <v>4128</v>
      </c>
      <c r="AP793" t="s">
        <v>4175</v>
      </c>
    </row>
    <row r="794" spans="1:42" x14ac:dyDescent="0.45">
      <c r="A794" t="s">
        <v>4118</v>
      </c>
      <c r="B794" t="s">
        <v>4119</v>
      </c>
      <c r="C794" t="s">
        <v>4120</v>
      </c>
      <c r="D794">
        <v>2025</v>
      </c>
      <c r="E794" t="s">
        <v>45</v>
      </c>
      <c r="F794" t="s">
        <v>46</v>
      </c>
      <c r="G794">
        <v>2</v>
      </c>
      <c r="J794" t="s">
        <v>4179</v>
      </c>
      <c r="K794" t="s">
        <v>4180</v>
      </c>
      <c r="L794" t="s">
        <v>4181</v>
      </c>
      <c r="M794" t="s">
        <v>4182</v>
      </c>
      <c r="N794" t="s">
        <v>221</v>
      </c>
      <c r="O794" t="s">
        <v>222</v>
      </c>
      <c r="P794" t="s">
        <v>223</v>
      </c>
      <c r="Q794" t="s">
        <v>4125</v>
      </c>
      <c r="S794">
        <v>12</v>
      </c>
      <c r="T794" t="s">
        <v>4183</v>
      </c>
      <c r="U794">
        <v>5348</v>
      </c>
      <c r="V794">
        <v>5835.5</v>
      </c>
      <c r="W794">
        <v>0.91649999999999998</v>
      </c>
      <c r="X794" t="s">
        <v>70</v>
      </c>
      <c r="Y794" t="s">
        <v>4127</v>
      </c>
      <c r="Z794">
        <v>534.74</v>
      </c>
      <c r="AA794">
        <v>9576.2099999999991</v>
      </c>
      <c r="AB794">
        <v>5120814</v>
      </c>
      <c r="AC794" t="b">
        <v>1</v>
      </c>
      <c r="AD794" t="b">
        <v>1</v>
      </c>
      <c r="AE794" t="b">
        <v>0</v>
      </c>
      <c r="AF794" t="b">
        <v>0</v>
      </c>
      <c r="AG794" t="s">
        <v>58</v>
      </c>
      <c r="AH794">
        <v>14</v>
      </c>
      <c r="AI794" t="s">
        <v>59</v>
      </c>
      <c r="AJ794" t="s">
        <v>71</v>
      </c>
      <c r="AL794" t="s">
        <v>244</v>
      </c>
      <c r="AM794" t="s">
        <v>245</v>
      </c>
      <c r="AN794" t="s">
        <v>63</v>
      </c>
      <c r="AO794" t="s">
        <v>4128</v>
      </c>
      <c r="AP794" t="s">
        <v>4180</v>
      </c>
    </row>
    <row r="795" spans="1:42" x14ac:dyDescent="0.45">
      <c r="A795" t="s">
        <v>4118</v>
      </c>
      <c r="B795" t="s">
        <v>4119</v>
      </c>
      <c r="C795" t="s">
        <v>4120</v>
      </c>
      <c r="D795">
        <v>2025</v>
      </c>
      <c r="E795" t="s">
        <v>45</v>
      </c>
      <c r="F795" t="s">
        <v>46</v>
      </c>
      <c r="J795" t="s">
        <v>4184</v>
      </c>
      <c r="K795" t="s">
        <v>4185</v>
      </c>
      <c r="L795" t="s">
        <v>4186</v>
      </c>
      <c r="M795" t="s">
        <v>4187</v>
      </c>
      <c r="N795" t="s">
        <v>221</v>
      </c>
      <c r="O795" t="s">
        <v>222</v>
      </c>
      <c r="P795" t="s">
        <v>223</v>
      </c>
      <c r="Q795" t="s">
        <v>4125</v>
      </c>
      <c r="S795">
        <v>0</v>
      </c>
      <c r="T795" t="s">
        <v>4188</v>
      </c>
      <c r="U795">
        <v>4999</v>
      </c>
      <c r="V795">
        <v>5835.5</v>
      </c>
      <c r="W795">
        <v>0.85670000000000002</v>
      </c>
      <c r="X795" t="s">
        <v>70</v>
      </c>
      <c r="Y795" t="s">
        <v>4127</v>
      </c>
      <c r="Z795">
        <v>457.74</v>
      </c>
      <c r="AA795">
        <v>3504.01</v>
      </c>
      <c r="AB795">
        <v>1603937</v>
      </c>
      <c r="AC795" t="b">
        <v>0</v>
      </c>
      <c r="AD795" t="b">
        <v>0</v>
      </c>
      <c r="AE795" t="b">
        <v>0</v>
      </c>
      <c r="AF795" t="b">
        <v>0</v>
      </c>
      <c r="AG795" t="s">
        <v>58</v>
      </c>
      <c r="AH795">
        <v>-15</v>
      </c>
      <c r="AI795" t="s">
        <v>59</v>
      </c>
      <c r="AJ795" t="s">
        <v>60</v>
      </c>
      <c r="AK795" t="s">
        <v>426</v>
      </c>
      <c r="AL795" t="s">
        <v>427</v>
      </c>
      <c r="AM795" t="s">
        <v>245</v>
      </c>
      <c r="AN795" t="s">
        <v>63</v>
      </c>
      <c r="AO795" t="s">
        <v>4128</v>
      </c>
      <c r="AP795" t="s">
        <v>4185</v>
      </c>
    </row>
    <row r="796" spans="1:42" x14ac:dyDescent="0.45">
      <c r="A796" t="s">
        <v>4118</v>
      </c>
      <c r="B796" t="s">
        <v>4119</v>
      </c>
      <c r="C796" t="s">
        <v>4120</v>
      </c>
      <c r="D796">
        <v>2025</v>
      </c>
      <c r="E796" t="s">
        <v>45</v>
      </c>
      <c r="F796" t="s">
        <v>46</v>
      </c>
      <c r="G796">
        <v>3</v>
      </c>
      <c r="J796" t="s">
        <v>217</v>
      </c>
      <c r="K796" t="s">
        <v>4189</v>
      </c>
      <c r="L796" t="s">
        <v>219</v>
      </c>
      <c r="M796" t="s">
        <v>220</v>
      </c>
      <c r="N796" t="s">
        <v>221</v>
      </c>
      <c r="O796" t="s">
        <v>222</v>
      </c>
      <c r="P796" t="s">
        <v>223</v>
      </c>
      <c r="Q796" t="s">
        <v>4125</v>
      </c>
      <c r="S796">
        <v>1</v>
      </c>
      <c r="T796" t="s">
        <v>224</v>
      </c>
      <c r="U796">
        <v>6389</v>
      </c>
      <c r="V796">
        <v>5835.5</v>
      </c>
      <c r="W796">
        <v>1.0949</v>
      </c>
      <c r="X796" t="s">
        <v>70</v>
      </c>
      <c r="Y796" t="s">
        <v>4127</v>
      </c>
      <c r="Z796">
        <v>51.77</v>
      </c>
      <c r="AA796">
        <v>45954.1</v>
      </c>
      <c r="AB796">
        <v>2379100</v>
      </c>
      <c r="AC796" t="b">
        <v>0</v>
      </c>
      <c r="AD796" t="b">
        <v>0</v>
      </c>
      <c r="AE796" t="b">
        <v>0</v>
      </c>
      <c r="AF796" t="b">
        <v>0</v>
      </c>
      <c r="AG796" t="s">
        <v>58</v>
      </c>
      <c r="AH796">
        <v>10</v>
      </c>
      <c r="AI796" t="s">
        <v>59</v>
      </c>
      <c r="AJ796" t="s">
        <v>60</v>
      </c>
      <c r="AL796" t="s">
        <v>281</v>
      </c>
      <c r="AM796" t="s">
        <v>245</v>
      </c>
      <c r="AN796" t="s">
        <v>63</v>
      </c>
      <c r="AO796" t="s">
        <v>4128</v>
      </c>
      <c r="AP796" t="s">
        <v>4189</v>
      </c>
    </row>
    <row r="797" spans="1:42" x14ac:dyDescent="0.45">
      <c r="A797" t="s">
        <v>4190</v>
      </c>
      <c r="B797" t="s">
        <v>4191</v>
      </c>
      <c r="C797" t="s">
        <v>4192</v>
      </c>
      <c r="D797">
        <v>2024</v>
      </c>
      <c r="E797" t="s">
        <v>45</v>
      </c>
      <c r="F797" t="s">
        <v>46</v>
      </c>
      <c r="J797" t="s">
        <v>4193</v>
      </c>
      <c r="K797" t="s">
        <v>4194</v>
      </c>
      <c r="L797" t="s">
        <v>4195</v>
      </c>
      <c r="M797" t="s">
        <v>4196</v>
      </c>
      <c r="N797" t="s">
        <v>2829</v>
      </c>
      <c r="O797" t="s">
        <v>2830</v>
      </c>
      <c r="P797" t="s">
        <v>2027</v>
      </c>
      <c r="Q797" t="s">
        <v>4197</v>
      </c>
      <c r="S797">
        <v>0</v>
      </c>
      <c r="T797" t="s">
        <v>4198</v>
      </c>
      <c r="U797">
        <v>240</v>
      </c>
      <c r="Y797" t="s">
        <v>4199</v>
      </c>
      <c r="Z797">
        <v>582.11</v>
      </c>
      <c r="AA797">
        <v>3.97</v>
      </c>
      <c r="AB797">
        <v>2309</v>
      </c>
      <c r="AC797" t="b">
        <v>0</v>
      </c>
      <c r="AD797" t="b">
        <v>0</v>
      </c>
      <c r="AE797" t="b">
        <v>0</v>
      </c>
      <c r="AF797" t="b">
        <v>0</v>
      </c>
      <c r="AG797" t="s">
        <v>58</v>
      </c>
      <c r="AH797">
        <v>8</v>
      </c>
      <c r="AI797" t="s">
        <v>169</v>
      </c>
      <c r="AJ797" t="s">
        <v>60</v>
      </c>
      <c r="AL797" t="s">
        <v>380</v>
      </c>
      <c r="AM797" t="s">
        <v>245</v>
      </c>
      <c r="AN797" t="s">
        <v>63</v>
      </c>
      <c r="AO797" t="s">
        <v>4200</v>
      </c>
      <c r="AP797" t="s">
        <v>4194</v>
      </c>
    </row>
    <row r="798" spans="1:42" x14ac:dyDescent="0.45">
      <c r="A798" t="s">
        <v>4190</v>
      </c>
      <c r="B798" t="s">
        <v>4191</v>
      </c>
      <c r="C798" t="s">
        <v>4192</v>
      </c>
      <c r="D798">
        <v>2024</v>
      </c>
      <c r="E798" t="s">
        <v>45</v>
      </c>
      <c r="F798" t="s">
        <v>46</v>
      </c>
      <c r="J798" t="s">
        <v>4201</v>
      </c>
      <c r="K798" t="s">
        <v>4202</v>
      </c>
      <c r="L798" t="s">
        <v>4203</v>
      </c>
      <c r="M798" t="s">
        <v>4204</v>
      </c>
      <c r="N798" t="s">
        <v>2829</v>
      </c>
      <c r="O798" t="s">
        <v>2830</v>
      </c>
      <c r="P798" t="s">
        <v>2027</v>
      </c>
      <c r="Q798" t="s">
        <v>4197</v>
      </c>
      <c r="S798">
        <v>15</v>
      </c>
      <c r="T798" t="s">
        <v>4205</v>
      </c>
      <c r="U798">
        <v>270</v>
      </c>
      <c r="Y798" t="s">
        <v>4199</v>
      </c>
      <c r="Z798">
        <v>604.12</v>
      </c>
      <c r="AA798">
        <v>3.12</v>
      </c>
      <c r="AB798">
        <v>1882</v>
      </c>
      <c r="AC798" t="b">
        <v>0</v>
      </c>
      <c r="AD798" t="b">
        <v>0</v>
      </c>
      <c r="AE798" t="b">
        <v>0</v>
      </c>
      <c r="AF798" t="b">
        <v>0</v>
      </c>
      <c r="AG798" t="s">
        <v>58</v>
      </c>
      <c r="AH798">
        <v>8</v>
      </c>
      <c r="AI798" t="s">
        <v>169</v>
      </c>
      <c r="AJ798" t="s">
        <v>60</v>
      </c>
      <c r="AL798" t="s">
        <v>380</v>
      </c>
      <c r="AM798" t="s">
        <v>245</v>
      </c>
      <c r="AN798" t="s">
        <v>63</v>
      </c>
      <c r="AO798" t="s">
        <v>4200</v>
      </c>
      <c r="AP798" t="s">
        <v>4202</v>
      </c>
    </row>
    <row r="799" spans="1:42" x14ac:dyDescent="0.45">
      <c r="A799" t="s">
        <v>4190</v>
      </c>
      <c r="B799" t="s">
        <v>4191</v>
      </c>
      <c r="C799" t="s">
        <v>4192</v>
      </c>
      <c r="D799">
        <v>2024</v>
      </c>
      <c r="E799" t="s">
        <v>45</v>
      </c>
      <c r="F799" t="s">
        <v>46</v>
      </c>
      <c r="J799" t="s">
        <v>4206</v>
      </c>
      <c r="K799" t="s">
        <v>4207</v>
      </c>
      <c r="L799" t="s">
        <v>4208</v>
      </c>
      <c r="M799" t="s">
        <v>4209</v>
      </c>
      <c r="N799" t="s">
        <v>2829</v>
      </c>
      <c r="O799" t="s">
        <v>2830</v>
      </c>
      <c r="P799" t="s">
        <v>2027</v>
      </c>
      <c r="Q799" t="s">
        <v>4197</v>
      </c>
      <c r="S799">
        <v>1</v>
      </c>
      <c r="T799" t="s">
        <v>4210</v>
      </c>
      <c r="U799">
        <v>197</v>
      </c>
      <c r="Y799" t="s">
        <v>4199</v>
      </c>
      <c r="Z799">
        <v>582.73</v>
      </c>
      <c r="AA799">
        <v>2.94</v>
      </c>
      <c r="AB799">
        <v>1712</v>
      </c>
      <c r="AC799" t="b">
        <v>0</v>
      </c>
      <c r="AD799" t="b">
        <v>0</v>
      </c>
      <c r="AE799" t="b">
        <v>0</v>
      </c>
      <c r="AF799" t="b">
        <v>0</v>
      </c>
      <c r="AG799" t="s">
        <v>58</v>
      </c>
      <c r="AH799">
        <v>8</v>
      </c>
      <c r="AI799" t="s">
        <v>169</v>
      </c>
      <c r="AJ799" t="s">
        <v>60</v>
      </c>
      <c r="AL799" t="s">
        <v>380</v>
      </c>
      <c r="AM799" t="s">
        <v>245</v>
      </c>
      <c r="AN799" t="s">
        <v>63</v>
      </c>
      <c r="AO799" t="s">
        <v>4200</v>
      </c>
      <c r="AP799" t="s">
        <v>4207</v>
      </c>
    </row>
    <row r="800" spans="1:42" x14ac:dyDescent="0.45">
      <c r="A800" t="s">
        <v>4190</v>
      </c>
      <c r="B800" t="s">
        <v>4191</v>
      </c>
      <c r="C800" t="s">
        <v>4192</v>
      </c>
      <c r="D800">
        <v>2024</v>
      </c>
      <c r="E800" t="s">
        <v>45</v>
      </c>
      <c r="F800" t="s">
        <v>46</v>
      </c>
      <c r="J800" t="s">
        <v>4211</v>
      </c>
      <c r="K800" t="s">
        <v>4212</v>
      </c>
      <c r="L800" t="s">
        <v>4213</v>
      </c>
      <c r="M800" t="s">
        <v>4214</v>
      </c>
      <c r="N800" t="s">
        <v>2829</v>
      </c>
      <c r="O800" t="s">
        <v>2830</v>
      </c>
      <c r="P800" t="s">
        <v>2027</v>
      </c>
      <c r="Q800" t="s">
        <v>4197</v>
      </c>
      <c r="S800">
        <v>14</v>
      </c>
      <c r="T800" t="s">
        <v>4215</v>
      </c>
      <c r="U800">
        <v>332</v>
      </c>
      <c r="Y800" t="s">
        <v>4199</v>
      </c>
      <c r="Z800">
        <v>603.13</v>
      </c>
      <c r="AA800">
        <v>1.86</v>
      </c>
      <c r="AB800">
        <v>1121</v>
      </c>
      <c r="AC800" t="b">
        <v>0</v>
      </c>
      <c r="AD800" t="b">
        <v>0</v>
      </c>
      <c r="AE800" t="b">
        <v>0</v>
      </c>
      <c r="AF800" t="b">
        <v>0</v>
      </c>
      <c r="AG800" t="s">
        <v>58</v>
      </c>
      <c r="AH800">
        <v>8</v>
      </c>
      <c r="AI800" t="s">
        <v>169</v>
      </c>
      <c r="AJ800" t="s">
        <v>60</v>
      </c>
      <c r="AL800" t="s">
        <v>380</v>
      </c>
      <c r="AM800" t="s">
        <v>245</v>
      </c>
      <c r="AN800" t="s">
        <v>63</v>
      </c>
      <c r="AO800" t="s">
        <v>4200</v>
      </c>
      <c r="AP800" t="s">
        <v>4212</v>
      </c>
    </row>
    <row r="801" spans="1:42" x14ac:dyDescent="0.45">
      <c r="A801" t="s">
        <v>4190</v>
      </c>
      <c r="B801" t="s">
        <v>4191</v>
      </c>
      <c r="C801" t="s">
        <v>4192</v>
      </c>
      <c r="D801">
        <v>2024</v>
      </c>
      <c r="E801" t="s">
        <v>45</v>
      </c>
      <c r="F801" t="s">
        <v>46</v>
      </c>
      <c r="J801" t="s">
        <v>4216</v>
      </c>
      <c r="K801" t="s">
        <v>4217</v>
      </c>
      <c r="L801" t="s">
        <v>4218</v>
      </c>
      <c r="M801" t="s">
        <v>4219</v>
      </c>
      <c r="N801" t="s">
        <v>2829</v>
      </c>
      <c r="O801" t="s">
        <v>2830</v>
      </c>
      <c r="P801" t="s">
        <v>2027</v>
      </c>
      <c r="Q801" t="s">
        <v>4197</v>
      </c>
      <c r="S801">
        <v>12</v>
      </c>
      <c r="T801" t="s">
        <v>4220</v>
      </c>
      <c r="U801">
        <v>532</v>
      </c>
      <c r="Y801" t="s">
        <v>4199</v>
      </c>
      <c r="Z801">
        <v>601.77</v>
      </c>
      <c r="AA801">
        <v>0.94</v>
      </c>
      <c r="AB801">
        <v>568</v>
      </c>
      <c r="AC801" t="b">
        <v>0</v>
      </c>
      <c r="AD801" t="b">
        <v>0</v>
      </c>
      <c r="AE801" t="b">
        <v>0</v>
      </c>
      <c r="AF801" t="b">
        <v>0</v>
      </c>
      <c r="AG801" t="s">
        <v>58</v>
      </c>
      <c r="AH801">
        <v>8</v>
      </c>
      <c r="AI801" t="s">
        <v>169</v>
      </c>
      <c r="AJ801" t="s">
        <v>60</v>
      </c>
      <c r="AL801" t="s">
        <v>380</v>
      </c>
      <c r="AM801" t="s">
        <v>245</v>
      </c>
      <c r="AN801" t="s">
        <v>63</v>
      </c>
      <c r="AO801" t="s">
        <v>4200</v>
      </c>
      <c r="AP801" t="s">
        <v>4217</v>
      </c>
    </row>
    <row r="802" spans="1:42" x14ac:dyDescent="0.45">
      <c r="A802" t="s">
        <v>4190</v>
      </c>
      <c r="B802" t="s">
        <v>4191</v>
      </c>
      <c r="C802" t="s">
        <v>4192</v>
      </c>
      <c r="D802">
        <v>2024</v>
      </c>
      <c r="E802" t="s">
        <v>45</v>
      </c>
      <c r="F802" t="s">
        <v>46</v>
      </c>
      <c r="J802" t="s">
        <v>4221</v>
      </c>
      <c r="K802" t="s">
        <v>4222</v>
      </c>
      <c r="L802" t="s">
        <v>4223</v>
      </c>
      <c r="M802" t="s">
        <v>4224</v>
      </c>
      <c r="N802" t="s">
        <v>2829</v>
      </c>
      <c r="O802" t="s">
        <v>2830</v>
      </c>
      <c r="P802" t="s">
        <v>2027</v>
      </c>
      <c r="Q802" t="s">
        <v>4197</v>
      </c>
      <c r="S802">
        <v>16</v>
      </c>
      <c r="T802" t="s">
        <v>4225</v>
      </c>
      <c r="U802">
        <v>286</v>
      </c>
      <c r="Y802" t="s">
        <v>4199</v>
      </c>
      <c r="Z802">
        <v>605.12</v>
      </c>
      <c r="AA802">
        <v>1.67</v>
      </c>
      <c r="AB802">
        <v>1009</v>
      </c>
      <c r="AC802" t="b">
        <v>0</v>
      </c>
      <c r="AD802" t="b">
        <v>0</v>
      </c>
      <c r="AE802" t="b">
        <v>0</v>
      </c>
      <c r="AF802" t="b">
        <v>0</v>
      </c>
      <c r="AG802" t="s">
        <v>58</v>
      </c>
      <c r="AH802">
        <v>8</v>
      </c>
      <c r="AI802" t="s">
        <v>169</v>
      </c>
      <c r="AJ802" t="s">
        <v>60</v>
      </c>
      <c r="AL802" t="s">
        <v>380</v>
      </c>
      <c r="AM802" t="s">
        <v>245</v>
      </c>
      <c r="AN802" t="s">
        <v>63</v>
      </c>
      <c r="AO802" t="s">
        <v>4200</v>
      </c>
      <c r="AP802" t="s">
        <v>4222</v>
      </c>
    </row>
    <row r="803" spans="1:42" x14ac:dyDescent="0.45">
      <c r="A803" t="s">
        <v>4190</v>
      </c>
      <c r="B803" t="s">
        <v>4191</v>
      </c>
      <c r="C803" t="s">
        <v>4192</v>
      </c>
      <c r="D803">
        <v>2024</v>
      </c>
      <c r="E803" t="s">
        <v>45</v>
      </c>
      <c r="F803" t="s">
        <v>46</v>
      </c>
      <c r="J803" t="s">
        <v>4226</v>
      </c>
      <c r="K803" t="s">
        <v>4227</v>
      </c>
      <c r="L803" t="s">
        <v>4228</v>
      </c>
      <c r="M803" t="s">
        <v>4229</v>
      </c>
      <c r="N803" t="s">
        <v>2829</v>
      </c>
      <c r="O803" t="s">
        <v>2830</v>
      </c>
      <c r="P803" t="s">
        <v>2027</v>
      </c>
      <c r="Q803" t="s">
        <v>4197</v>
      </c>
      <c r="S803">
        <v>6</v>
      </c>
      <c r="T803" t="s">
        <v>4230</v>
      </c>
      <c r="U803">
        <v>289</v>
      </c>
      <c r="Y803" t="s">
        <v>4199</v>
      </c>
      <c r="Z803">
        <v>595.75</v>
      </c>
      <c r="AA803">
        <v>1.49</v>
      </c>
      <c r="AB803">
        <v>889</v>
      </c>
      <c r="AC803" t="b">
        <v>0</v>
      </c>
      <c r="AD803" t="b">
        <v>0</v>
      </c>
      <c r="AE803" t="b">
        <v>0</v>
      </c>
      <c r="AF803" t="b">
        <v>0</v>
      </c>
      <c r="AG803" t="s">
        <v>58</v>
      </c>
      <c r="AH803">
        <v>8</v>
      </c>
      <c r="AI803" t="s">
        <v>169</v>
      </c>
      <c r="AJ803" t="s">
        <v>60</v>
      </c>
      <c r="AL803" t="s">
        <v>380</v>
      </c>
      <c r="AM803" t="s">
        <v>245</v>
      </c>
      <c r="AN803" t="s">
        <v>63</v>
      </c>
      <c r="AO803" t="s">
        <v>4200</v>
      </c>
      <c r="AP803" t="s">
        <v>4227</v>
      </c>
    </row>
    <row r="804" spans="1:42" x14ac:dyDescent="0.45">
      <c r="A804" t="s">
        <v>4190</v>
      </c>
      <c r="B804" t="s">
        <v>4191</v>
      </c>
      <c r="C804" t="s">
        <v>4192</v>
      </c>
      <c r="D804">
        <v>2024</v>
      </c>
      <c r="E804" t="s">
        <v>45</v>
      </c>
      <c r="F804" t="s">
        <v>46</v>
      </c>
      <c r="J804" t="s">
        <v>4231</v>
      </c>
      <c r="K804" t="s">
        <v>4232</v>
      </c>
      <c r="L804" t="s">
        <v>4233</v>
      </c>
      <c r="M804" t="s">
        <v>4234</v>
      </c>
      <c r="N804" t="s">
        <v>2829</v>
      </c>
      <c r="O804" t="s">
        <v>2830</v>
      </c>
      <c r="P804" t="s">
        <v>2027</v>
      </c>
      <c r="Q804" t="s">
        <v>4197</v>
      </c>
      <c r="S804">
        <v>5</v>
      </c>
      <c r="T804" t="s">
        <v>4235</v>
      </c>
      <c r="U804">
        <v>581</v>
      </c>
      <c r="Y804" t="s">
        <v>4199</v>
      </c>
      <c r="Z804">
        <v>594.75</v>
      </c>
      <c r="AA804">
        <v>2.52</v>
      </c>
      <c r="AB804">
        <v>1500</v>
      </c>
      <c r="AC804" t="b">
        <v>0</v>
      </c>
      <c r="AD804" t="b">
        <v>0</v>
      </c>
      <c r="AE804" t="b">
        <v>0</v>
      </c>
      <c r="AF804" t="b">
        <v>0</v>
      </c>
      <c r="AG804" t="s">
        <v>58</v>
      </c>
      <c r="AH804">
        <v>8</v>
      </c>
      <c r="AI804" t="s">
        <v>169</v>
      </c>
      <c r="AJ804" t="s">
        <v>60</v>
      </c>
      <c r="AL804" t="s">
        <v>380</v>
      </c>
      <c r="AM804" t="s">
        <v>245</v>
      </c>
      <c r="AN804" t="s">
        <v>63</v>
      </c>
      <c r="AO804" t="s">
        <v>4200</v>
      </c>
      <c r="AP804" t="s">
        <v>4232</v>
      </c>
    </row>
    <row r="805" spans="1:42" x14ac:dyDescent="0.45">
      <c r="A805" t="s">
        <v>4190</v>
      </c>
      <c r="B805" t="s">
        <v>4191</v>
      </c>
      <c r="C805" t="s">
        <v>4192</v>
      </c>
      <c r="D805">
        <v>2024</v>
      </c>
      <c r="E805" t="s">
        <v>45</v>
      </c>
      <c r="F805" t="s">
        <v>46</v>
      </c>
      <c r="J805" t="s">
        <v>4236</v>
      </c>
      <c r="K805" t="s">
        <v>4237</v>
      </c>
      <c r="L805" t="s">
        <v>4238</v>
      </c>
      <c r="M805" t="s">
        <v>4239</v>
      </c>
      <c r="N805" t="s">
        <v>2829</v>
      </c>
      <c r="O805" t="s">
        <v>2830</v>
      </c>
      <c r="P805" t="s">
        <v>2027</v>
      </c>
      <c r="Q805" t="s">
        <v>4197</v>
      </c>
      <c r="S805">
        <v>22</v>
      </c>
      <c r="T805" t="s">
        <v>4240</v>
      </c>
      <c r="U805">
        <v>198</v>
      </c>
      <c r="Y805" t="s">
        <v>4199</v>
      </c>
      <c r="Z805">
        <v>613.13</v>
      </c>
      <c r="AA805">
        <v>2.31</v>
      </c>
      <c r="AB805">
        <v>1416</v>
      </c>
      <c r="AC805" t="b">
        <v>0</v>
      </c>
      <c r="AD805" t="b">
        <v>0</v>
      </c>
      <c r="AE805" t="b">
        <v>0</v>
      </c>
      <c r="AF805" t="b">
        <v>0</v>
      </c>
      <c r="AG805" t="s">
        <v>58</v>
      </c>
      <c r="AH805">
        <v>8</v>
      </c>
      <c r="AI805" t="s">
        <v>169</v>
      </c>
      <c r="AJ805" t="s">
        <v>60</v>
      </c>
      <c r="AL805" t="s">
        <v>380</v>
      </c>
      <c r="AM805" t="s">
        <v>245</v>
      </c>
      <c r="AN805" t="s">
        <v>63</v>
      </c>
      <c r="AO805" t="s">
        <v>4200</v>
      </c>
      <c r="AP805" t="s">
        <v>4237</v>
      </c>
    </row>
    <row r="806" spans="1:42" x14ac:dyDescent="0.45">
      <c r="A806" t="s">
        <v>4190</v>
      </c>
      <c r="B806" t="s">
        <v>4191</v>
      </c>
      <c r="C806" t="s">
        <v>4192</v>
      </c>
      <c r="D806">
        <v>2024</v>
      </c>
      <c r="E806" t="s">
        <v>45</v>
      </c>
      <c r="F806" t="s">
        <v>46</v>
      </c>
      <c r="J806" t="s">
        <v>4241</v>
      </c>
      <c r="K806" t="s">
        <v>4242</v>
      </c>
      <c r="L806" t="s">
        <v>4243</v>
      </c>
      <c r="M806" t="s">
        <v>4244</v>
      </c>
      <c r="N806" t="s">
        <v>2829</v>
      </c>
      <c r="O806" t="s">
        <v>2830</v>
      </c>
      <c r="P806" t="s">
        <v>2027</v>
      </c>
      <c r="Q806" t="s">
        <v>4197</v>
      </c>
      <c r="S806">
        <v>21</v>
      </c>
      <c r="T806" t="s">
        <v>4245</v>
      </c>
      <c r="U806">
        <v>142</v>
      </c>
      <c r="Y806" t="s">
        <v>4199</v>
      </c>
      <c r="Z806">
        <v>611.77</v>
      </c>
      <c r="AA806">
        <v>0.98</v>
      </c>
      <c r="AB806">
        <v>598</v>
      </c>
      <c r="AC806" t="b">
        <v>0</v>
      </c>
      <c r="AD806" t="b">
        <v>0</v>
      </c>
      <c r="AE806" t="b">
        <v>0</v>
      </c>
      <c r="AF806" t="b">
        <v>0</v>
      </c>
      <c r="AG806" t="s">
        <v>58</v>
      </c>
      <c r="AH806">
        <v>8</v>
      </c>
      <c r="AI806" t="s">
        <v>169</v>
      </c>
      <c r="AJ806" t="s">
        <v>60</v>
      </c>
      <c r="AL806" t="s">
        <v>380</v>
      </c>
      <c r="AM806" t="s">
        <v>245</v>
      </c>
      <c r="AN806" t="s">
        <v>63</v>
      </c>
      <c r="AO806" t="s">
        <v>4200</v>
      </c>
      <c r="AP806" t="s">
        <v>4242</v>
      </c>
    </row>
    <row r="807" spans="1:42" x14ac:dyDescent="0.45">
      <c r="A807" t="s">
        <v>4190</v>
      </c>
      <c r="B807" t="s">
        <v>4191</v>
      </c>
      <c r="C807" t="s">
        <v>4192</v>
      </c>
      <c r="D807">
        <v>2024</v>
      </c>
      <c r="E807" t="s">
        <v>45</v>
      </c>
      <c r="F807" t="s">
        <v>46</v>
      </c>
      <c r="J807" t="s">
        <v>4246</v>
      </c>
      <c r="K807" t="s">
        <v>4247</v>
      </c>
      <c r="L807" t="s">
        <v>4248</v>
      </c>
      <c r="M807" t="s">
        <v>4249</v>
      </c>
      <c r="N807" t="s">
        <v>2829</v>
      </c>
      <c r="O807" t="s">
        <v>2830</v>
      </c>
      <c r="P807" t="s">
        <v>2027</v>
      </c>
      <c r="Q807" t="s">
        <v>4197</v>
      </c>
      <c r="S807">
        <v>18</v>
      </c>
      <c r="T807" t="s">
        <v>4250</v>
      </c>
      <c r="U807">
        <v>267</v>
      </c>
      <c r="Y807" t="s">
        <v>4199</v>
      </c>
      <c r="Z807">
        <v>610.11</v>
      </c>
      <c r="AA807">
        <v>1.59</v>
      </c>
      <c r="AB807">
        <v>971</v>
      </c>
      <c r="AC807" t="b">
        <v>0</v>
      </c>
      <c r="AD807" t="b">
        <v>0</v>
      </c>
      <c r="AE807" t="b">
        <v>0</v>
      </c>
      <c r="AF807" t="b">
        <v>0</v>
      </c>
      <c r="AG807" t="s">
        <v>58</v>
      </c>
      <c r="AH807">
        <v>4</v>
      </c>
      <c r="AI807" t="s">
        <v>59</v>
      </c>
      <c r="AJ807" t="s">
        <v>60</v>
      </c>
      <c r="AL807" t="s">
        <v>476</v>
      </c>
      <c r="AM807" t="s">
        <v>245</v>
      </c>
      <c r="AN807" t="s">
        <v>63</v>
      </c>
      <c r="AO807" t="s">
        <v>4200</v>
      </c>
      <c r="AP807" t="s">
        <v>4247</v>
      </c>
    </row>
    <row r="808" spans="1:42" x14ac:dyDescent="0.45">
      <c r="A808" t="s">
        <v>4190</v>
      </c>
      <c r="B808" t="s">
        <v>4191</v>
      </c>
      <c r="C808" t="s">
        <v>4192</v>
      </c>
      <c r="D808">
        <v>2024</v>
      </c>
      <c r="E808" t="s">
        <v>45</v>
      </c>
      <c r="F808" t="s">
        <v>46</v>
      </c>
      <c r="J808" t="s">
        <v>4251</v>
      </c>
      <c r="K808" t="s">
        <v>4252</v>
      </c>
      <c r="L808" t="s">
        <v>4253</v>
      </c>
      <c r="M808" t="s">
        <v>4254</v>
      </c>
      <c r="N808" t="s">
        <v>2829</v>
      </c>
      <c r="O808" t="s">
        <v>2830</v>
      </c>
      <c r="P808" t="s">
        <v>2027</v>
      </c>
      <c r="Q808" t="s">
        <v>4197</v>
      </c>
      <c r="S808">
        <v>7</v>
      </c>
      <c r="T808" t="s">
        <v>4255</v>
      </c>
      <c r="U808">
        <v>285</v>
      </c>
      <c r="Y808" t="s">
        <v>4199</v>
      </c>
      <c r="Z808">
        <v>596.13</v>
      </c>
      <c r="AA808">
        <v>2.1800000000000002</v>
      </c>
      <c r="AB808">
        <v>1302</v>
      </c>
      <c r="AC808" t="b">
        <v>0</v>
      </c>
      <c r="AD808" t="b">
        <v>0</v>
      </c>
      <c r="AE808" t="b">
        <v>0</v>
      </c>
      <c r="AF808" t="b">
        <v>0</v>
      </c>
      <c r="AG808" t="s">
        <v>58</v>
      </c>
      <c r="AH808">
        <v>4</v>
      </c>
      <c r="AI808" t="s">
        <v>59</v>
      </c>
      <c r="AJ808" t="s">
        <v>60</v>
      </c>
      <c r="AL808" t="s">
        <v>476</v>
      </c>
      <c r="AM808" t="s">
        <v>245</v>
      </c>
      <c r="AN808" t="s">
        <v>63</v>
      </c>
      <c r="AO808" t="s">
        <v>4200</v>
      </c>
      <c r="AP808" t="s">
        <v>4252</v>
      </c>
    </row>
    <row r="809" spans="1:42" x14ac:dyDescent="0.45">
      <c r="A809" t="s">
        <v>4190</v>
      </c>
      <c r="B809" t="s">
        <v>4191</v>
      </c>
      <c r="C809" t="s">
        <v>4192</v>
      </c>
      <c r="D809">
        <v>2024</v>
      </c>
      <c r="E809" t="s">
        <v>45</v>
      </c>
      <c r="F809" t="s">
        <v>46</v>
      </c>
      <c r="J809" t="s">
        <v>4256</v>
      </c>
      <c r="K809" t="s">
        <v>4257</v>
      </c>
      <c r="L809" t="s">
        <v>4258</v>
      </c>
      <c r="M809" t="s">
        <v>4259</v>
      </c>
      <c r="N809" t="s">
        <v>2829</v>
      </c>
      <c r="O809" t="s">
        <v>2830</v>
      </c>
      <c r="P809" t="s">
        <v>2027</v>
      </c>
      <c r="Q809" t="s">
        <v>4197</v>
      </c>
      <c r="S809">
        <v>20</v>
      </c>
      <c r="T809" t="s">
        <v>4260</v>
      </c>
      <c r="U809">
        <v>794</v>
      </c>
      <c r="Y809" t="s">
        <v>4199</v>
      </c>
      <c r="Z809">
        <v>611.75</v>
      </c>
      <c r="AA809">
        <v>3.91</v>
      </c>
      <c r="AB809">
        <v>2392</v>
      </c>
      <c r="AC809" t="b">
        <v>0</v>
      </c>
      <c r="AD809" t="b">
        <v>0</v>
      </c>
      <c r="AE809" t="b">
        <v>0</v>
      </c>
      <c r="AF809" t="b">
        <v>0</v>
      </c>
      <c r="AG809" t="s">
        <v>58</v>
      </c>
      <c r="AH809">
        <v>8</v>
      </c>
      <c r="AI809" t="s">
        <v>169</v>
      </c>
      <c r="AJ809" t="s">
        <v>60</v>
      </c>
      <c r="AL809" t="s">
        <v>380</v>
      </c>
      <c r="AM809" t="s">
        <v>245</v>
      </c>
      <c r="AN809" t="s">
        <v>63</v>
      </c>
      <c r="AO809" t="s">
        <v>4200</v>
      </c>
      <c r="AP809" t="s">
        <v>4257</v>
      </c>
    </row>
    <row r="810" spans="1:42" x14ac:dyDescent="0.45">
      <c r="A810" t="s">
        <v>4190</v>
      </c>
      <c r="B810" t="s">
        <v>4191</v>
      </c>
      <c r="C810" t="s">
        <v>4192</v>
      </c>
      <c r="D810">
        <v>2024</v>
      </c>
      <c r="E810" t="s">
        <v>45</v>
      </c>
      <c r="F810" t="s">
        <v>46</v>
      </c>
      <c r="J810" t="s">
        <v>4261</v>
      </c>
      <c r="K810" t="s">
        <v>4262</v>
      </c>
      <c r="L810" t="s">
        <v>4263</v>
      </c>
      <c r="M810" t="s">
        <v>4264</v>
      </c>
      <c r="N810" t="s">
        <v>2829</v>
      </c>
      <c r="O810" t="s">
        <v>2830</v>
      </c>
      <c r="P810" t="s">
        <v>2027</v>
      </c>
      <c r="Q810" t="s">
        <v>4197</v>
      </c>
      <c r="S810">
        <v>23</v>
      </c>
      <c r="T810" t="s">
        <v>4265</v>
      </c>
      <c r="U810">
        <v>293</v>
      </c>
      <c r="Y810" t="s">
        <v>4199</v>
      </c>
      <c r="Z810">
        <v>613.75</v>
      </c>
      <c r="AA810">
        <v>1.62</v>
      </c>
      <c r="AB810">
        <v>992</v>
      </c>
      <c r="AC810" t="b">
        <v>0</v>
      </c>
      <c r="AD810" t="b">
        <v>0</v>
      </c>
      <c r="AE810" t="b">
        <v>0</v>
      </c>
      <c r="AF810" t="b">
        <v>0</v>
      </c>
      <c r="AG810" t="s">
        <v>58</v>
      </c>
      <c r="AH810">
        <v>8</v>
      </c>
      <c r="AI810" t="s">
        <v>169</v>
      </c>
      <c r="AJ810" t="s">
        <v>60</v>
      </c>
      <c r="AL810" t="s">
        <v>380</v>
      </c>
      <c r="AM810" t="s">
        <v>245</v>
      </c>
      <c r="AN810" t="s">
        <v>63</v>
      </c>
      <c r="AO810" t="s">
        <v>4200</v>
      </c>
      <c r="AP810" t="s">
        <v>4262</v>
      </c>
    </row>
    <row r="811" spans="1:42" x14ac:dyDescent="0.45">
      <c r="A811" t="s">
        <v>4190</v>
      </c>
      <c r="B811" t="s">
        <v>4191</v>
      </c>
      <c r="C811" t="s">
        <v>4192</v>
      </c>
      <c r="D811">
        <v>2024</v>
      </c>
      <c r="E811" t="s">
        <v>45</v>
      </c>
      <c r="F811" t="s">
        <v>46</v>
      </c>
      <c r="J811" t="s">
        <v>4266</v>
      </c>
      <c r="K811" t="s">
        <v>4267</v>
      </c>
      <c r="L811" t="s">
        <v>4268</v>
      </c>
      <c r="M811" t="s">
        <v>4269</v>
      </c>
      <c r="N811" t="s">
        <v>2829</v>
      </c>
      <c r="O811" t="s">
        <v>2830</v>
      </c>
      <c r="P811" t="s">
        <v>2027</v>
      </c>
      <c r="Q811" t="s">
        <v>4197</v>
      </c>
      <c r="S811">
        <v>8</v>
      </c>
      <c r="T811" t="s">
        <v>4270</v>
      </c>
      <c r="U811">
        <v>350</v>
      </c>
      <c r="Y811" t="s">
        <v>4199</v>
      </c>
      <c r="Z811">
        <v>596.76</v>
      </c>
      <c r="AA811">
        <v>14.1</v>
      </c>
      <c r="AB811">
        <v>8416</v>
      </c>
      <c r="AC811" t="b">
        <v>0</v>
      </c>
      <c r="AD811" t="b">
        <v>0</v>
      </c>
      <c r="AE811" t="b">
        <v>0</v>
      </c>
      <c r="AF811" t="b">
        <v>0</v>
      </c>
      <c r="AG811" t="s">
        <v>58</v>
      </c>
      <c r="AH811">
        <v>4</v>
      </c>
      <c r="AI811" t="s">
        <v>59</v>
      </c>
      <c r="AJ811" t="s">
        <v>60</v>
      </c>
      <c r="AL811" t="s">
        <v>476</v>
      </c>
      <c r="AM811" t="s">
        <v>245</v>
      </c>
      <c r="AN811" t="s">
        <v>63</v>
      </c>
      <c r="AO811" t="s">
        <v>4200</v>
      </c>
      <c r="AP811" t="s">
        <v>4267</v>
      </c>
    </row>
    <row r="812" spans="1:42" x14ac:dyDescent="0.45">
      <c r="A812" t="s">
        <v>4190</v>
      </c>
      <c r="B812" t="s">
        <v>4191</v>
      </c>
      <c r="C812" t="s">
        <v>4192</v>
      </c>
      <c r="D812">
        <v>2024</v>
      </c>
      <c r="E812" t="s">
        <v>45</v>
      </c>
      <c r="F812" t="s">
        <v>46</v>
      </c>
      <c r="J812" t="s">
        <v>4271</v>
      </c>
      <c r="K812" t="s">
        <v>4272</v>
      </c>
      <c r="L812" t="s">
        <v>4273</v>
      </c>
      <c r="M812" t="s">
        <v>4274</v>
      </c>
      <c r="N812" t="s">
        <v>2829</v>
      </c>
      <c r="O812" t="s">
        <v>2830</v>
      </c>
      <c r="P812" t="s">
        <v>2027</v>
      </c>
      <c r="Q812" t="s">
        <v>4197</v>
      </c>
      <c r="S812">
        <v>4</v>
      </c>
      <c r="T812" t="s">
        <v>4275</v>
      </c>
      <c r="U812">
        <v>967</v>
      </c>
      <c r="Y812" t="s">
        <v>4199</v>
      </c>
      <c r="Z812">
        <v>591.15</v>
      </c>
      <c r="AA812">
        <v>38.130000000000003</v>
      </c>
      <c r="AB812">
        <v>22542</v>
      </c>
      <c r="AC812" t="b">
        <v>0</v>
      </c>
      <c r="AD812" t="b">
        <v>0</v>
      </c>
      <c r="AE812" t="b">
        <v>0</v>
      </c>
      <c r="AF812" t="b">
        <v>0</v>
      </c>
      <c r="AG812" t="s">
        <v>58</v>
      </c>
      <c r="AH812">
        <v>8</v>
      </c>
      <c r="AI812" t="s">
        <v>169</v>
      </c>
      <c r="AJ812" t="s">
        <v>60</v>
      </c>
      <c r="AL812" t="s">
        <v>380</v>
      </c>
      <c r="AM812" t="s">
        <v>245</v>
      </c>
      <c r="AN812" t="s">
        <v>63</v>
      </c>
      <c r="AO812" t="s">
        <v>4200</v>
      </c>
      <c r="AP812" t="s">
        <v>4272</v>
      </c>
    </row>
    <row r="813" spans="1:42" x14ac:dyDescent="0.45">
      <c r="A813" t="s">
        <v>4190</v>
      </c>
      <c r="B813" t="s">
        <v>4191</v>
      </c>
      <c r="C813" t="s">
        <v>4192</v>
      </c>
      <c r="D813">
        <v>2024</v>
      </c>
      <c r="E813" t="s">
        <v>45</v>
      </c>
      <c r="F813" t="s">
        <v>46</v>
      </c>
      <c r="J813" t="s">
        <v>4276</v>
      </c>
      <c r="K813" t="s">
        <v>4277</v>
      </c>
      <c r="L813" t="s">
        <v>4278</v>
      </c>
      <c r="M813" t="s">
        <v>4279</v>
      </c>
      <c r="N813" t="s">
        <v>2829</v>
      </c>
      <c r="O813" t="s">
        <v>2830</v>
      </c>
      <c r="P813" t="s">
        <v>2027</v>
      </c>
      <c r="Q813" t="s">
        <v>4197</v>
      </c>
      <c r="S813">
        <v>19</v>
      </c>
      <c r="T813" t="s">
        <v>4280</v>
      </c>
      <c r="U813">
        <v>249</v>
      </c>
      <c r="Y813" t="s">
        <v>4199</v>
      </c>
      <c r="Z813">
        <v>610.75</v>
      </c>
      <c r="AA813">
        <v>1.8</v>
      </c>
      <c r="AB813">
        <v>1101</v>
      </c>
      <c r="AC813" t="b">
        <v>0</v>
      </c>
      <c r="AD813" t="b">
        <v>0</v>
      </c>
      <c r="AE813" t="b">
        <v>0</v>
      </c>
      <c r="AF813" t="b">
        <v>0</v>
      </c>
      <c r="AG813" t="s">
        <v>58</v>
      </c>
      <c r="AH813">
        <v>8</v>
      </c>
      <c r="AI813" t="s">
        <v>169</v>
      </c>
      <c r="AJ813" t="s">
        <v>60</v>
      </c>
      <c r="AL813" t="s">
        <v>380</v>
      </c>
      <c r="AM813" t="s">
        <v>245</v>
      </c>
      <c r="AN813" t="s">
        <v>63</v>
      </c>
      <c r="AO813" t="s">
        <v>4200</v>
      </c>
      <c r="AP813" t="s">
        <v>4277</v>
      </c>
    </row>
    <row r="814" spans="1:42" x14ac:dyDescent="0.45">
      <c r="A814" t="s">
        <v>4190</v>
      </c>
      <c r="B814" t="s">
        <v>4191</v>
      </c>
      <c r="C814" t="s">
        <v>4192</v>
      </c>
      <c r="D814">
        <v>2024</v>
      </c>
      <c r="E814" t="s">
        <v>45</v>
      </c>
      <c r="F814" t="s">
        <v>46</v>
      </c>
      <c r="J814" t="s">
        <v>4281</v>
      </c>
      <c r="K814" t="s">
        <v>4282</v>
      </c>
      <c r="L814" t="s">
        <v>4283</v>
      </c>
      <c r="M814" t="s">
        <v>4284</v>
      </c>
      <c r="N814" t="s">
        <v>2829</v>
      </c>
      <c r="O814" t="s">
        <v>2830</v>
      </c>
      <c r="P814" t="s">
        <v>2027</v>
      </c>
      <c r="Q814" t="s">
        <v>4197</v>
      </c>
      <c r="S814">
        <v>28</v>
      </c>
      <c r="T814" t="s">
        <v>4285</v>
      </c>
      <c r="U814">
        <v>834</v>
      </c>
      <c r="Y814" t="s">
        <v>4199</v>
      </c>
      <c r="Z814">
        <v>617.73</v>
      </c>
      <c r="AA814">
        <v>7.32</v>
      </c>
      <c r="AB814">
        <v>4523</v>
      </c>
      <c r="AC814" t="b">
        <v>0</v>
      </c>
      <c r="AD814" t="b">
        <v>0</v>
      </c>
      <c r="AE814" t="b">
        <v>0</v>
      </c>
      <c r="AF814" t="b">
        <v>0</v>
      </c>
      <c r="AG814" t="s">
        <v>58</v>
      </c>
      <c r="AH814">
        <v>8</v>
      </c>
      <c r="AI814" t="s">
        <v>169</v>
      </c>
      <c r="AJ814" t="s">
        <v>60</v>
      </c>
      <c r="AL814" t="s">
        <v>380</v>
      </c>
      <c r="AM814" t="s">
        <v>245</v>
      </c>
      <c r="AN814" t="s">
        <v>63</v>
      </c>
      <c r="AO814" t="s">
        <v>4200</v>
      </c>
      <c r="AP814" t="s">
        <v>4282</v>
      </c>
    </row>
    <row r="815" spans="1:42" x14ac:dyDescent="0.45">
      <c r="A815" t="s">
        <v>4190</v>
      </c>
      <c r="B815" t="s">
        <v>4191</v>
      </c>
      <c r="C815" t="s">
        <v>4192</v>
      </c>
      <c r="D815">
        <v>2024</v>
      </c>
      <c r="E815" t="s">
        <v>45</v>
      </c>
      <c r="F815" t="s">
        <v>46</v>
      </c>
      <c r="J815" t="s">
        <v>4286</v>
      </c>
      <c r="K815" t="s">
        <v>4287</v>
      </c>
      <c r="L815" t="s">
        <v>4288</v>
      </c>
      <c r="M815" t="s">
        <v>4289</v>
      </c>
      <c r="N815" t="s">
        <v>2829</v>
      </c>
      <c r="O815" t="s">
        <v>2830</v>
      </c>
      <c r="P815" t="s">
        <v>2027</v>
      </c>
      <c r="Q815" t="s">
        <v>4197</v>
      </c>
      <c r="S815">
        <v>27</v>
      </c>
      <c r="T815" t="s">
        <v>4290</v>
      </c>
      <c r="U815">
        <v>260</v>
      </c>
      <c r="Y815" t="s">
        <v>4199</v>
      </c>
      <c r="Z815">
        <v>617.13</v>
      </c>
      <c r="AA815">
        <v>2.37</v>
      </c>
      <c r="AB815">
        <v>1462</v>
      </c>
      <c r="AC815" t="b">
        <v>0</v>
      </c>
      <c r="AD815" t="b">
        <v>0</v>
      </c>
      <c r="AE815" t="b">
        <v>0</v>
      </c>
      <c r="AF815" t="b">
        <v>0</v>
      </c>
      <c r="AG815" t="s">
        <v>58</v>
      </c>
      <c r="AH815">
        <v>8</v>
      </c>
      <c r="AI815" t="s">
        <v>169</v>
      </c>
      <c r="AJ815" t="s">
        <v>60</v>
      </c>
      <c r="AL815" t="s">
        <v>380</v>
      </c>
      <c r="AM815" t="s">
        <v>245</v>
      </c>
      <c r="AN815" t="s">
        <v>63</v>
      </c>
      <c r="AO815" t="s">
        <v>4200</v>
      </c>
      <c r="AP815" t="s">
        <v>4287</v>
      </c>
    </row>
    <row r="816" spans="1:42" x14ac:dyDescent="0.45">
      <c r="A816" t="s">
        <v>4190</v>
      </c>
      <c r="B816" t="s">
        <v>4191</v>
      </c>
      <c r="C816" t="s">
        <v>4192</v>
      </c>
      <c r="D816">
        <v>2024</v>
      </c>
      <c r="E816" t="s">
        <v>45</v>
      </c>
      <c r="F816" t="s">
        <v>46</v>
      </c>
      <c r="G816">
        <v>6</v>
      </c>
      <c r="J816" t="s">
        <v>4291</v>
      </c>
      <c r="K816" t="s">
        <v>4292</v>
      </c>
      <c r="L816" t="s">
        <v>4293</v>
      </c>
      <c r="M816" t="s">
        <v>4294</v>
      </c>
      <c r="N816" t="s">
        <v>2829</v>
      </c>
      <c r="O816" t="s">
        <v>2830</v>
      </c>
      <c r="P816" t="s">
        <v>2027</v>
      </c>
      <c r="Q816" t="s">
        <v>4197</v>
      </c>
      <c r="S816">
        <v>30</v>
      </c>
      <c r="T816" t="s">
        <v>4295</v>
      </c>
      <c r="U816">
        <v>177</v>
      </c>
      <c r="Y816" t="s">
        <v>4199</v>
      </c>
      <c r="Z816">
        <v>618.79</v>
      </c>
      <c r="AA816">
        <v>2.02</v>
      </c>
      <c r="AB816">
        <v>1248</v>
      </c>
      <c r="AC816" t="b">
        <v>0</v>
      </c>
      <c r="AD816" t="b">
        <v>0</v>
      </c>
      <c r="AE816" t="b">
        <v>0</v>
      </c>
      <c r="AF816" t="b">
        <v>0</v>
      </c>
      <c r="AG816" t="s">
        <v>58</v>
      </c>
      <c r="AH816">
        <v>-15</v>
      </c>
      <c r="AI816" t="s">
        <v>59</v>
      </c>
      <c r="AJ816" t="s">
        <v>60</v>
      </c>
      <c r="AK816" t="s">
        <v>951</v>
      </c>
      <c r="AL816" t="s">
        <v>952</v>
      </c>
      <c r="AM816" t="s">
        <v>245</v>
      </c>
      <c r="AN816" t="s">
        <v>63</v>
      </c>
      <c r="AO816" t="s">
        <v>4200</v>
      </c>
      <c r="AP816" t="s">
        <v>4292</v>
      </c>
    </row>
    <row r="817" spans="1:42" x14ac:dyDescent="0.45">
      <c r="A817" t="s">
        <v>4190</v>
      </c>
      <c r="B817" t="s">
        <v>4191</v>
      </c>
      <c r="C817" t="s">
        <v>4192</v>
      </c>
      <c r="D817">
        <v>2024</v>
      </c>
      <c r="E817" t="s">
        <v>45</v>
      </c>
      <c r="F817" t="s">
        <v>46</v>
      </c>
      <c r="J817" t="s">
        <v>4296</v>
      </c>
      <c r="K817" t="s">
        <v>4297</v>
      </c>
      <c r="L817" t="s">
        <v>4298</v>
      </c>
      <c r="M817" t="s">
        <v>4299</v>
      </c>
      <c r="N817" t="s">
        <v>2829</v>
      </c>
      <c r="O817" t="s">
        <v>2830</v>
      </c>
      <c r="P817" t="s">
        <v>2027</v>
      </c>
      <c r="Q817" t="s">
        <v>4197</v>
      </c>
      <c r="S817">
        <v>31</v>
      </c>
      <c r="T817" t="s">
        <v>4300</v>
      </c>
      <c r="U817">
        <v>782</v>
      </c>
      <c r="Y817" t="s">
        <v>4199</v>
      </c>
      <c r="Z817">
        <v>619.13</v>
      </c>
      <c r="AA817">
        <v>5.59</v>
      </c>
      <c r="AB817">
        <v>3458</v>
      </c>
      <c r="AC817" t="b">
        <v>0</v>
      </c>
      <c r="AD817" t="b">
        <v>0</v>
      </c>
      <c r="AE817" t="b">
        <v>0</v>
      </c>
      <c r="AF817" t="b">
        <v>0</v>
      </c>
      <c r="AG817" t="s">
        <v>58</v>
      </c>
      <c r="AH817">
        <v>8</v>
      </c>
      <c r="AI817" t="s">
        <v>169</v>
      </c>
      <c r="AJ817" t="s">
        <v>60</v>
      </c>
      <c r="AL817" t="s">
        <v>380</v>
      </c>
      <c r="AM817" t="s">
        <v>245</v>
      </c>
      <c r="AN817" t="s">
        <v>63</v>
      </c>
      <c r="AO817" t="s">
        <v>4200</v>
      </c>
      <c r="AP817" t="s">
        <v>4297</v>
      </c>
    </row>
    <row r="818" spans="1:42" x14ac:dyDescent="0.45">
      <c r="A818" t="s">
        <v>4190</v>
      </c>
      <c r="B818" t="s">
        <v>4191</v>
      </c>
      <c r="C818" t="s">
        <v>4192</v>
      </c>
      <c r="D818">
        <v>2024</v>
      </c>
      <c r="E818" t="s">
        <v>45</v>
      </c>
      <c r="F818" t="s">
        <v>46</v>
      </c>
      <c r="J818" t="s">
        <v>4301</v>
      </c>
      <c r="K818" t="s">
        <v>4302</v>
      </c>
      <c r="L818" t="s">
        <v>4303</v>
      </c>
      <c r="M818" t="s">
        <v>4304</v>
      </c>
      <c r="N818" t="s">
        <v>2829</v>
      </c>
      <c r="O818" t="s">
        <v>2830</v>
      </c>
      <c r="P818" t="s">
        <v>2027</v>
      </c>
      <c r="Q818" t="s">
        <v>4197</v>
      </c>
      <c r="S818">
        <v>36</v>
      </c>
      <c r="T818" t="s">
        <v>4305</v>
      </c>
      <c r="U818">
        <v>550</v>
      </c>
      <c r="Y818" t="s">
        <v>4199</v>
      </c>
      <c r="Z818">
        <v>623.77</v>
      </c>
      <c r="AA818">
        <v>3.89</v>
      </c>
      <c r="AB818">
        <v>2425</v>
      </c>
      <c r="AC818" t="b">
        <v>0</v>
      </c>
      <c r="AD818" t="b">
        <v>0</v>
      </c>
      <c r="AE818" t="b">
        <v>0</v>
      </c>
      <c r="AF818" t="b">
        <v>0</v>
      </c>
      <c r="AG818" t="s">
        <v>58</v>
      </c>
      <c r="AH818">
        <v>-15</v>
      </c>
      <c r="AI818" t="s">
        <v>59</v>
      </c>
      <c r="AJ818" t="s">
        <v>60</v>
      </c>
      <c r="AK818" t="s">
        <v>4306</v>
      </c>
      <c r="AL818" t="s">
        <v>4307</v>
      </c>
      <c r="AM818" t="s">
        <v>245</v>
      </c>
      <c r="AN818" t="s">
        <v>63</v>
      </c>
      <c r="AO818" t="s">
        <v>4200</v>
      </c>
      <c r="AP818" t="s">
        <v>4302</v>
      </c>
    </row>
    <row r="819" spans="1:42" x14ac:dyDescent="0.45">
      <c r="A819" t="s">
        <v>4190</v>
      </c>
      <c r="B819" t="s">
        <v>4191</v>
      </c>
      <c r="C819" t="s">
        <v>4192</v>
      </c>
      <c r="D819">
        <v>2024</v>
      </c>
      <c r="E819" t="s">
        <v>45</v>
      </c>
      <c r="F819" t="s">
        <v>46</v>
      </c>
      <c r="J819" t="s">
        <v>4308</v>
      </c>
      <c r="K819" t="s">
        <v>4309</v>
      </c>
      <c r="L819" t="s">
        <v>4310</v>
      </c>
      <c r="M819" t="s">
        <v>4311</v>
      </c>
      <c r="N819" t="s">
        <v>2829</v>
      </c>
      <c r="O819" t="s">
        <v>2830</v>
      </c>
      <c r="P819" t="s">
        <v>2027</v>
      </c>
      <c r="Q819" t="s">
        <v>4197</v>
      </c>
      <c r="S819">
        <v>34</v>
      </c>
      <c r="T819" t="s">
        <v>4312</v>
      </c>
      <c r="U819">
        <v>222</v>
      </c>
      <c r="Y819" t="s">
        <v>4199</v>
      </c>
      <c r="Z819">
        <v>622.15</v>
      </c>
      <c r="AA819">
        <v>4.3899999999999997</v>
      </c>
      <c r="AB819">
        <v>2730</v>
      </c>
      <c r="AC819" t="b">
        <v>0</v>
      </c>
      <c r="AD819" t="b">
        <v>0</v>
      </c>
      <c r="AE819" t="b">
        <v>0</v>
      </c>
      <c r="AF819" t="b">
        <v>0</v>
      </c>
      <c r="AG819" t="s">
        <v>58</v>
      </c>
      <c r="AH819">
        <v>8</v>
      </c>
      <c r="AI819" t="s">
        <v>169</v>
      </c>
      <c r="AJ819" t="s">
        <v>60</v>
      </c>
      <c r="AL819" t="s">
        <v>380</v>
      </c>
      <c r="AM819" t="s">
        <v>245</v>
      </c>
      <c r="AN819" t="s">
        <v>63</v>
      </c>
      <c r="AO819" t="s">
        <v>4200</v>
      </c>
      <c r="AP819" t="s">
        <v>4309</v>
      </c>
    </row>
    <row r="820" spans="1:42" x14ac:dyDescent="0.45">
      <c r="A820" t="s">
        <v>4190</v>
      </c>
      <c r="B820" t="s">
        <v>4191</v>
      </c>
      <c r="C820" t="s">
        <v>4192</v>
      </c>
      <c r="D820">
        <v>2024</v>
      </c>
      <c r="E820" t="s">
        <v>45</v>
      </c>
      <c r="F820" t="s">
        <v>46</v>
      </c>
      <c r="J820" t="s">
        <v>4313</v>
      </c>
      <c r="K820" t="s">
        <v>4314</v>
      </c>
      <c r="L820" t="s">
        <v>4315</v>
      </c>
      <c r="M820" t="s">
        <v>4316</v>
      </c>
      <c r="N820" t="s">
        <v>2829</v>
      </c>
      <c r="O820" t="s">
        <v>2830</v>
      </c>
      <c r="P820" t="s">
        <v>2027</v>
      </c>
      <c r="Q820" t="s">
        <v>4197</v>
      </c>
      <c r="S820">
        <v>26</v>
      </c>
      <c r="T820" t="s">
        <v>4317</v>
      </c>
      <c r="U820">
        <v>295</v>
      </c>
      <c r="Y820" t="s">
        <v>4199</v>
      </c>
      <c r="Z820">
        <v>616.77</v>
      </c>
      <c r="AA820">
        <v>8.66</v>
      </c>
      <c r="AB820">
        <v>5340</v>
      </c>
      <c r="AC820" t="b">
        <v>0</v>
      </c>
      <c r="AD820" t="b">
        <v>0</v>
      </c>
      <c r="AE820" t="b">
        <v>0</v>
      </c>
      <c r="AF820" t="b">
        <v>0</v>
      </c>
      <c r="AG820" t="s">
        <v>58</v>
      </c>
      <c r="AH820">
        <v>8</v>
      </c>
      <c r="AI820" t="s">
        <v>169</v>
      </c>
      <c r="AJ820" t="s">
        <v>60</v>
      </c>
      <c r="AL820" t="s">
        <v>380</v>
      </c>
      <c r="AM820" t="s">
        <v>245</v>
      </c>
      <c r="AN820" t="s">
        <v>63</v>
      </c>
      <c r="AO820" t="s">
        <v>4200</v>
      </c>
      <c r="AP820" t="s">
        <v>4314</v>
      </c>
    </row>
    <row r="821" spans="1:42" x14ac:dyDescent="0.45">
      <c r="A821" t="s">
        <v>4190</v>
      </c>
      <c r="B821" t="s">
        <v>4191</v>
      </c>
      <c r="C821" t="s">
        <v>4192</v>
      </c>
      <c r="D821">
        <v>2024</v>
      </c>
      <c r="E821" t="s">
        <v>45</v>
      </c>
      <c r="F821" t="s">
        <v>46</v>
      </c>
      <c r="J821" t="s">
        <v>4318</v>
      </c>
      <c r="K821" t="s">
        <v>4319</v>
      </c>
      <c r="L821" t="s">
        <v>4320</v>
      </c>
      <c r="M821" t="s">
        <v>4321</v>
      </c>
      <c r="N821" t="s">
        <v>2829</v>
      </c>
      <c r="O821" t="s">
        <v>2830</v>
      </c>
      <c r="P821" t="s">
        <v>2027</v>
      </c>
      <c r="Q821" t="s">
        <v>4197</v>
      </c>
      <c r="S821">
        <v>35</v>
      </c>
      <c r="T821" t="s">
        <v>4322</v>
      </c>
      <c r="U821">
        <v>229</v>
      </c>
      <c r="Y821" t="s">
        <v>4199</v>
      </c>
      <c r="Z821">
        <v>623.15</v>
      </c>
      <c r="AA821">
        <v>10.31</v>
      </c>
      <c r="AB821">
        <v>6425</v>
      </c>
      <c r="AC821" t="b">
        <v>0</v>
      </c>
      <c r="AD821" t="b">
        <v>0</v>
      </c>
      <c r="AE821" t="b">
        <v>0</v>
      </c>
      <c r="AF821" t="b">
        <v>0</v>
      </c>
      <c r="AG821" t="s">
        <v>58</v>
      </c>
      <c r="AH821">
        <v>8</v>
      </c>
      <c r="AI821" t="s">
        <v>169</v>
      </c>
      <c r="AJ821" t="s">
        <v>60</v>
      </c>
      <c r="AL821" t="s">
        <v>380</v>
      </c>
      <c r="AM821" t="s">
        <v>245</v>
      </c>
      <c r="AN821" t="s">
        <v>63</v>
      </c>
      <c r="AO821" t="s">
        <v>4200</v>
      </c>
      <c r="AP821" t="s">
        <v>4319</v>
      </c>
    </row>
    <row r="822" spans="1:42" x14ac:dyDescent="0.45">
      <c r="A822" t="s">
        <v>4190</v>
      </c>
      <c r="B822" t="s">
        <v>4191</v>
      </c>
      <c r="C822" t="s">
        <v>4192</v>
      </c>
      <c r="D822">
        <v>2024</v>
      </c>
      <c r="E822" t="s">
        <v>45</v>
      </c>
      <c r="F822" t="s">
        <v>46</v>
      </c>
      <c r="J822" t="s">
        <v>4323</v>
      </c>
      <c r="K822" t="s">
        <v>4324</v>
      </c>
      <c r="L822" t="s">
        <v>4325</v>
      </c>
      <c r="M822" t="s">
        <v>4326</v>
      </c>
      <c r="N822" t="s">
        <v>2829</v>
      </c>
      <c r="O822" t="s">
        <v>2830</v>
      </c>
      <c r="P822" t="s">
        <v>2027</v>
      </c>
      <c r="Q822" t="s">
        <v>4197</v>
      </c>
      <c r="S822">
        <v>13</v>
      </c>
      <c r="T822" t="s">
        <v>4327</v>
      </c>
      <c r="U822">
        <v>158</v>
      </c>
      <c r="Y822" t="s">
        <v>4199</v>
      </c>
      <c r="Z822">
        <v>602.75</v>
      </c>
      <c r="AA822">
        <v>1.72</v>
      </c>
      <c r="AB822">
        <v>1038</v>
      </c>
      <c r="AC822" t="b">
        <v>0</v>
      </c>
      <c r="AD822" t="b">
        <v>0</v>
      </c>
      <c r="AE822" t="b">
        <v>0</v>
      </c>
      <c r="AF822" t="b">
        <v>0</v>
      </c>
      <c r="AG822" t="s">
        <v>58</v>
      </c>
      <c r="AH822">
        <v>8</v>
      </c>
      <c r="AI822" t="s">
        <v>169</v>
      </c>
      <c r="AJ822" t="s">
        <v>60</v>
      </c>
      <c r="AL822" t="s">
        <v>380</v>
      </c>
      <c r="AM822" t="s">
        <v>245</v>
      </c>
      <c r="AN822" t="s">
        <v>63</v>
      </c>
      <c r="AO822" t="s">
        <v>4200</v>
      </c>
      <c r="AP822" t="s">
        <v>4324</v>
      </c>
    </row>
    <row r="823" spans="1:42" x14ac:dyDescent="0.45">
      <c r="A823" t="s">
        <v>4190</v>
      </c>
      <c r="B823" t="s">
        <v>4191</v>
      </c>
      <c r="C823" t="s">
        <v>4192</v>
      </c>
      <c r="D823">
        <v>2024</v>
      </c>
      <c r="E823" t="s">
        <v>45</v>
      </c>
      <c r="F823" t="s">
        <v>46</v>
      </c>
      <c r="J823" t="s">
        <v>4328</v>
      </c>
      <c r="K823" t="s">
        <v>4329</v>
      </c>
      <c r="L823" t="s">
        <v>4330</v>
      </c>
      <c r="M823" t="s">
        <v>4331</v>
      </c>
      <c r="N823" t="s">
        <v>2829</v>
      </c>
      <c r="O823" t="s">
        <v>2830</v>
      </c>
      <c r="P823" t="s">
        <v>2027</v>
      </c>
      <c r="Q823" t="s">
        <v>4197</v>
      </c>
      <c r="S823">
        <v>32</v>
      </c>
      <c r="T823" t="s">
        <v>4332</v>
      </c>
      <c r="U823">
        <v>175</v>
      </c>
      <c r="Y823" t="s">
        <v>4199</v>
      </c>
      <c r="Z823">
        <v>620.73</v>
      </c>
      <c r="AA823">
        <v>2.12</v>
      </c>
      <c r="AB823">
        <v>1314</v>
      </c>
      <c r="AC823" t="b">
        <v>0</v>
      </c>
      <c r="AD823" t="b">
        <v>0</v>
      </c>
      <c r="AE823" t="b">
        <v>0</v>
      </c>
      <c r="AF823" t="b">
        <v>0</v>
      </c>
      <c r="AG823" t="s">
        <v>58</v>
      </c>
      <c r="AH823">
        <v>8</v>
      </c>
      <c r="AI823" t="s">
        <v>169</v>
      </c>
      <c r="AJ823" t="s">
        <v>60</v>
      </c>
      <c r="AL823" t="s">
        <v>380</v>
      </c>
      <c r="AM823" t="s">
        <v>245</v>
      </c>
      <c r="AN823" t="s">
        <v>63</v>
      </c>
      <c r="AO823" t="s">
        <v>4200</v>
      </c>
      <c r="AP823" t="s">
        <v>4329</v>
      </c>
    </row>
    <row r="824" spans="1:42" x14ac:dyDescent="0.45">
      <c r="A824" t="s">
        <v>4190</v>
      </c>
      <c r="B824" t="s">
        <v>4191</v>
      </c>
      <c r="C824" t="s">
        <v>4192</v>
      </c>
      <c r="D824">
        <v>2024</v>
      </c>
      <c r="E824" t="s">
        <v>45</v>
      </c>
      <c r="F824" t="s">
        <v>46</v>
      </c>
      <c r="J824" t="s">
        <v>4333</v>
      </c>
      <c r="K824" t="s">
        <v>4334</v>
      </c>
      <c r="L824" t="s">
        <v>4335</v>
      </c>
      <c r="M824" t="s">
        <v>4336</v>
      </c>
      <c r="N824" t="s">
        <v>2829</v>
      </c>
      <c r="O824" t="s">
        <v>2830</v>
      </c>
      <c r="P824" t="s">
        <v>2027</v>
      </c>
      <c r="Q824" t="s">
        <v>4197</v>
      </c>
      <c r="S824">
        <v>17</v>
      </c>
      <c r="T824" t="s">
        <v>4337</v>
      </c>
      <c r="U824">
        <v>311</v>
      </c>
      <c r="Y824" t="s">
        <v>4199</v>
      </c>
      <c r="Z824">
        <v>608.75</v>
      </c>
      <c r="AA824">
        <v>2.17</v>
      </c>
      <c r="AB824">
        <v>1322</v>
      </c>
      <c r="AC824" t="b">
        <v>0</v>
      </c>
      <c r="AD824" t="b">
        <v>0</v>
      </c>
      <c r="AE824" t="b">
        <v>0</v>
      </c>
      <c r="AF824" t="b">
        <v>0</v>
      </c>
      <c r="AG824" t="s">
        <v>58</v>
      </c>
      <c r="AH824">
        <v>8</v>
      </c>
      <c r="AI824" t="s">
        <v>169</v>
      </c>
      <c r="AJ824" t="s">
        <v>60</v>
      </c>
      <c r="AL824" t="s">
        <v>380</v>
      </c>
      <c r="AM824" t="s">
        <v>245</v>
      </c>
      <c r="AN824" t="s">
        <v>63</v>
      </c>
      <c r="AO824" t="s">
        <v>4200</v>
      </c>
      <c r="AP824" t="s">
        <v>4334</v>
      </c>
    </row>
    <row r="825" spans="1:42" x14ac:dyDescent="0.45">
      <c r="A825" t="s">
        <v>4190</v>
      </c>
      <c r="B825" t="s">
        <v>4191</v>
      </c>
      <c r="C825" t="s">
        <v>4192</v>
      </c>
      <c r="D825">
        <v>2024</v>
      </c>
      <c r="E825" t="s">
        <v>45</v>
      </c>
      <c r="F825" t="s">
        <v>46</v>
      </c>
      <c r="J825" t="s">
        <v>4338</v>
      </c>
      <c r="K825" t="s">
        <v>4339</v>
      </c>
      <c r="L825" t="s">
        <v>4340</v>
      </c>
      <c r="M825" t="s">
        <v>4341</v>
      </c>
      <c r="N825" t="s">
        <v>2829</v>
      </c>
      <c r="O825" t="s">
        <v>2830</v>
      </c>
      <c r="P825" t="s">
        <v>2027</v>
      </c>
      <c r="Q825" t="s">
        <v>4197</v>
      </c>
      <c r="S825">
        <v>11</v>
      </c>
      <c r="T825" t="s">
        <v>4342</v>
      </c>
      <c r="U825">
        <v>211</v>
      </c>
      <c r="Y825" t="s">
        <v>4199</v>
      </c>
      <c r="Z825">
        <v>598.75</v>
      </c>
      <c r="AA825">
        <v>0.9</v>
      </c>
      <c r="AB825">
        <v>540</v>
      </c>
      <c r="AC825" t="b">
        <v>0</v>
      </c>
      <c r="AD825" t="b">
        <v>0</v>
      </c>
      <c r="AE825" t="b">
        <v>0</v>
      </c>
      <c r="AF825" t="b">
        <v>0</v>
      </c>
      <c r="AG825" t="s">
        <v>58</v>
      </c>
      <c r="AH825">
        <v>8</v>
      </c>
      <c r="AI825" t="s">
        <v>169</v>
      </c>
      <c r="AJ825" t="s">
        <v>60</v>
      </c>
      <c r="AL825" t="s">
        <v>380</v>
      </c>
      <c r="AM825" t="s">
        <v>245</v>
      </c>
      <c r="AN825" t="s">
        <v>63</v>
      </c>
      <c r="AO825" t="s">
        <v>4200</v>
      </c>
      <c r="AP825" t="s">
        <v>4339</v>
      </c>
    </row>
    <row r="826" spans="1:42" x14ac:dyDescent="0.45">
      <c r="A826" t="s">
        <v>4190</v>
      </c>
      <c r="B826" t="s">
        <v>4191</v>
      </c>
      <c r="C826" t="s">
        <v>4192</v>
      </c>
      <c r="D826">
        <v>2024</v>
      </c>
      <c r="E826" t="s">
        <v>45</v>
      </c>
      <c r="F826" t="s">
        <v>46</v>
      </c>
      <c r="J826" t="s">
        <v>4343</v>
      </c>
      <c r="K826" t="s">
        <v>4344</v>
      </c>
      <c r="L826" t="s">
        <v>4345</v>
      </c>
      <c r="M826" t="s">
        <v>4346</v>
      </c>
      <c r="N826" t="s">
        <v>2829</v>
      </c>
      <c r="O826" t="s">
        <v>2830</v>
      </c>
      <c r="P826" t="s">
        <v>2027</v>
      </c>
      <c r="Q826" t="s">
        <v>4197</v>
      </c>
      <c r="S826">
        <v>25</v>
      </c>
      <c r="T826" t="s">
        <v>4347</v>
      </c>
      <c r="U826">
        <v>172</v>
      </c>
      <c r="Y826" t="s">
        <v>4199</v>
      </c>
      <c r="Z826">
        <v>615.75</v>
      </c>
      <c r="AA826">
        <v>1.45</v>
      </c>
      <c r="AB826">
        <v>891</v>
      </c>
      <c r="AC826" t="b">
        <v>0</v>
      </c>
      <c r="AD826" t="b">
        <v>0</v>
      </c>
      <c r="AE826" t="b">
        <v>0</v>
      </c>
      <c r="AF826" t="b">
        <v>0</v>
      </c>
      <c r="AG826" t="s">
        <v>58</v>
      </c>
      <c r="AH826">
        <v>8</v>
      </c>
      <c r="AI826" t="s">
        <v>169</v>
      </c>
      <c r="AJ826" t="s">
        <v>60</v>
      </c>
      <c r="AL826" t="s">
        <v>380</v>
      </c>
      <c r="AM826" t="s">
        <v>245</v>
      </c>
      <c r="AN826" t="s">
        <v>63</v>
      </c>
      <c r="AO826" t="s">
        <v>4200</v>
      </c>
      <c r="AP826" t="s">
        <v>4344</v>
      </c>
    </row>
    <row r="827" spans="1:42" x14ac:dyDescent="0.45">
      <c r="A827" t="s">
        <v>4190</v>
      </c>
      <c r="B827" t="s">
        <v>4191</v>
      </c>
      <c r="C827" t="s">
        <v>4192</v>
      </c>
      <c r="D827">
        <v>2024</v>
      </c>
      <c r="E827" t="s">
        <v>45</v>
      </c>
      <c r="F827" t="s">
        <v>46</v>
      </c>
      <c r="G827">
        <v>7</v>
      </c>
      <c r="J827" t="s">
        <v>4348</v>
      </c>
      <c r="K827" t="s">
        <v>4349</v>
      </c>
      <c r="L827" t="s">
        <v>4350</v>
      </c>
      <c r="M827" t="s">
        <v>4351</v>
      </c>
      <c r="N827" t="s">
        <v>2829</v>
      </c>
      <c r="O827" t="s">
        <v>2830</v>
      </c>
      <c r="P827" t="s">
        <v>2027</v>
      </c>
      <c r="Q827" t="s">
        <v>4197</v>
      </c>
      <c r="S827">
        <v>24</v>
      </c>
      <c r="T827" t="s">
        <v>4352</v>
      </c>
      <c r="U827">
        <v>93</v>
      </c>
      <c r="Y827" t="s">
        <v>4199</v>
      </c>
      <c r="Z827">
        <v>614.73</v>
      </c>
      <c r="AA827">
        <v>2.2000000000000002</v>
      </c>
      <c r="AB827">
        <v>1354</v>
      </c>
      <c r="AC827" t="b">
        <v>0</v>
      </c>
      <c r="AD827" t="b">
        <v>0</v>
      </c>
      <c r="AE827" t="b">
        <v>0</v>
      </c>
      <c r="AF827" t="b">
        <v>0</v>
      </c>
      <c r="AG827" t="s">
        <v>58</v>
      </c>
      <c r="AH827">
        <v>-15</v>
      </c>
      <c r="AI827" t="s">
        <v>59</v>
      </c>
      <c r="AJ827" t="s">
        <v>60</v>
      </c>
      <c r="AK827" t="s">
        <v>162</v>
      </c>
      <c r="AL827" t="s">
        <v>163</v>
      </c>
      <c r="AM827" t="s">
        <v>245</v>
      </c>
      <c r="AN827" t="s">
        <v>63</v>
      </c>
      <c r="AO827" t="s">
        <v>4200</v>
      </c>
      <c r="AP827" t="s">
        <v>4349</v>
      </c>
    </row>
    <row r="828" spans="1:42" x14ac:dyDescent="0.45">
      <c r="A828" t="s">
        <v>4190</v>
      </c>
      <c r="B828" t="s">
        <v>4191</v>
      </c>
      <c r="C828" t="s">
        <v>4192</v>
      </c>
      <c r="D828">
        <v>2024</v>
      </c>
      <c r="E828" t="s">
        <v>45</v>
      </c>
      <c r="F828" t="s">
        <v>46</v>
      </c>
      <c r="J828" t="s">
        <v>4353</v>
      </c>
      <c r="K828" t="s">
        <v>4354</v>
      </c>
      <c r="L828" t="s">
        <v>4355</v>
      </c>
      <c r="M828" t="s">
        <v>4356</v>
      </c>
      <c r="N828" t="s">
        <v>2829</v>
      </c>
      <c r="O828" t="s">
        <v>2830</v>
      </c>
      <c r="P828" t="s">
        <v>2027</v>
      </c>
      <c r="Q828" t="s">
        <v>4197</v>
      </c>
      <c r="S828">
        <v>3</v>
      </c>
      <c r="T828" t="s">
        <v>4357</v>
      </c>
      <c r="U828">
        <v>336</v>
      </c>
      <c r="Y828" t="s">
        <v>4199</v>
      </c>
      <c r="Z828">
        <v>589.13</v>
      </c>
      <c r="AA828">
        <v>2.63</v>
      </c>
      <c r="AB828">
        <v>1551</v>
      </c>
      <c r="AC828" t="b">
        <v>0</v>
      </c>
      <c r="AD828" t="b">
        <v>0</v>
      </c>
      <c r="AE828" t="b">
        <v>0</v>
      </c>
      <c r="AF828" t="b">
        <v>0</v>
      </c>
      <c r="AG828" t="s">
        <v>58</v>
      </c>
      <c r="AH828">
        <v>8</v>
      </c>
      <c r="AI828" t="s">
        <v>169</v>
      </c>
      <c r="AJ828" t="s">
        <v>60</v>
      </c>
      <c r="AL828" t="s">
        <v>380</v>
      </c>
      <c r="AM828" t="s">
        <v>245</v>
      </c>
      <c r="AN828" t="s">
        <v>63</v>
      </c>
      <c r="AO828" t="s">
        <v>4200</v>
      </c>
      <c r="AP828" t="s">
        <v>4354</v>
      </c>
    </row>
    <row r="829" spans="1:42" x14ac:dyDescent="0.45">
      <c r="A829" t="s">
        <v>4190</v>
      </c>
      <c r="B829" t="s">
        <v>4191</v>
      </c>
      <c r="C829" t="s">
        <v>4192</v>
      </c>
      <c r="D829">
        <v>2024</v>
      </c>
      <c r="E829" t="s">
        <v>45</v>
      </c>
      <c r="F829" t="s">
        <v>46</v>
      </c>
      <c r="J829" t="s">
        <v>4358</v>
      </c>
      <c r="K829" t="s">
        <v>4359</v>
      </c>
      <c r="L829" t="s">
        <v>4360</v>
      </c>
      <c r="M829" t="s">
        <v>4361</v>
      </c>
      <c r="N829" t="s">
        <v>2829</v>
      </c>
      <c r="O829" t="s">
        <v>2830</v>
      </c>
      <c r="P829" t="s">
        <v>2027</v>
      </c>
      <c r="Q829" t="s">
        <v>4197</v>
      </c>
      <c r="S829">
        <v>2</v>
      </c>
      <c r="T829" t="s">
        <v>4362</v>
      </c>
      <c r="U829">
        <v>196</v>
      </c>
      <c r="Y829" t="s">
        <v>4199</v>
      </c>
      <c r="Z829">
        <v>582.96</v>
      </c>
      <c r="AA829">
        <v>1.88</v>
      </c>
      <c r="AB829">
        <v>1094</v>
      </c>
      <c r="AC829" t="b">
        <v>0</v>
      </c>
      <c r="AD829" t="b">
        <v>0</v>
      </c>
      <c r="AE829" t="b">
        <v>0</v>
      </c>
      <c r="AF829" t="b">
        <v>0</v>
      </c>
      <c r="AG829" t="s">
        <v>58</v>
      </c>
      <c r="AH829">
        <v>8</v>
      </c>
      <c r="AI829" t="s">
        <v>169</v>
      </c>
      <c r="AJ829" t="s">
        <v>60</v>
      </c>
      <c r="AL829" t="s">
        <v>380</v>
      </c>
      <c r="AM829" t="s">
        <v>245</v>
      </c>
      <c r="AN829" t="s">
        <v>63</v>
      </c>
      <c r="AO829" t="s">
        <v>4200</v>
      </c>
      <c r="AP829" t="s">
        <v>4359</v>
      </c>
    </row>
    <row r="830" spans="1:42" x14ac:dyDescent="0.45">
      <c r="A830" t="s">
        <v>4190</v>
      </c>
      <c r="B830" t="s">
        <v>4191</v>
      </c>
      <c r="C830" t="s">
        <v>4192</v>
      </c>
      <c r="D830">
        <v>2024</v>
      </c>
      <c r="E830" t="s">
        <v>45</v>
      </c>
      <c r="F830" t="s">
        <v>46</v>
      </c>
      <c r="J830" t="s">
        <v>4363</v>
      </c>
      <c r="K830" t="s">
        <v>4364</v>
      </c>
      <c r="L830" t="s">
        <v>4365</v>
      </c>
      <c r="M830" t="s">
        <v>4366</v>
      </c>
      <c r="N830" t="s">
        <v>2829</v>
      </c>
      <c r="O830" t="s">
        <v>2830</v>
      </c>
      <c r="P830" t="s">
        <v>2027</v>
      </c>
      <c r="Q830" t="s">
        <v>4197</v>
      </c>
      <c r="S830">
        <v>9</v>
      </c>
      <c r="T830" t="s">
        <v>4367</v>
      </c>
      <c r="U830">
        <v>239</v>
      </c>
      <c r="Y830" t="s">
        <v>4199</v>
      </c>
      <c r="Z830">
        <v>597.77</v>
      </c>
      <c r="AA830">
        <v>2.54</v>
      </c>
      <c r="AB830">
        <v>1519</v>
      </c>
      <c r="AC830" t="b">
        <v>0</v>
      </c>
      <c r="AD830" t="b">
        <v>0</v>
      </c>
      <c r="AE830" t="b">
        <v>0</v>
      </c>
      <c r="AF830" t="b">
        <v>0</v>
      </c>
      <c r="AG830" t="s">
        <v>58</v>
      </c>
      <c r="AH830">
        <v>8</v>
      </c>
      <c r="AI830" t="s">
        <v>169</v>
      </c>
      <c r="AJ830" t="s">
        <v>60</v>
      </c>
      <c r="AL830" t="s">
        <v>380</v>
      </c>
      <c r="AM830" t="s">
        <v>245</v>
      </c>
      <c r="AN830" t="s">
        <v>63</v>
      </c>
      <c r="AO830" t="s">
        <v>4200</v>
      </c>
      <c r="AP830" t="s">
        <v>4364</v>
      </c>
    </row>
    <row r="831" spans="1:42" x14ac:dyDescent="0.45">
      <c r="A831" t="s">
        <v>4190</v>
      </c>
      <c r="B831" t="s">
        <v>4191</v>
      </c>
      <c r="C831" t="s">
        <v>4192</v>
      </c>
      <c r="D831">
        <v>2024</v>
      </c>
      <c r="E831" t="s">
        <v>45</v>
      </c>
      <c r="F831" t="s">
        <v>46</v>
      </c>
      <c r="G831">
        <v>6</v>
      </c>
      <c r="J831" t="s">
        <v>4368</v>
      </c>
      <c r="K831" t="s">
        <v>4369</v>
      </c>
      <c r="L831" t="s">
        <v>4370</v>
      </c>
      <c r="M831" t="s">
        <v>4371</v>
      </c>
      <c r="N831" t="s">
        <v>2829</v>
      </c>
      <c r="O831" t="s">
        <v>2830</v>
      </c>
      <c r="P831" t="s">
        <v>2027</v>
      </c>
      <c r="Q831" t="s">
        <v>4197</v>
      </c>
      <c r="S831">
        <v>33</v>
      </c>
      <c r="T831" t="s">
        <v>4372</v>
      </c>
      <c r="U831">
        <v>148</v>
      </c>
      <c r="Y831" t="s">
        <v>4199</v>
      </c>
      <c r="Z831">
        <v>621.73</v>
      </c>
      <c r="AA831">
        <v>2.73</v>
      </c>
      <c r="AB831">
        <v>1700</v>
      </c>
      <c r="AC831" t="b">
        <v>0</v>
      </c>
      <c r="AD831" t="b">
        <v>0</v>
      </c>
      <c r="AE831" t="b">
        <v>0</v>
      </c>
      <c r="AF831" t="b">
        <v>0</v>
      </c>
      <c r="AG831" t="s">
        <v>58</v>
      </c>
      <c r="AH831">
        <v>-15</v>
      </c>
      <c r="AI831" t="s">
        <v>59</v>
      </c>
      <c r="AJ831" t="s">
        <v>60</v>
      </c>
      <c r="AK831" t="s">
        <v>162</v>
      </c>
      <c r="AL831" t="s">
        <v>163</v>
      </c>
      <c r="AM831" t="s">
        <v>245</v>
      </c>
      <c r="AN831" t="s">
        <v>63</v>
      </c>
      <c r="AO831" t="s">
        <v>4200</v>
      </c>
      <c r="AP831" t="s">
        <v>4369</v>
      </c>
    </row>
    <row r="832" spans="1:42" x14ac:dyDescent="0.45">
      <c r="A832" t="s">
        <v>4190</v>
      </c>
      <c r="B832" t="s">
        <v>4191</v>
      </c>
      <c r="C832" t="s">
        <v>4192</v>
      </c>
      <c r="D832">
        <v>2024</v>
      </c>
      <c r="E832" t="s">
        <v>45</v>
      </c>
      <c r="F832" t="s">
        <v>46</v>
      </c>
      <c r="J832" t="s">
        <v>4373</v>
      </c>
      <c r="K832" t="s">
        <v>4374</v>
      </c>
      <c r="L832" t="s">
        <v>4375</v>
      </c>
      <c r="M832" t="s">
        <v>4376</v>
      </c>
      <c r="N832" t="s">
        <v>2829</v>
      </c>
      <c r="O832" t="s">
        <v>2830</v>
      </c>
      <c r="P832" t="s">
        <v>2027</v>
      </c>
      <c r="Q832" t="s">
        <v>4197</v>
      </c>
      <c r="S832">
        <v>10</v>
      </c>
      <c r="T832" t="s">
        <v>4377</v>
      </c>
      <c r="U832">
        <v>312</v>
      </c>
      <c r="Y832" t="s">
        <v>4199</v>
      </c>
      <c r="Z832">
        <v>598.13</v>
      </c>
      <c r="AA832">
        <v>1.05</v>
      </c>
      <c r="AB832">
        <v>626</v>
      </c>
      <c r="AC832" t="b">
        <v>0</v>
      </c>
      <c r="AD832" t="b">
        <v>0</v>
      </c>
      <c r="AE832" t="b">
        <v>0</v>
      </c>
      <c r="AF832" t="b">
        <v>0</v>
      </c>
      <c r="AG832" t="s">
        <v>58</v>
      </c>
      <c r="AH832">
        <v>8</v>
      </c>
      <c r="AI832" t="s">
        <v>169</v>
      </c>
      <c r="AJ832" t="s">
        <v>60</v>
      </c>
      <c r="AL832" t="s">
        <v>380</v>
      </c>
      <c r="AM832" t="s">
        <v>245</v>
      </c>
      <c r="AN832" t="s">
        <v>63</v>
      </c>
      <c r="AO832" t="s">
        <v>4200</v>
      </c>
      <c r="AP832" t="s">
        <v>4374</v>
      </c>
    </row>
    <row r="833" spans="1:42" x14ac:dyDescent="0.45">
      <c r="A833" t="s">
        <v>4190</v>
      </c>
      <c r="B833" t="s">
        <v>4191</v>
      </c>
      <c r="C833" t="s">
        <v>4192</v>
      </c>
      <c r="D833">
        <v>2024</v>
      </c>
      <c r="E833" t="s">
        <v>45</v>
      </c>
      <c r="F833" t="s">
        <v>46</v>
      </c>
      <c r="J833" t="s">
        <v>4378</v>
      </c>
      <c r="K833" t="s">
        <v>4379</v>
      </c>
      <c r="L833" t="s">
        <v>4380</v>
      </c>
      <c r="M833" t="s">
        <v>4381</v>
      </c>
      <c r="N833" t="s">
        <v>2829</v>
      </c>
      <c r="O833" t="s">
        <v>2830</v>
      </c>
      <c r="P833" t="s">
        <v>2027</v>
      </c>
      <c r="Q833" t="s">
        <v>4197</v>
      </c>
      <c r="S833">
        <v>29</v>
      </c>
      <c r="T833" t="s">
        <v>4382</v>
      </c>
      <c r="U833">
        <v>237</v>
      </c>
      <c r="Y833" t="s">
        <v>4199</v>
      </c>
      <c r="Z833">
        <v>618.11</v>
      </c>
      <c r="AA833">
        <v>2.64</v>
      </c>
      <c r="AB833">
        <v>1634</v>
      </c>
      <c r="AC833" t="b">
        <v>0</v>
      </c>
      <c r="AD833" t="b">
        <v>0</v>
      </c>
      <c r="AE833" t="b">
        <v>0</v>
      </c>
      <c r="AF833" t="b">
        <v>0</v>
      </c>
      <c r="AG833" t="s">
        <v>58</v>
      </c>
      <c r="AH833">
        <v>8</v>
      </c>
      <c r="AI833" t="s">
        <v>169</v>
      </c>
      <c r="AJ833" t="s">
        <v>60</v>
      </c>
      <c r="AL833" t="s">
        <v>380</v>
      </c>
      <c r="AM833" t="s">
        <v>245</v>
      </c>
      <c r="AN833" t="s">
        <v>63</v>
      </c>
      <c r="AO833" t="s">
        <v>4200</v>
      </c>
      <c r="AP833" t="s">
        <v>4379</v>
      </c>
    </row>
    <row r="834" spans="1:42" x14ac:dyDescent="0.45">
      <c r="A834" t="s">
        <v>4383</v>
      </c>
      <c r="B834" t="s">
        <v>4384</v>
      </c>
      <c r="C834" t="s">
        <v>4385</v>
      </c>
      <c r="D834">
        <v>2023</v>
      </c>
      <c r="E834" t="s">
        <v>45</v>
      </c>
      <c r="F834" t="s">
        <v>2020</v>
      </c>
      <c r="G834">
        <v>17</v>
      </c>
      <c r="J834" t="s">
        <v>4386</v>
      </c>
      <c r="K834" t="s">
        <v>4387</v>
      </c>
      <c r="L834" t="s">
        <v>4388</v>
      </c>
      <c r="M834" t="s">
        <v>4389</v>
      </c>
      <c r="N834" t="s">
        <v>221</v>
      </c>
      <c r="O834" t="s">
        <v>222</v>
      </c>
      <c r="P834" t="s">
        <v>223</v>
      </c>
      <c r="Q834" t="s">
        <v>4390</v>
      </c>
      <c r="S834">
        <v>15</v>
      </c>
      <c r="T834" t="s">
        <v>4391</v>
      </c>
      <c r="U834">
        <v>6884</v>
      </c>
      <c r="V834">
        <v>6090</v>
      </c>
      <c r="W834">
        <v>1.1304000000000001</v>
      </c>
      <c r="X834" t="s">
        <v>70</v>
      </c>
      <c r="Y834" t="s">
        <v>4392</v>
      </c>
      <c r="Z834">
        <v>1059.72</v>
      </c>
      <c r="AA834">
        <v>7231.22</v>
      </c>
      <c r="AB834">
        <v>7663049</v>
      </c>
      <c r="AC834" t="b">
        <v>1</v>
      </c>
      <c r="AD834" t="b">
        <v>1</v>
      </c>
      <c r="AE834" t="b">
        <v>0</v>
      </c>
      <c r="AF834" t="b">
        <v>0</v>
      </c>
      <c r="AG834" t="s">
        <v>58</v>
      </c>
      <c r="AH834">
        <v>14</v>
      </c>
      <c r="AI834" t="s">
        <v>59</v>
      </c>
      <c r="AJ834" t="s">
        <v>71</v>
      </c>
      <c r="AL834" t="s">
        <v>244</v>
      </c>
      <c r="AM834" t="s">
        <v>245</v>
      </c>
      <c r="AN834" t="s">
        <v>63</v>
      </c>
      <c r="AO834" t="s">
        <v>4393</v>
      </c>
      <c r="AP834" t="s">
        <v>4387</v>
      </c>
    </row>
    <row r="835" spans="1:42" x14ac:dyDescent="0.45">
      <c r="A835" t="s">
        <v>4383</v>
      </c>
      <c r="B835" t="s">
        <v>4384</v>
      </c>
      <c r="C835" t="s">
        <v>4385</v>
      </c>
      <c r="D835">
        <v>2023</v>
      </c>
      <c r="E835" t="s">
        <v>45</v>
      </c>
      <c r="F835" t="s">
        <v>2020</v>
      </c>
      <c r="G835">
        <v>21</v>
      </c>
      <c r="J835" t="s">
        <v>4394</v>
      </c>
      <c r="K835" t="s">
        <v>4395</v>
      </c>
      <c r="L835" t="s">
        <v>4396</v>
      </c>
      <c r="M835" t="s">
        <v>4397</v>
      </c>
      <c r="N835" t="s">
        <v>221</v>
      </c>
      <c r="O835" t="s">
        <v>222</v>
      </c>
      <c r="P835" t="s">
        <v>223</v>
      </c>
      <c r="Q835" t="s">
        <v>4390</v>
      </c>
      <c r="S835">
        <v>11</v>
      </c>
      <c r="T835" t="s">
        <v>4398</v>
      </c>
      <c r="U835">
        <v>5366</v>
      </c>
      <c r="V835">
        <v>6090</v>
      </c>
      <c r="W835">
        <v>0.88109999999999999</v>
      </c>
      <c r="X835" t="s">
        <v>70</v>
      </c>
      <c r="Y835" t="s">
        <v>4392</v>
      </c>
      <c r="Z835">
        <v>1031.72</v>
      </c>
      <c r="AA835">
        <v>4506.4799999999996</v>
      </c>
      <c r="AB835">
        <v>4649409</v>
      </c>
      <c r="AC835" t="b">
        <v>1</v>
      </c>
      <c r="AD835" t="b">
        <v>1</v>
      </c>
      <c r="AE835" t="b">
        <v>0</v>
      </c>
      <c r="AF835" t="b">
        <v>0</v>
      </c>
      <c r="AG835" t="s">
        <v>58</v>
      </c>
      <c r="AH835">
        <v>14</v>
      </c>
      <c r="AI835" t="s">
        <v>59</v>
      </c>
      <c r="AJ835" t="s">
        <v>71</v>
      </c>
      <c r="AL835" t="s">
        <v>244</v>
      </c>
      <c r="AM835" t="s">
        <v>245</v>
      </c>
      <c r="AN835" t="s">
        <v>63</v>
      </c>
      <c r="AO835" t="s">
        <v>4393</v>
      </c>
      <c r="AP835" t="s">
        <v>4395</v>
      </c>
    </row>
    <row r="836" spans="1:42" x14ac:dyDescent="0.45">
      <c r="A836" t="s">
        <v>4383</v>
      </c>
      <c r="B836" t="s">
        <v>4384</v>
      </c>
      <c r="C836" t="s">
        <v>4385</v>
      </c>
      <c r="D836">
        <v>2023</v>
      </c>
      <c r="E836" t="s">
        <v>45</v>
      </c>
      <c r="F836" t="s">
        <v>2020</v>
      </c>
      <c r="J836" t="s">
        <v>4399</v>
      </c>
      <c r="K836" t="s">
        <v>4400</v>
      </c>
      <c r="L836" t="s">
        <v>4401</v>
      </c>
      <c r="M836" t="s">
        <v>4402</v>
      </c>
      <c r="N836" t="s">
        <v>221</v>
      </c>
      <c r="O836" t="s">
        <v>222</v>
      </c>
      <c r="P836" t="s">
        <v>223</v>
      </c>
      <c r="Q836" t="s">
        <v>4390</v>
      </c>
      <c r="S836">
        <v>8</v>
      </c>
      <c r="T836" t="s">
        <v>4403</v>
      </c>
      <c r="U836">
        <v>1447</v>
      </c>
      <c r="V836">
        <v>6090</v>
      </c>
      <c r="W836">
        <v>0.23760000000000001</v>
      </c>
      <c r="X836" t="s">
        <v>56</v>
      </c>
      <c r="Y836" t="s">
        <v>4392</v>
      </c>
      <c r="Z836">
        <v>998.75</v>
      </c>
      <c r="AA836">
        <v>570.01</v>
      </c>
      <c r="AB836">
        <v>569299</v>
      </c>
      <c r="AC836" t="b">
        <v>0</v>
      </c>
      <c r="AD836" t="b">
        <v>0</v>
      </c>
      <c r="AE836" t="b">
        <v>0</v>
      </c>
      <c r="AF836" t="b">
        <v>0</v>
      </c>
      <c r="AG836" t="s">
        <v>58</v>
      </c>
      <c r="AH836">
        <v>-15</v>
      </c>
      <c r="AI836" t="s">
        <v>59</v>
      </c>
      <c r="AJ836" t="s">
        <v>60</v>
      </c>
      <c r="AK836" t="s">
        <v>333</v>
      </c>
      <c r="AL836" t="s">
        <v>334</v>
      </c>
      <c r="AM836" t="s">
        <v>245</v>
      </c>
      <c r="AN836" t="s">
        <v>63</v>
      </c>
      <c r="AO836" t="s">
        <v>4393</v>
      </c>
      <c r="AP836" t="s">
        <v>4400</v>
      </c>
    </row>
    <row r="837" spans="1:42" x14ac:dyDescent="0.45">
      <c r="A837" t="s">
        <v>4383</v>
      </c>
      <c r="B837" t="s">
        <v>4384</v>
      </c>
      <c r="C837" t="s">
        <v>4385</v>
      </c>
      <c r="D837">
        <v>2023</v>
      </c>
      <c r="E837" t="s">
        <v>45</v>
      </c>
      <c r="F837" t="s">
        <v>2020</v>
      </c>
      <c r="G837">
        <v>19</v>
      </c>
      <c r="J837" t="s">
        <v>4404</v>
      </c>
      <c r="K837" t="s">
        <v>4405</v>
      </c>
      <c r="L837" t="s">
        <v>4406</v>
      </c>
      <c r="M837" t="s">
        <v>4407</v>
      </c>
      <c r="N837" t="s">
        <v>221</v>
      </c>
      <c r="O837" t="s">
        <v>222</v>
      </c>
      <c r="P837" t="s">
        <v>223</v>
      </c>
      <c r="Q837" t="s">
        <v>4390</v>
      </c>
      <c r="S837">
        <v>13</v>
      </c>
      <c r="T837" t="s">
        <v>4408</v>
      </c>
      <c r="U837">
        <v>6090</v>
      </c>
      <c r="V837">
        <v>6090</v>
      </c>
      <c r="W837">
        <v>1</v>
      </c>
      <c r="X837" t="s">
        <v>70</v>
      </c>
      <c r="Y837" t="s">
        <v>4392</v>
      </c>
      <c r="Z837">
        <v>1045.72</v>
      </c>
      <c r="AA837">
        <v>5719.01</v>
      </c>
      <c r="AB837">
        <v>5980473</v>
      </c>
      <c r="AC837" t="b">
        <v>1</v>
      </c>
      <c r="AD837" t="b">
        <v>1</v>
      </c>
      <c r="AE837" t="b">
        <v>0</v>
      </c>
      <c r="AF837" t="b">
        <v>0</v>
      </c>
      <c r="AG837" t="s">
        <v>58</v>
      </c>
      <c r="AH837">
        <v>14</v>
      </c>
      <c r="AI837" t="s">
        <v>59</v>
      </c>
      <c r="AJ837" t="s">
        <v>71</v>
      </c>
      <c r="AL837" t="s">
        <v>244</v>
      </c>
      <c r="AM837" t="s">
        <v>245</v>
      </c>
      <c r="AN837" t="s">
        <v>63</v>
      </c>
      <c r="AO837" t="s">
        <v>4393</v>
      </c>
      <c r="AP837" t="s">
        <v>4405</v>
      </c>
    </row>
    <row r="838" spans="1:42" x14ac:dyDescent="0.45">
      <c r="A838" t="s">
        <v>4383</v>
      </c>
      <c r="B838" t="s">
        <v>4384</v>
      </c>
      <c r="C838" t="s">
        <v>4385</v>
      </c>
      <c r="D838">
        <v>2023</v>
      </c>
      <c r="E838" t="s">
        <v>45</v>
      </c>
      <c r="F838" t="s">
        <v>2020</v>
      </c>
      <c r="J838" t="s">
        <v>4409</v>
      </c>
      <c r="K838" t="s">
        <v>4410</v>
      </c>
      <c r="L838" t="s">
        <v>4411</v>
      </c>
      <c r="M838" t="s">
        <v>4412</v>
      </c>
      <c r="N838" t="s">
        <v>221</v>
      </c>
      <c r="O838" t="s">
        <v>222</v>
      </c>
      <c r="P838" t="s">
        <v>223</v>
      </c>
      <c r="Q838" t="s">
        <v>4390</v>
      </c>
      <c r="S838">
        <v>7</v>
      </c>
      <c r="T838" t="s">
        <v>4413</v>
      </c>
      <c r="U838">
        <v>1548</v>
      </c>
      <c r="V838">
        <v>6090</v>
      </c>
      <c r="W838">
        <v>0.25419999999999998</v>
      </c>
      <c r="X838" t="s">
        <v>56</v>
      </c>
      <c r="Y838" t="s">
        <v>4392</v>
      </c>
      <c r="Z838">
        <v>991.75</v>
      </c>
      <c r="AA838">
        <v>488.16</v>
      </c>
      <c r="AB838">
        <v>484136</v>
      </c>
      <c r="AC838" t="b">
        <v>0</v>
      </c>
      <c r="AD838" t="b">
        <v>0</v>
      </c>
      <c r="AE838" t="b">
        <v>0</v>
      </c>
      <c r="AF838" t="b">
        <v>0</v>
      </c>
      <c r="AG838" t="s">
        <v>58</v>
      </c>
      <c r="AH838">
        <v>-15</v>
      </c>
      <c r="AI838" t="s">
        <v>59</v>
      </c>
      <c r="AJ838" t="s">
        <v>60</v>
      </c>
      <c r="AK838" t="s">
        <v>333</v>
      </c>
      <c r="AL838" t="s">
        <v>334</v>
      </c>
      <c r="AM838" t="s">
        <v>245</v>
      </c>
      <c r="AN838" t="s">
        <v>63</v>
      </c>
      <c r="AO838" t="s">
        <v>4393</v>
      </c>
      <c r="AP838" t="s">
        <v>4410</v>
      </c>
    </row>
    <row r="839" spans="1:42" x14ac:dyDescent="0.45">
      <c r="A839" t="s">
        <v>4383</v>
      </c>
      <c r="B839" t="s">
        <v>4384</v>
      </c>
      <c r="C839" t="s">
        <v>4385</v>
      </c>
      <c r="D839">
        <v>2023</v>
      </c>
      <c r="E839" t="s">
        <v>45</v>
      </c>
      <c r="F839" t="s">
        <v>2020</v>
      </c>
      <c r="G839">
        <v>13</v>
      </c>
      <c r="J839" t="s">
        <v>4414</v>
      </c>
      <c r="K839" t="s">
        <v>4415</v>
      </c>
      <c r="L839" t="s">
        <v>4416</v>
      </c>
      <c r="M839" t="s">
        <v>4417</v>
      </c>
      <c r="N839" t="s">
        <v>221</v>
      </c>
      <c r="O839" t="s">
        <v>222</v>
      </c>
      <c r="P839" t="s">
        <v>223</v>
      </c>
      <c r="Q839" t="s">
        <v>4390</v>
      </c>
      <c r="S839">
        <v>19</v>
      </c>
      <c r="T839" t="s">
        <v>4418</v>
      </c>
      <c r="U839">
        <v>6884</v>
      </c>
      <c r="V839">
        <v>6090</v>
      </c>
      <c r="W839">
        <v>1.1304000000000001</v>
      </c>
      <c r="X839" t="s">
        <v>70</v>
      </c>
      <c r="Y839" t="s">
        <v>4392</v>
      </c>
      <c r="Z839">
        <v>1087.72</v>
      </c>
      <c r="AA839">
        <v>6997.13</v>
      </c>
      <c r="AB839">
        <v>7610898</v>
      </c>
      <c r="AC839" t="b">
        <v>1</v>
      </c>
      <c r="AD839" t="b">
        <v>1</v>
      </c>
      <c r="AE839" t="b">
        <v>0</v>
      </c>
      <c r="AF839" t="b">
        <v>0</v>
      </c>
      <c r="AG839" t="s">
        <v>58</v>
      </c>
      <c r="AH839">
        <v>14</v>
      </c>
      <c r="AI839" t="s">
        <v>59</v>
      </c>
      <c r="AJ839" t="s">
        <v>71</v>
      </c>
      <c r="AL839" t="s">
        <v>244</v>
      </c>
      <c r="AM839" t="s">
        <v>245</v>
      </c>
      <c r="AN839" t="s">
        <v>63</v>
      </c>
      <c r="AO839" t="s">
        <v>4393</v>
      </c>
      <c r="AP839" t="s">
        <v>4415</v>
      </c>
    </row>
    <row r="840" spans="1:42" x14ac:dyDescent="0.45">
      <c r="A840" t="s">
        <v>4383</v>
      </c>
      <c r="B840" t="s">
        <v>4384</v>
      </c>
      <c r="C840" t="s">
        <v>4385</v>
      </c>
      <c r="D840">
        <v>2023</v>
      </c>
      <c r="E840" t="s">
        <v>45</v>
      </c>
      <c r="F840" t="s">
        <v>2020</v>
      </c>
      <c r="G840">
        <v>11</v>
      </c>
      <c r="J840" t="s">
        <v>4419</v>
      </c>
      <c r="K840" t="s">
        <v>4420</v>
      </c>
      <c r="L840" t="s">
        <v>4421</v>
      </c>
      <c r="M840" t="s">
        <v>4422</v>
      </c>
      <c r="N840" t="s">
        <v>221</v>
      </c>
      <c r="O840" t="s">
        <v>222</v>
      </c>
      <c r="P840" t="s">
        <v>223</v>
      </c>
      <c r="Q840" t="s">
        <v>4390</v>
      </c>
      <c r="S840">
        <v>21</v>
      </c>
      <c r="T840" t="s">
        <v>4423</v>
      </c>
      <c r="U840">
        <v>5910</v>
      </c>
      <c r="V840">
        <v>6090</v>
      </c>
      <c r="W840">
        <v>0.97040000000000004</v>
      </c>
      <c r="X840" t="s">
        <v>70</v>
      </c>
      <c r="Y840" t="s">
        <v>4392</v>
      </c>
      <c r="Z840">
        <v>1101.72</v>
      </c>
      <c r="AA840">
        <v>7350.33</v>
      </c>
      <c r="AB840">
        <v>8097985</v>
      </c>
      <c r="AC840" t="b">
        <v>1</v>
      </c>
      <c r="AD840" t="b">
        <v>1</v>
      </c>
      <c r="AE840" t="b">
        <v>0</v>
      </c>
      <c r="AF840" t="b">
        <v>0</v>
      </c>
      <c r="AG840" t="s">
        <v>58</v>
      </c>
      <c r="AH840">
        <v>14</v>
      </c>
      <c r="AI840" t="s">
        <v>59</v>
      </c>
      <c r="AJ840" t="s">
        <v>71</v>
      </c>
      <c r="AL840" t="s">
        <v>244</v>
      </c>
      <c r="AM840" t="s">
        <v>245</v>
      </c>
      <c r="AN840" t="s">
        <v>63</v>
      </c>
      <c r="AO840" t="s">
        <v>4393</v>
      </c>
      <c r="AP840" t="s">
        <v>4420</v>
      </c>
    </row>
    <row r="841" spans="1:42" x14ac:dyDescent="0.45">
      <c r="A841" t="s">
        <v>4383</v>
      </c>
      <c r="B841" t="s">
        <v>4384</v>
      </c>
      <c r="C841" t="s">
        <v>4385</v>
      </c>
      <c r="D841">
        <v>2023</v>
      </c>
      <c r="E841" t="s">
        <v>45</v>
      </c>
      <c r="F841" t="s">
        <v>2020</v>
      </c>
      <c r="G841">
        <v>12</v>
      </c>
      <c r="J841" t="s">
        <v>4424</v>
      </c>
      <c r="K841" t="s">
        <v>4425</v>
      </c>
      <c r="L841" t="s">
        <v>4426</v>
      </c>
      <c r="M841" t="s">
        <v>4427</v>
      </c>
      <c r="N841" t="s">
        <v>221</v>
      </c>
      <c r="O841" t="s">
        <v>222</v>
      </c>
      <c r="P841" t="s">
        <v>223</v>
      </c>
      <c r="Q841" t="s">
        <v>4390</v>
      </c>
      <c r="S841">
        <v>20</v>
      </c>
      <c r="T841" t="s">
        <v>4428</v>
      </c>
      <c r="U841">
        <v>5196</v>
      </c>
      <c r="V841">
        <v>6090</v>
      </c>
      <c r="W841">
        <v>0.85319999999999996</v>
      </c>
      <c r="X841" t="s">
        <v>70</v>
      </c>
      <c r="Y841" t="s">
        <v>4392</v>
      </c>
      <c r="Z841">
        <v>1094.72</v>
      </c>
      <c r="AA841">
        <v>6633.91</v>
      </c>
      <c r="AB841">
        <v>7262260</v>
      </c>
      <c r="AC841" t="b">
        <v>1</v>
      </c>
      <c r="AD841" t="b">
        <v>1</v>
      </c>
      <c r="AE841" t="b">
        <v>0</v>
      </c>
      <c r="AF841" t="b">
        <v>0</v>
      </c>
      <c r="AG841" t="s">
        <v>58</v>
      </c>
      <c r="AH841">
        <v>14</v>
      </c>
      <c r="AI841" t="s">
        <v>59</v>
      </c>
      <c r="AJ841" t="s">
        <v>71</v>
      </c>
      <c r="AL841" t="s">
        <v>244</v>
      </c>
      <c r="AM841" t="s">
        <v>245</v>
      </c>
      <c r="AN841" t="s">
        <v>63</v>
      </c>
      <c r="AO841" t="s">
        <v>4393</v>
      </c>
      <c r="AP841" t="s">
        <v>4425</v>
      </c>
    </row>
    <row r="842" spans="1:42" x14ac:dyDescent="0.45">
      <c r="A842" t="s">
        <v>4383</v>
      </c>
      <c r="B842" t="s">
        <v>4384</v>
      </c>
      <c r="C842" t="s">
        <v>4385</v>
      </c>
      <c r="D842">
        <v>2023</v>
      </c>
      <c r="E842" t="s">
        <v>45</v>
      </c>
      <c r="F842" t="s">
        <v>2020</v>
      </c>
      <c r="G842">
        <v>7</v>
      </c>
      <c r="J842" t="e">
        <v>#NAME?</v>
      </c>
      <c r="K842" t="s">
        <v>4429</v>
      </c>
      <c r="L842" t="s">
        <v>4430</v>
      </c>
      <c r="M842" t="s">
        <v>4431</v>
      </c>
      <c r="N842" t="s">
        <v>221</v>
      </c>
      <c r="O842" t="s">
        <v>222</v>
      </c>
      <c r="P842" t="s">
        <v>223</v>
      </c>
      <c r="Q842" t="s">
        <v>4390</v>
      </c>
      <c r="S842">
        <v>25</v>
      </c>
      <c r="T842" t="s">
        <v>4432</v>
      </c>
      <c r="U842">
        <v>7144</v>
      </c>
      <c r="V842">
        <v>6090</v>
      </c>
      <c r="W842">
        <v>1.1731</v>
      </c>
      <c r="X842" t="s">
        <v>70</v>
      </c>
      <c r="Y842" t="s">
        <v>4392</v>
      </c>
      <c r="Z842">
        <v>1129.72</v>
      </c>
      <c r="AA842">
        <v>8090.1</v>
      </c>
      <c r="AB842">
        <v>9139532</v>
      </c>
      <c r="AC842" t="b">
        <v>1</v>
      </c>
      <c r="AD842" t="b">
        <v>1</v>
      </c>
      <c r="AE842" t="b">
        <v>0</v>
      </c>
      <c r="AF842" t="b">
        <v>0</v>
      </c>
      <c r="AG842" t="s">
        <v>58</v>
      </c>
      <c r="AH842">
        <v>14</v>
      </c>
      <c r="AI842" t="s">
        <v>59</v>
      </c>
      <c r="AJ842" t="s">
        <v>71</v>
      </c>
      <c r="AL842" t="s">
        <v>244</v>
      </c>
      <c r="AM842" t="s">
        <v>245</v>
      </c>
      <c r="AN842" t="s">
        <v>63</v>
      </c>
      <c r="AO842" t="s">
        <v>4393</v>
      </c>
      <c r="AP842" t="s">
        <v>4429</v>
      </c>
    </row>
    <row r="843" spans="1:42" x14ac:dyDescent="0.45">
      <c r="A843" t="s">
        <v>4383</v>
      </c>
      <c r="B843" t="s">
        <v>4384</v>
      </c>
      <c r="C843" t="s">
        <v>4385</v>
      </c>
      <c r="D843">
        <v>2023</v>
      </c>
      <c r="E843" t="s">
        <v>45</v>
      </c>
      <c r="F843" t="s">
        <v>2020</v>
      </c>
      <c r="G843">
        <v>9</v>
      </c>
      <c r="J843" t="e">
        <v>#NAME?</v>
      </c>
      <c r="K843" t="s">
        <v>4433</v>
      </c>
      <c r="L843" t="s">
        <v>4434</v>
      </c>
      <c r="M843" t="s">
        <v>4435</v>
      </c>
      <c r="N843" t="s">
        <v>221</v>
      </c>
      <c r="O843" t="s">
        <v>222</v>
      </c>
      <c r="P843" t="s">
        <v>223</v>
      </c>
      <c r="Q843" t="s">
        <v>4390</v>
      </c>
      <c r="S843">
        <v>23</v>
      </c>
      <c r="T843" t="s">
        <v>4436</v>
      </c>
      <c r="U843">
        <v>6512</v>
      </c>
      <c r="V843">
        <v>6090</v>
      </c>
      <c r="W843">
        <v>1.0692999999999999</v>
      </c>
      <c r="X843" t="s">
        <v>70</v>
      </c>
      <c r="Y843" t="s">
        <v>4392</v>
      </c>
      <c r="Z843">
        <v>1115.72</v>
      </c>
      <c r="AA843">
        <v>8291.07</v>
      </c>
      <c r="AB843">
        <v>9250489</v>
      </c>
      <c r="AC843" t="b">
        <v>1</v>
      </c>
      <c r="AD843" t="b">
        <v>1</v>
      </c>
      <c r="AE843" t="b">
        <v>0</v>
      </c>
      <c r="AF843" t="b">
        <v>0</v>
      </c>
      <c r="AG843" t="s">
        <v>58</v>
      </c>
      <c r="AH843">
        <v>14</v>
      </c>
      <c r="AI843" t="s">
        <v>59</v>
      </c>
      <c r="AJ843" t="s">
        <v>71</v>
      </c>
      <c r="AL843" t="s">
        <v>244</v>
      </c>
      <c r="AM843" t="s">
        <v>245</v>
      </c>
      <c r="AN843" t="s">
        <v>63</v>
      </c>
      <c r="AO843" t="s">
        <v>4393</v>
      </c>
      <c r="AP843" t="s">
        <v>4433</v>
      </c>
    </row>
    <row r="844" spans="1:42" x14ac:dyDescent="0.45">
      <c r="A844" t="s">
        <v>4383</v>
      </c>
      <c r="B844" t="s">
        <v>4384</v>
      </c>
      <c r="C844" t="s">
        <v>4385</v>
      </c>
      <c r="D844">
        <v>2023</v>
      </c>
      <c r="E844" t="s">
        <v>45</v>
      </c>
      <c r="F844" t="s">
        <v>2020</v>
      </c>
      <c r="G844">
        <v>10</v>
      </c>
      <c r="J844" t="s">
        <v>4437</v>
      </c>
      <c r="K844" t="s">
        <v>4438</v>
      </c>
      <c r="L844" t="s">
        <v>4439</v>
      </c>
      <c r="M844" t="s">
        <v>4440</v>
      </c>
      <c r="N844" t="s">
        <v>221</v>
      </c>
      <c r="O844" t="s">
        <v>222</v>
      </c>
      <c r="P844" t="s">
        <v>223</v>
      </c>
      <c r="Q844" t="s">
        <v>4390</v>
      </c>
      <c r="S844">
        <v>22</v>
      </c>
      <c r="T844" t="s">
        <v>4441</v>
      </c>
      <c r="U844">
        <v>6325</v>
      </c>
      <c r="V844">
        <v>6090</v>
      </c>
      <c r="W844">
        <v>1.0386</v>
      </c>
      <c r="X844" t="s">
        <v>70</v>
      </c>
      <c r="Y844" t="s">
        <v>4392</v>
      </c>
      <c r="Z844">
        <v>1108.72</v>
      </c>
      <c r="AA844">
        <v>6970.02</v>
      </c>
      <c r="AB844">
        <v>7727782</v>
      </c>
      <c r="AC844" t="b">
        <v>1</v>
      </c>
      <c r="AD844" t="b">
        <v>1</v>
      </c>
      <c r="AE844" t="b">
        <v>0</v>
      </c>
      <c r="AF844" t="b">
        <v>0</v>
      </c>
      <c r="AG844" t="s">
        <v>58</v>
      </c>
      <c r="AH844">
        <v>14</v>
      </c>
      <c r="AI844" t="s">
        <v>59</v>
      </c>
      <c r="AJ844" t="s">
        <v>71</v>
      </c>
      <c r="AL844" t="s">
        <v>244</v>
      </c>
      <c r="AM844" t="s">
        <v>245</v>
      </c>
      <c r="AN844" t="s">
        <v>63</v>
      </c>
      <c r="AO844" t="s">
        <v>4393</v>
      </c>
      <c r="AP844" t="s">
        <v>4438</v>
      </c>
    </row>
    <row r="845" spans="1:42" x14ac:dyDescent="0.45">
      <c r="A845" t="s">
        <v>4383</v>
      </c>
      <c r="B845" t="s">
        <v>4384</v>
      </c>
      <c r="C845" t="s">
        <v>4385</v>
      </c>
      <c r="D845">
        <v>2023</v>
      </c>
      <c r="E845" t="s">
        <v>45</v>
      </c>
      <c r="F845" t="s">
        <v>2020</v>
      </c>
      <c r="G845">
        <v>14</v>
      </c>
      <c r="J845" t="s">
        <v>4442</v>
      </c>
      <c r="K845" t="s">
        <v>4443</v>
      </c>
      <c r="L845" t="s">
        <v>4444</v>
      </c>
      <c r="M845" t="s">
        <v>4445</v>
      </c>
      <c r="N845" t="s">
        <v>221</v>
      </c>
      <c r="O845" t="s">
        <v>222</v>
      </c>
      <c r="P845" t="s">
        <v>223</v>
      </c>
      <c r="Q845" t="s">
        <v>4390</v>
      </c>
      <c r="S845">
        <v>18</v>
      </c>
      <c r="T845" t="s">
        <v>4446</v>
      </c>
      <c r="U845">
        <v>6060</v>
      </c>
      <c r="V845">
        <v>6090</v>
      </c>
      <c r="W845">
        <v>0.99509999999999998</v>
      </c>
      <c r="X845" t="s">
        <v>70</v>
      </c>
      <c r="Y845" t="s">
        <v>4392</v>
      </c>
      <c r="Z845">
        <v>1080.72</v>
      </c>
      <c r="AA845">
        <v>6991.38</v>
      </c>
      <c r="AB845">
        <v>7555703</v>
      </c>
      <c r="AC845" t="b">
        <v>1</v>
      </c>
      <c r="AD845" t="b">
        <v>1</v>
      </c>
      <c r="AE845" t="b">
        <v>0</v>
      </c>
      <c r="AF845" t="b">
        <v>0</v>
      </c>
      <c r="AG845" t="s">
        <v>58</v>
      </c>
      <c r="AH845">
        <v>14</v>
      </c>
      <c r="AI845" t="s">
        <v>59</v>
      </c>
      <c r="AJ845" t="s">
        <v>71</v>
      </c>
      <c r="AL845" t="s">
        <v>244</v>
      </c>
      <c r="AM845" t="s">
        <v>245</v>
      </c>
      <c r="AN845" t="s">
        <v>63</v>
      </c>
      <c r="AO845" t="s">
        <v>4393</v>
      </c>
      <c r="AP845" t="s">
        <v>4443</v>
      </c>
    </row>
    <row r="846" spans="1:42" x14ac:dyDescent="0.45">
      <c r="A846" t="s">
        <v>4383</v>
      </c>
      <c r="B846" t="s">
        <v>4384</v>
      </c>
      <c r="C846" t="s">
        <v>4385</v>
      </c>
      <c r="D846">
        <v>2023</v>
      </c>
      <c r="E846" t="s">
        <v>45</v>
      </c>
      <c r="F846" t="s">
        <v>2020</v>
      </c>
      <c r="G846">
        <v>20</v>
      </c>
      <c r="J846" t="s">
        <v>4447</v>
      </c>
      <c r="K846" t="s">
        <v>4448</v>
      </c>
      <c r="L846" t="s">
        <v>4449</v>
      </c>
      <c r="M846" t="s">
        <v>4450</v>
      </c>
      <c r="N846" t="s">
        <v>221</v>
      </c>
      <c r="O846" t="s">
        <v>222</v>
      </c>
      <c r="P846" t="s">
        <v>223</v>
      </c>
      <c r="Q846" t="s">
        <v>4390</v>
      </c>
      <c r="S846">
        <v>12</v>
      </c>
      <c r="T846" t="s">
        <v>4451</v>
      </c>
      <c r="U846">
        <v>6902</v>
      </c>
      <c r="V846">
        <v>6090</v>
      </c>
      <c r="W846">
        <v>1.1333</v>
      </c>
      <c r="X846" t="s">
        <v>70</v>
      </c>
      <c r="Y846" t="s">
        <v>4392</v>
      </c>
      <c r="Z846">
        <v>1038.72</v>
      </c>
      <c r="AA846">
        <v>5784.84</v>
      </c>
      <c r="AB846">
        <v>6008810</v>
      </c>
      <c r="AC846" t="b">
        <v>1</v>
      </c>
      <c r="AD846" t="b">
        <v>1</v>
      </c>
      <c r="AE846" t="b">
        <v>0</v>
      </c>
      <c r="AF846" t="b">
        <v>0</v>
      </c>
      <c r="AG846" t="s">
        <v>58</v>
      </c>
      <c r="AH846">
        <v>14</v>
      </c>
      <c r="AI846" t="s">
        <v>59</v>
      </c>
      <c r="AJ846" t="s">
        <v>71</v>
      </c>
      <c r="AL846" t="s">
        <v>244</v>
      </c>
      <c r="AM846" t="s">
        <v>245</v>
      </c>
      <c r="AN846" t="s">
        <v>63</v>
      </c>
      <c r="AO846" t="s">
        <v>4393</v>
      </c>
      <c r="AP846" t="s">
        <v>4448</v>
      </c>
    </row>
    <row r="847" spans="1:42" x14ac:dyDescent="0.45">
      <c r="A847" t="s">
        <v>4383</v>
      </c>
      <c r="B847" t="s">
        <v>4384</v>
      </c>
      <c r="C847" t="s">
        <v>4385</v>
      </c>
      <c r="D847">
        <v>2023</v>
      </c>
      <c r="E847" t="s">
        <v>45</v>
      </c>
      <c r="F847" t="s">
        <v>2020</v>
      </c>
      <c r="G847">
        <v>15</v>
      </c>
      <c r="J847" t="s">
        <v>4452</v>
      </c>
      <c r="K847" t="s">
        <v>4453</v>
      </c>
      <c r="L847" t="s">
        <v>4454</v>
      </c>
      <c r="M847" t="s">
        <v>4455</v>
      </c>
      <c r="N847" t="s">
        <v>221</v>
      </c>
      <c r="O847" t="s">
        <v>222</v>
      </c>
      <c r="P847" t="s">
        <v>223</v>
      </c>
      <c r="Q847" t="s">
        <v>4390</v>
      </c>
      <c r="S847">
        <v>17</v>
      </c>
      <c r="T847" t="s">
        <v>4456</v>
      </c>
      <c r="U847">
        <v>7427</v>
      </c>
      <c r="V847">
        <v>6090</v>
      </c>
      <c r="W847">
        <v>1.2195</v>
      </c>
      <c r="X847" t="s">
        <v>70</v>
      </c>
      <c r="Y847" t="s">
        <v>4392</v>
      </c>
      <c r="Z847">
        <v>1073.72</v>
      </c>
      <c r="AA847">
        <v>7428.9</v>
      </c>
      <c r="AB847">
        <v>7976544</v>
      </c>
      <c r="AC847" t="b">
        <v>1</v>
      </c>
      <c r="AD847" t="b">
        <v>1</v>
      </c>
      <c r="AE847" t="b">
        <v>0</v>
      </c>
      <c r="AF847" t="b">
        <v>0</v>
      </c>
      <c r="AG847" t="s">
        <v>58</v>
      </c>
      <c r="AH847">
        <v>14</v>
      </c>
      <c r="AI847" t="s">
        <v>59</v>
      </c>
      <c r="AJ847" t="s">
        <v>71</v>
      </c>
      <c r="AL847" t="s">
        <v>244</v>
      </c>
      <c r="AM847" t="s">
        <v>245</v>
      </c>
      <c r="AN847" t="s">
        <v>63</v>
      </c>
      <c r="AO847" t="s">
        <v>4393</v>
      </c>
      <c r="AP847" t="s">
        <v>4453</v>
      </c>
    </row>
    <row r="848" spans="1:42" x14ac:dyDescent="0.45">
      <c r="A848" t="s">
        <v>4383</v>
      </c>
      <c r="B848" t="s">
        <v>4384</v>
      </c>
      <c r="C848" t="s">
        <v>4385</v>
      </c>
      <c r="D848">
        <v>2023</v>
      </c>
      <c r="E848" t="s">
        <v>45</v>
      </c>
      <c r="F848" t="s">
        <v>2020</v>
      </c>
      <c r="G848">
        <v>5</v>
      </c>
      <c r="J848" t="s">
        <v>4457</v>
      </c>
      <c r="K848" t="s">
        <v>4458</v>
      </c>
      <c r="L848" t="s">
        <v>4459</v>
      </c>
      <c r="M848" t="s">
        <v>4460</v>
      </c>
      <c r="N848" t="s">
        <v>221</v>
      </c>
      <c r="O848" t="s">
        <v>222</v>
      </c>
      <c r="P848" t="s">
        <v>223</v>
      </c>
      <c r="Q848" t="s">
        <v>4390</v>
      </c>
      <c r="S848">
        <v>27</v>
      </c>
      <c r="T848" t="s">
        <v>4461</v>
      </c>
      <c r="U848">
        <v>5764</v>
      </c>
      <c r="V848">
        <v>6090</v>
      </c>
      <c r="W848">
        <v>0.94650000000000001</v>
      </c>
      <c r="X848" t="s">
        <v>70</v>
      </c>
      <c r="Y848" t="s">
        <v>4392</v>
      </c>
      <c r="Z848">
        <v>1143.71</v>
      </c>
      <c r="AA848">
        <v>6517.63</v>
      </c>
      <c r="AB848">
        <v>7454304</v>
      </c>
      <c r="AC848" t="b">
        <v>1</v>
      </c>
      <c r="AD848" t="b">
        <v>1</v>
      </c>
      <c r="AE848" t="b">
        <v>0</v>
      </c>
      <c r="AF848" t="b">
        <v>0</v>
      </c>
      <c r="AG848" t="s">
        <v>58</v>
      </c>
      <c r="AH848">
        <v>14</v>
      </c>
      <c r="AI848" t="s">
        <v>59</v>
      </c>
      <c r="AJ848" t="s">
        <v>71</v>
      </c>
      <c r="AL848" t="s">
        <v>244</v>
      </c>
      <c r="AM848" t="s">
        <v>245</v>
      </c>
      <c r="AN848" t="s">
        <v>63</v>
      </c>
      <c r="AO848" t="s">
        <v>4393</v>
      </c>
      <c r="AP848" t="s">
        <v>4458</v>
      </c>
    </row>
    <row r="849" spans="1:42" x14ac:dyDescent="0.45">
      <c r="A849" t="s">
        <v>4383</v>
      </c>
      <c r="B849" t="s">
        <v>4384</v>
      </c>
      <c r="C849" t="s">
        <v>4385</v>
      </c>
      <c r="D849">
        <v>2023</v>
      </c>
      <c r="E849" t="s">
        <v>45</v>
      </c>
      <c r="F849" t="s">
        <v>2020</v>
      </c>
      <c r="G849">
        <v>4</v>
      </c>
      <c r="J849" t="s">
        <v>4462</v>
      </c>
      <c r="K849" t="s">
        <v>4463</v>
      </c>
      <c r="L849" t="s">
        <v>4464</v>
      </c>
      <c r="M849" t="s">
        <v>4465</v>
      </c>
      <c r="N849" t="s">
        <v>221</v>
      </c>
      <c r="O849" t="s">
        <v>222</v>
      </c>
      <c r="P849" t="s">
        <v>223</v>
      </c>
      <c r="Q849" t="s">
        <v>4390</v>
      </c>
      <c r="S849">
        <v>28</v>
      </c>
      <c r="T849" t="s">
        <v>4466</v>
      </c>
      <c r="U849">
        <v>5279</v>
      </c>
      <c r="V849">
        <v>6090</v>
      </c>
      <c r="W849">
        <v>0.86680000000000001</v>
      </c>
      <c r="X849" t="s">
        <v>70</v>
      </c>
      <c r="Y849" t="s">
        <v>4392</v>
      </c>
      <c r="Z849">
        <v>1150.72</v>
      </c>
      <c r="AA849">
        <v>5289.56</v>
      </c>
      <c r="AB849">
        <v>6086784</v>
      </c>
      <c r="AC849" t="b">
        <v>1</v>
      </c>
      <c r="AD849" t="b">
        <v>1</v>
      </c>
      <c r="AE849" t="b">
        <v>0</v>
      </c>
      <c r="AF849" t="b">
        <v>0</v>
      </c>
      <c r="AG849" t="s">
        <v>58</v>
      </c>
      <c r="AH849">
        <v>14</v>
      </c>
      <c r="AI849" t="s">
        <v>59</v>
      </c>
      <c r="AJ849" t="s">
        <v>71</v>
      </c>
      <c r="AL849" t="s">
        <v>244</v>
      </c>
      <c r="AM849" t="s">
        <v>245</v>
      </c>
      <c r="AN849" t="s">
        <v>63</v>
      </c>
      <c r="AO849" t="s">
        <v>4393</v>
      </c>
      <c r="AP849" t="s">
        <v>4463</v>
      </c>
    </row>
    <row r="850" spans="1:42" x14ac:dyDescent="0.45">
      <c r="A850" t="s">
        <v>4383</v>
      </c>
      <c r="B850" t="s">
        <v>4384</v>
      </c>
      <c r="C850" t="s">
        <v>4385</v>
      </c>
      <c r="D850">
        <v>2023</v>
      </c>
      <c r="E850" t="s">
        <v>45</v>
      </c>
      <c r="F850" t="s">
        <v>2020</v>
      </c>
      <c r="J850" t="s">
        <v>4467</v>
      </c>
      <c r="K850" t="s">
        <v>4468</v>
      </c>
      <c r="L850" t="s">
        <v>4469</v>
      </c>
      <c r="M850" t="s">
        <v>4470</v>
      </c>
      <c r="N850" t="s">
        <v>221</v>
      </c>
      <c r="O850" t="s">
        <v>222</v>
      </c>
      <c r="P850" t="s">
        <v>223</v>
      </c>
      <c r="Q850" t="s">
        <v>4390</v>
      </c>
      <c r="S850">
        <v>10</v>
      </c>
      <c r="T850" t="s">
        <v>4471</v>
      </c>
      <c r="U850">
        <v>771</v>
      </c>
      <c r="V850">
        <v>6090</v>
      </c>
      <c r="W850">
        <v>0.12659999999999999</v>
      </c>
      <c r="X850" t="s">
        <v>56</v>
      </c>
      <c r="Y850" t="s">
        <v>4392</v>
      </c>
      <c r="Z850">
        <v>1012.75</v>
      </c>
      <c r="AA850">
        <v>113.44</v>
      </c>
      <c r="AB850">
        <v>114886</v>
      </c>
      <c r="AC850" t="b">
        <v>0</v>
      </c>
      <c r="AD850" t="b">
        <v>0</v>
      </c>
      <c r="AE850" t="b">
        <v>0</v>
      </c>
      <c r="AF850" t="b">
        <v>0</v>
      </c>
      <c r="AG850" t="s">
        <v>58</v>
      </c>
      <c r="AH850">
        <v>8</v>
      </c>
      <c r="AI850" t="s">
        <v>169</v>
      </c>
      <c r="AJ850" t="s">
        <v>60</v>
      </c>
      <c r="AL850" t="s">
        <v>380</v>
      </c>
      <c r="AM850" t="s">
        <v>245</v>
      </c>
      <c r="AN850" t="s">
        <v>63</v>
      </c>
      <c r="AO850" t="s">
        <v>4393</v>
      </c>
      <c r="AP850" t="s">
        <v>4468</v>
      </c>
    </row>
    <row r="851" spans="1:42" x14ac:dyDescent="0.45">
      <c r="A851" t="s">
        <v>4383</v>
      </c>
      <c r="B851" t="s">
        <v>4384</v>
      </c>
      <c r="C851" t="s">
        <v>4385</v>
      </c>
      <c r="D851">
        <v>2023</v>
      </c>
      <c r="E851" t="s">
        <v>45</v>
      </c>
      <c r="F851" t="s">
        <v>2020</v>
      </c>
      <c r="J851" t="s">
        <v>4472</v>
      </c>
      <c r="K851" t="s">
        <v>4473</v>
      </c>
      <c r="L851" t="s">
        <v>4474</v>
      </c>
      <c r="M851" t="s">
        <v>4475</v>
      </c>
      <c r="N851" t="s">
        <v>221</v>
      </c>
      <c r="O851" t="s">
        <v>222</v>
      </c>
      <c r="P851" t="s">
        <v>223</v>
      </c>
      <c r="Q851" t="s">
        <v>4390</v>
      </c>
      <c r="S851">
        <v>4</v>
      </c>
      <c r="T851" t="s">
        <v>4476</v>
      </c>
      <c r="U851">
        <v>1689</v>
      </c>
      <c r="V851">
        <v>6090</v>
      </c>
      <c r="W851">
        <v>0.27729999999999999</v>
      </c>
      <c r="X851" t="s">
        <v>56</v>
      </c>
      <c r="Y851" t="s">
        <v>4392</v>
      </c>
      <c r="Z851">
        <v>970.74</v>
      </c>
      <c r="AA851">
        <v>122.83</v>
      </c>
      <c r="AB851">
        <v>119238</v>
      </c>
      <c r="AC851" t="b">
        <v>0</v>
      </c>
      <c r="AD851" t="b">
        <v>0</v>
      </c>
      <c r="AE851" t="b">
        <v>0</v>
      </c>
      <c r="AF851" t="b">
        <v>0</v>
      </c>
      <c r="AG851" t="s">
        <v>58</v>
      </c>
      <c r="AH851">
        <v>-15</v>
      </c>
      <c r="AI851" t="s">
        <v>59</v>
      </c>
      <c r="AJ851" t="s">
        <v>60</v>
      </c>
      <c r="AK851" t="s">
        <v>333</v>
      </c>
      <c r="AL851" t="s">
        <v>334</v>
      </c>
      <c r="AM851" t="s">
        <v>245</v>
      </c>
      <c r="AN851" t="s">
        <v>63</v>
      </c>
      <c r="AO851" t="s">
        <v>4393</v>
      </c>
      <c r="AP851" t="s">
        <v>4473</v>
      </c>
    </row>
    <row r="852" spans="1:42" x14ac:dyDescent="0.45">
      <c r="A852" t="s">
        <v>4383</v>
      </c>
      <c r="B852" t="s">
        <v>4384</v>
      </c>
      <c r="C852" t="s">
        <v>4385</v>
      </c>
      <c r="D852">
        <v>2023</v>
      </c>
      <c r="E852" t="s">
        <v>45</v>
      </c>
      <c r="F852" t="s">
        <v>2020</v>
      </c>
      <c r="G852">
        <v>8</v>
      </c>
      <c r="J852" t="s">
        <v>4477</v>
      </c>
      <c r="K852" t="s">
        <v>4478</v>
      </c>
      <c r="L852" t="s">
        <v>4479</v>
      </c>
      <c r="M852" t="s">
        <v>4480</v>
      </c>
      <c r="N852" t="s">
        <v>221</v>
      </c>
      <c r="O852" t="s">
        <v>222</v>
      </c>
      <c r="P852" t="s">
        <v>223</v>
      </c>
      <c r="Q852" t="s">
        <v>4390</v>
      </c>
      <c r="S852">
        <v>24</v>
      </c>
      <c r="T852" t="s">
        <v>4481</v>
      </c>
      <c r="U852">
        <v>6225</v>
      </c>
      <c r="V852">
        <v>6090</v>
      </c>
      <c r="W852">
        <v>1.0222</v>
      </c>
      <c r="X852" t="s">
        <v>70</v>
      </c>
      <c r="Y852" t="s">
        <v>4392</v>
      </c>
      <c r="Z852">
        <v>1122.72</v>
      </c>
      <c r="AA852">
        <v>11535.45</v>
      </c>
      <c r="AB852">
        <v>12951049</v>
      </c>
      <c r="AC852" t="b">
        <v>1</v>
      </c>
      <c r="AD852" t="b">
        <v>1</v>
      </c>
      <c r="AE852" t="b">
        <v>0</v>
      </c>
      <c r="AF852" t="b">
        <v>0</v>
      </c>
      <c r="AG852" t="s">
        <v>58</v>
      </c>
      <c r="AH852">
        <v>14</v>
      </c>
      <c r="AI852" t="s">
        <v>59</v>
      </c>
      <c r="AJ852" t="s">
        <v>71</v>
      </c>
      <c r="AL852" t="s">
        <v>244</v>
      </c>
      <c r="AM852" t="s">
        <v>245</v>
      </c>
      <c r="AN852" t="s">
        <v>63</v>
      </c>
      <c r="AO852" t="s">
        <v>4393</v>
      </c>
      <c r="AP852" t="s">
        <v>4478</v>
      </c>
    </row>
    <row r="853" spans="1:42" x14ac:dyDescent="0.45">
      <c r="A853" t="s">
        <v>4383</v>
      </c>
      <c r="B853" t="s">
        <v>4384</v>
      </c>
      <c r="C853" t="s">
        <v>4385</v>
      </c>
      <c r="D853">
        <v>2023</v>
      </c>
      <c r="E853" t="s">
        <v>45</v>
      </c>
      <c r="F853" t="s">
        <v>2020</v>
      </c>
      <c r="J853" t="s">
        <v>4482</v>
      </c>
      <c r="K853" t="s">
        <v>4483</v>
      </c>
      <c r="L853" t="s">
        <v>4484</v>
      </c>
      <c r="M853" t="s">
        <v>4485</v>
      </c>
      <c r="N853" t="s">
        <v>221</v>
      </c>
      <c r="O853" t="s">
        <v>222</v>
      </c>
      <c r="P853" t="s">
        <v>223</v>
      </c>
      <c r="Q853" t="s">
        <v>4390</v>
      </c>
      <c r="S853">
        <v>3</v>
      </c>
      <c r="T853" t="s">
        <v>4486</v>
      </c>
      <c r="U853">
        <v>1434</v>
      </c>
      <c r="V853">
        <v>6090</v>
      </c>
      <c r="W853">
        <v>0.23549999999999999</v>
      </c>
      <c r="X853" t="s">
        <v>56</v>
      </c>
      <c r="Y853" t="s">
        <v>4392</v>
      </c>
      <c r="Z853">
        <v>963.74</v>
      </c>
      <c r="AA853">
        <v>142.19999999999999</v>
      </c>
      <c r="AB853">
        <v>137048</v>
      </c>
      <c r="AC853" t="b">
        <v>0</v>
      </c>
      <c r="AD853" t="b">
        <v>0</v>
      </c>
      <c r="AE853" t="b">
        <v>0</v>
      </c>
      <c r="AF853" t="b">
        <v>0</v>
      </c>
      <c r="AG853" t="s">
        <v>58</v>
      </c>
      <c r="AH853">
        <v>-15</v>
      </c>
      <c r="AI853" t="s">
        <v>59</v>
      </c>
      <c r="AJ853" t="s">
        <v>60</v>
      </c>
      <c r="AK853" t="s">
        <v>333</v>
      </c>
      <c r="AL853" t="s">
        <v>334</v>
      </c>
      <c r="AM853" t="s">
        <v>245</v>
      </c>
      <c r="AN853" t="s">
        <v>63</v>
      </c>
      <c r="AO853" t="s">
        <v>4393</v>
      </c>
      <c r="AP853" t="s">
        <v>4483</v>
      </c>
    </row>
    <row r="854" spans="1:42" x14ac:dyDescent="0.45">
      <c r="A854" t="s">
        <v>4383</v>
      </c>
      <c r="B854" t="s">
        <v>4384</v>
      </c>
      <c r="C854" t="s">
        <v>4385</v>
      </c>
      <c r="D854">
        <v>2023</v>
      </c>
      <c r="E854" t="s">
        <v>45</v>
      </c>
      <c r="F854" t="s">
        <v>2020</v>
      </c>
      <c r="G854">
        <v>16</v>
      </c>
      <c r="J854" t="s">
        <v>4487</v>
      </c>
      <c r="K854" t="s">
        <v>4488</v>
      </c>
      <c r="L854" t="s">
        <v>4489</v>
      </c>
      <c r="M854" t="s">
        <v>4490</v>
      </c>
      <c r="N854" t="s">
        <v>221</v>
      </c>
      <c r="O854" t="s">
        <v>222</v>
      </c>
      <c r="P854" t="s">
        <v>223</v>
      </c>
      <c r="Q854" t="s">
        <v>4390</v>
      </c>
      <c r="S854">
        <v>16</v>
      </c>
      <c r="T854" t="s">
        <v>4491</v>
      </c>
      <c r="U854">
        <v>5449</v>
      </c>
      <c r="V854">
        <v>6090</v>
      </c>
      <c r="W854">
        <v>0.89470000000000005</v>
      </c>
      <c r="X854" t="s">
        <v>70</v>
      </c>
      <c r="Y854" t="s">
        <v>4392</v>
      </c>
      <c r="Z854">
        <v>1066.72</v>
      </c>
      <c r="AA854">
        <v>7835.98</v>
      </c>
      <c r="AB854">
        <v>8358772</v>
      </c>
      <c r="AC854" t="b">
        <v>1</v>
      </c>
      <c r="AD854" t="b">
        <v>1</v>
      </c>
      <c r="AE854" t="b">
        <v>0</v>
      </c>
      <c r="AF854" t="b">
        <v>0</v>
      </c>
      <c r="AG854" t="s">
        <v>58</v>
      </c>
      <c r="AH854">
        <v>14</v>
      </c>
      <c r="AI854" t="s">
        <v>59</v>
      </c>
      <c r="AJ854" t="s">
        <v>71</v>
      </c>
      <c r="AL854" t="s">
        <v>244</v>
      </c>
      <c r="AM854" t="s">
        <v>245</v>
      </c>
      <c r="AN854" t="s">
        <v>63</v>
      </c>
      <c r="AO854" t="s">
        <v>4393</v>
      </c>
      <c r="AP854" t="s">
        <v>4488</v>
      </c>
    </row>
    <row r="855" spans="1:42" x14ac:dyDescent="0.45">
      <c r="A855" t="s">
        <v>4383</v>
      </c>
      <c r="B855" t="s">
        <v>4384</v>
      </c>
      <c r="C855" t="s">
        <v>4385</v>
      </c>
      <c r="D855">
        <v>2023</v>
      </c>
      <c r="E855" t="s">
        <v>45</v>
      </c>
      <c r="F855" t="s">
        <v>2020</v>
      </c>
      <c r="J855" t="s">
        <v>4492</v>
      </c>
      <c r="K855" t="s">
        <v>4493</v>
      </c>
      <c r="L855" t="s">
        <v>4494</v>
      </c>
      <c r="M855" t="s">
        <v>4495</v>
      </c>
      <c r="N855" t="s">
        <v>221</v>
      </c>
      <c r="O855" t="s">
        <v>222</v>
      </c>
      <c r="P855" t="s">
        <v>223</v>
      </c>
      <c r="Q855" t="s">
        <v>4390</v>
      </c>
      <c r="S855">
        <v>5</v>
      </c>
      <c r="T855" t="s">
        <v>4496</v>
      </c>
      <c r="U855">
        <v>1596</v>
      </c>
      <c r="V855">
        <v>6090</v>
      </c>
      <c r="W855">
        <v>0.2621</v>
      </c>
      <c r="X855" t="s">
        <v>56</v>
      </c>
      <c r="Y855" t="s">
        <v>4392</v>
      </c>
      <c r="Z855">
        <v>977.73</v>
      </c>
      <c r="AA855">
        <v>277.27999999999997</v>
      </c>
      <c r="AB855">
        <v>271103</v>
      </c>
      <c r="AC855" t="b">
        <v>0</v>
      </c>
      <c r="AD855" t="b">
        <v>0</v>
      </c>
      <c r="AE855" t="b">
        <v>0</v>
      </c>
      <c r="AF855" t="b">
        <v>0</v>
      </c>
      <c r="AG855" t="s">
        <v>58</v>
      </c>
      <c r="AH855">
        <v>-15</v>
      </c>
      <c r="AI855" t="s">
        <v>59</v>
      </c>
      <c r="AJ855" t="s">
        <v>60</v>
      </c>
      <c r="AK855" t="s">
        <v>333</v>
      </c>
      <c r="AL855" t="s">
        <v>334</v>
      </c>
      <c r="AM855" t="s">
        <v>245</v>
      </c>
      <c r="AN855" t="s">
        <v>63</v>
      </c>
      <c r="AO855" t="s">
        <v>4393</v>
      </c>
      <c r="AP855" t="s">
        <v>4493</v>
      </c>
    </row>
    <row r="856" spans="1:42" x14ac:dyDescent="0.45">
      <c r="A856" t="s">
        <v>4383</v>
      </c>
      <c r="B856" t="s">
        <v>4384</v>
      </c>
      <c r="C856" t="s">
        <v>4385</v>
      </c>
      <c r="D856">
        <v>2023</v>
      </c>
      <c r="E856" t="s">
        <v>45</v>
      </c>
      <c r="F856" t="s">
        <v>2020</v>
      </c>
      <c r="J856" t="s">
        <v>4497</v>
      </c>
      <c r="K856" t="s">
        <v>4498</v>
      </c>
      <c r="L856" t="s">
        <v>4499</v>
      </c>
      <c r="M856" t="s">
        <v>4500</v>
      </c>
      <c r="N856" t="s">
        <v>221</v>
      </c>
      <c r="O856" t="s">
        <v>222</v>
      </c>
      <c r="P856" t="s">
        <v>223</v>
      </c>
      <c r="Q856" t="s">
        <v>4390</v>
      </c>
      <c r="S856">
        <v>6</v>
      </c>
      <c r="T856" t="s">
        <v>4501</v>
      </c>
      <c r="U856">
        <v>1234</v>
      </c>
      <c r="V856">
        <v>6090</v>
      </c>
      <c r="W856">
        <v>0.2026</v>
      </c>
      <c r="X856" t="s">
        <v>56</v>
      </c>
      <c r="Y856" t="s">
        <v>4392</v>
      </c>
      <c r="Z856">
        <v>984.75</v>
      </c>
      <c r="AA856">
        <v>210.39</v>
      </c>
      <c r="AB856">
        <v>207179</v>
      </c>
      <c r="AC856" t="b">
        <v>0</v>
      </c>
      <c r="AD856" t="b">
        <v>0</v>
      </c>
      <c r="AE856" t="b">
        <v>0</v>
      </c>
      <c r="AF856" t="b">
        <v>0</v>
      </c>
      <c r="AG856" t="s">
        <v>58</v>
      </c>
      <c r="AH856">
        <v>-15</v>
      </c>
      <c r="AI856" t="s">
        <v>59</v>
      </c>
      <c r="AJ856" t="s">
        <v>60</v>
      </c>
      <c r="AK856" t="s">
        <v>333</v>
      </c>
      <c r="AL856" t="s">
        <v>334</v>
      </c>
      <c r="AM856" t="s">
        <v>245</v>
      </c>
      <c r="AN856" t="s">
        <v>63</v>
      </c>
      <c r="AO856" t="s">
        <v>4393</v>
      </c>
      <c r="AP856" t="s">
        <v>4498</v>
      </c>
    </row>
    <row r="857" spans="1:42" x14ac:dyDescent="0.45">
      <c r="A857" t="s">
        <v>4383</v>
      </c>
      <c r="B857" t="s">
        <v>4384</v>
      </c>
      <c r="C857" t="s">
        <v>4385</v>
      </c>
      <c r="D857">
        <v>2023</v>
      </c>
      <c r="E857" t="s">
        <v>45</v>
      </c>
      <c r="F857" t="s">
        <v>2020</v>
      </c>
      <c r="G857">
        <v>2</v>
      </c>
      <c r="J857" t="s">
        <v>4502</v>
      </c>
      <c r="K857" t="s">
        <v>4503</v>
      </c>
      <c r="L857" t="s">
        <v>4504</v>
      </c>
      <c r="M857" t="s">
        <v>4505</v>
      </c>
      <c r="N857" t="s">
        <v>221</v>
      </c>
      <c r="O857" t="s">
        <v>222</v>
      </c>
      <c r="P857" t="s">
        <v>223</v>
      </c>
      <c r="Q857" t="s">
        <v>4390</v>
      </c>
      <c r="S857">
        <v>30</v>
      </c>
      <c r="T857" t="s">
        <v>4506</v>
      </c>
      <c r="U857">
        <v>5921</v>
      </c>
      <c r="V857">
        <v>6090</v>
      </c>
      <c r="W857">
        <v>0.97219999999999995</v>
      </c>
      <c r="X857" t="s">
        <v>70</v>
      </c>
      <c r="Y857" t="s">
        <v>4392</v>
      </c>
      <c r="Z857">
        <v>1164.7</v>
      </c>
      <c r="AA857">
        <v>4235.75</v>
      </c>
      <c r="AB857">
        <v>4933377</v>
      </c>
      <c r="AC857" t="b">
        <v>1</v>
      </c>
      <c r="AD857" t="b">
        <v>1</v>
      </c>
      <c r="AE857" t="b">
        <v>0</v>
      </c>
      <c r="AF857" t="b">
        <v>0</v>
      </c>
      <c r="AG857" t="s">
        <v>58</v>
      </c>
      <c r="AH857">
        <v>14</v>
      </c>
      <c r="AI857" t="s">
        <v>59</v>
      </c>
      <c r="AJ857" t="s">
        <v>71</v>
      </c>
      <c r="AL857" t="s">
        <v>244</v>
      </c>
      <c r="AM857" t="s">
        <v>245</v>
      </c>
      <c r="AN857" t="s">
        <v>63</v>
      </c>
      <c r="AO857" t="s">
        <v>4393</v>
      </c>
      <c r="AP857" t="s">
        <v>4503</v>
      </c>
    </row>
    <row r="858" spans="1:42" x14ac:dyDescent="0.45">
      <c r="A858" t="s">
        <v>4383</v>
      </c>
      <c r="B858" t="s">
        <v>4384</v>
      </c>
      <c r="C858" t="s">
        <v>4385</v>
      </c>
      <c r="D858">
        <v>2023</v>
      </c>
      <c r="E858" t="s">
        <v>45</v>
      </c>
      <c r="F858" t="s">
        <v>2020</v>
      </c>
      <c r="J858" t="s">
        <v>4507</v>
      </c>
      <c r="K858" t="s">
        <v>4508</v>
      </c>
      <c r="L858" t="s">
        <v>4509</v>
      </c>
      <c r="M858" t="s">
        <v>4510</v>
      </c>
      <c r="N858" t="s">
        <v>221</v>
      </c>
      <c r="O858" t="s">
        <v>222</v>
      </c>
      <c r="P858" t="s">
        <v>223</v>
      </c>
      <c r="Q858" t="s">
        <v>4390</v>
      </c>
      <c r="S858">
        <v>2</v>
      </c>
      <c r="T858" t="s">
        <v>4511</v>
      </c>
      <c r="U858">
        <v>1521</v>
      </c>
      <c r="V858">
        <v>6090</v>
      </c>
      <c r="W858">
        <v>0.24979999999999999</v>
      </c>
      <c r="X858" t="s">
        <v>56</v>
      </c>
      <c r="Y858" t="s">
        <v>4392</v>
      </c>
      <c r="Z858">
        <v>956.75</v>
      </c>
      <c r="AA858">
        <v>140.88999999999999</v>
      </c>
      <c r="AB858">
        <v>134792</v>
      </c>
      <c r="AC858" t="b">
        <v>0</v>
      </c>
      <c r="AD858" t="b">
        <v>0</v>
      </c>
      <c r="AE858" t="b">
        <v>0</v>
      </c>
      <c r="AF858" t="b">
        <v>0</v>
      </c>
      <c r="AG858" t="s">
        <v>58</v>
      </c>
      <c r="AH858">
        <v>-15</v>
      </c>
      <c r="AI858" t="s">
        <v>59</v>
      </c>
      <c r="AJ858" t="s">
        <v>60</v>
      </c>
      <c r="AK858" t="s">
        <v>333</v>
      </c>
      <c r="AL858" t="s">
        <v>334</v>
      </c>
      <c r="AM858" t="s">
        <v>245</v>
      </c>
      <c r="AN858" t="s">
        <v>63</v>
      </c>
      <c r="AO858" t="s">
        <v>4393</v>
      </c>
      <c r="AP858" t="s">
        <v>4508</v>
      </c>
    </row>
    <row r="859" spans="1:42" x14ac:dyDescent="0.45">
      <c r="A859" t="s">
        <v>4383</v>
      </c>
      <c r="B859" t="s">
        <v>4384</v>
      </c>
      <c r="C859" t="s">
        <v>4385</v>
      </c>
      <c r="D859">
        <v>2023</v>
      </c>
      <c r="E859" t="s">
        <v>45</v>
      </c>
      <c r="F859" t="s">
        <v>2020</v>
      </c>
      <c r="G859">
        <v>6</v>
      </c>
      <c r="J859" t="s">
        <v>4512</v>
      </c>
      <c r="K859" t="s">
        <v>4513</v>
      </c>
      <c r="L859" t="s">
        <v>4514</v>
      </c>
      <c r="M859" t="s">
        <v>4515</v>
      </c>
      <c r="N859" t="s">
        <v>221</v>
      </c>
      <c r="O859" t="s">
        <v>222</v>
      </c>
      <c r="P859" t="s">
        <v>223</v>
      </c>
      <c r="Q859" t="s">
        <v>4390</v>
      </c>
      <c r="S859">
        <v>26</v>
      </c>
      <c r="T859" t="s">
        <v>4516</v>
      </c>
      <c r="U859">
        <v>6404</v>
      </c>
      <c r="V859">
        <v>6090</v>
      </c>
      <c r="W859">
        <v>1.0516000000000001</v>
      </c>
      <c r="X859" t="s">
        <v>70</v>
      </c>
      <c r="Y859" t="s">
        <v>4392</v>
      </c>
      <c r="Z859">
        <v>1136.72</v>
      </c>
      <c r="AA859">
        <v>7620.91</v>
      </c>
      <c r="AB859">
        <v>8662824</v>
      </c>
      <c r="AC859" t="b">
        <v>1</v>
      </c>
      <c r="AD859" t="b">
        <v>1</v>
      </c>
      <c r="AE859" t="b">
        <v>0</v>
      </c>
      <c r="AF859" t="b">
        <v>0</v>
      </c>
      <c r="AG859" t="s">
        <v>58</v>
      </c>
      <c r="AH859">
        <v>14</v>
      </c>
      <c r="AI859" t="s">
        <v>59</v>
      </c>
      <c r="AJ859" t="s">
        <v>71</v>
      </c>
      <c r="AL859" t="s">
        <v>244</v>
      </c>
      <c r="AM859" t="s">
        <v>245</v>
      </c>
      <c r="AN859" t="s">
        <v>63</v>
      </c>
      <c r="AO859" t="s">
        <v>4393</v>
      </c>
      <c r="AP859" t="s">
        <v>4513</v>
      </c>
    </row>
    <row r="860" spans="1:42" x14ac:dyDescent="0.45">
      <c r="A860" t="s">
        <v>4383</v>
      </c>
      <c r="B860" t="s">
        <v>4384</v>
      </c>
      <c r="C860" t="s">
        <v>4385</v>
      </c>
      <c r="D860">
        <v>2023</v>
      </c>
      <c r="E860" t="s">
        <v>45</v>
      </c>
      <c r="F860" t="s">
        <v>2020</v>
      </c>
      <c r="G860">
        <v>3</v>
      </c>
      <c r="J860" t="s">
        <v>4517</v>
      </c>
      <c r="K860" t="s">
        <v>4518</v>
      </c>
      <c r="L860" t="s">
        <v>4519</v>
      </c>
      <c r="M860" t="s">
        <v>4520</v>
      </c>
      <c r="N860" t="s">
        <v>221</v>
      </c>
      <c r="O860" t="s">
        <v>222</v>
      </c>
      <c r="P860" t="s">
        <v>223</v>
      </c>
      <c r="Q860" t="s">
        <v>4390</v>
      </c>
      <c r="S860">
        <v>29</v>
      </c>
      <c r="T860" t="s">
        <v>4521</v>
      </c>
      <c r="U860">
        <v>5666</v>
      </c>
      <c r="V860">
        <v>6090</v>
      </c>
      <c r="W860">
        <v>0.9304</v>
      </c>
      <c r="X860" t="s">
        <v>70</v>
      </c>
      <c r="Y860" t="s">
        <v>4392</v>
      </c>
      <c r="Z860">
        <v>1157.72</v>
      </c>
      <c r="AA860">
        <v>5386.17</v>
      </c>
      <c r="AB860">
        <v>6235659</v>
      </c>
      <c r="AC860" t="b">
        <v>1</v>
      </c>
      <c r="AD860" t="b">
        <v>1</v>
      </c>
      <c r="AE860" t="b">
        <v>0</v>
      </c>
      <c r="AF860" t="b">
        <v>0</v>
      </c>
      <c r="AG860" t="s">
        <v>58</v>
      </c>
      <c r="AH860">
        <v>14</v>
      </c>
      <c r="AI860" t="s">
        <v>59</v>
      </c>
      <c r="AJ860" t="s">
        <v>71</v>
      </c>
      <c r="AL860" t="s">
        <v>244</v>
      </c>
      <c r="AM860" t="s">
        <v>245</v>
      </c>
      <c r="AN860" t="s">
        <v>63</v>
      </c>
      <c r="AO860" t="s">
        <v>4393</v>
      </c>
      <c r="AP860" t="s">
        <v>4518</v>
      </c>
    </row>
    <row r="861" spans="1:42" x14ac:dyDescent="0.45">
      <c r="A861" t="s">
        <v>4383</v>
      </c>
      <c r="B861" t="s">
        <v>4384</v>
      </c>
      <c r="C861" t="s">
        <v>4385</v>
      </c>
      <c r="D861">
        <v>2023</v>
      </c>
      <c r="E861" t="s">
        <v>45</v>
      </c>
      <c r="F861" t="s">
        <v>2020</v>
      </c>
      <c r="J861" t="s">
        <v>4522</v>
      </c>
      <c r="K861" t="s">
        <v>4523</v>
      </c>
      <c r="L861" t="s">
        <v>4524</v>
      </c>
      <c r="M861" t="s">
        <v>4525</v>
      </c>
      <c r="N861" t="s">
        <v>221</v>
      </c>
      <c r="O861" t="s">
        <v>222</v>
      </c>
      <c r="P861" t="s">
        <v>223</v>
      </c>
      <c r="Q861" t="s">
        <v>4390</v>
      </c>
      <c r="S861">
        <v>1</v>
      </c>
      <c r="T861" t="s">
        <v>4526</v>
      </c>
      <c r="U861">
        <v>1428</v>
      </c>
      <c r="V861">
        <v>6090</v>
      </c>
      <c r="W861">
        <v>0.23449999999999999</v>
      </c>
      <c r="X861" t="s">
        <v>56</v>
      </c>
      <c r="Y861" t="s">
        <v>4392</v>
      </c>
      <c r="Z861">
        <v>949.75</v>
      </c>
      <c r="AA861">
        <v>132.15</v>
      </c>
      <c r="AB861">
        <v>125514</v>
      </c>
      <c r="AC861" t="b">
        <v>0</v>
      </c>
      <c r="AD861" t="b">
        <v>0</v>
      </c>
      <c r="AE861" t="b">
        <v>0</v>
      </c>
      <c r="AF861" t="b">
        <v>0</v>
      </c>
      <c r="AG861" t="s">
        <v>58</v>
      </c>
      <c r="AH861">
        <v>-15</v>
      </c>
      <c r="AI861" t="s">
        <v>59</v>
      </c>
      <c r="AJ861" t="s">
        <v>60</v>
      </c>
      <c r="AK861" t="s">
        <v>333</v>
      </c>
      <c r="AL861" t="s">
        <v>334</v>
      </c>
      <c r="AM861" t="s">
        <v>245</v>
      </c>
      <c r="AN861" t="s">
        <v>63</v>
      </c>
      <c r="AO861" t="s">
        <v>4393</v>
      </c>
      <c r="AP861" t="s">
        <v>4523</v>
      </c>
    </row>
    <row r="862" spans="1:42" x14ac:dyDescent="0.45">
      <c r="A862" t="s">
        <v>4383</v>
      </c>
      <c r="B862" t="s">
        <v>4384</v>
      </c>
      <c r="C862" t="s">
        <v>4385</v>
      </c>
      <c r="D862">
        <v>2023</v>
      </c>
      <c r="E862" t="s">
        <v>45</v>
      </c>
      <c r="F862" t="s">
        <v>2020</v>
      </c>
      <c r="G862">
        <v>1</v>
      </c>
      <c r="J862" t="s">
        <v>4527</v>
      </c>
      <c r="K862" t="s">
        <v>4528</v>
      </c>
      <c r="L862" t="s">
        <v>4529</v>
      </c>
      <c r="M862" t="s">
        <v>4530</v>
      </c>
      <c r="N862" t="s">
        <v>221</v>
      </c>
      <c r="O862" t="s">
        <v>222</v>
      </c>
      <c r="P862" t="s">
        <v>223</v>
      </c>
      <c r="Q862" t="s">
        <v>4390</v>
      </c>
      <c r="S862">
        <v>31</v>
      </c>
      <c r="T862" t="s">
        <v>4531</v>
      </c>
      <c r="U862">
        <v>6999</v>
      </c>
      <c r="V862">
        <v>6090</v>
      </c>
      <c r="W862">
        <v>1.1493</v>
      </c>
      <c r="X862" t="s">
        <v>70</v>
      </c>
      <c r="Y862" t="s">
        <v>4392</v>
      </c>
      <c r="Z862">
        <v>1171.7</v>
      </c>
      <c r="AA862">
        <v>7713.6</v>
      </c>
      <c r="AB862">
        <v>9038028</v>
      </c>
      <c r="AC862" t="b">
        <v>1</v>
      </c>
      <c r="AD862" t="b">
        <v>1</v>
      </c>
      <c r="AE862" t="b">
        <v>0</v>
      </c>
      <c r="AF862" t="b">
        <v>0</v>
      </c>
      <c r="AG862" t="s">
        <v>58</v>
      </c>
      <c r="AH862">
        <v>14</v>
      </c>
      <c r="AI862" t="s">
        <v>59</v>
      </c>
      <c r="AJ862" t="s">
        <v>71</v>
      </c>
      <c r="AL862" t="s">
        <v>244</v>
      </c>
      <c r="AM862" t="s">
        <v>245</v>
      </c>
      <c r="AN862" t="s">
        <v>63</v>
      </c>
      <c r="AO862" t="s">
        <v>4393</v>
      </c>
      <c r="AP862" t="s">
        <v>4528</v>
      </c>
    </row>
    <row r="863" spans="1:42" x14ac:dyDescent="0.45">
      <c r="A863" t="s">
        <v>4383</v>
      </c>
      <c r="B863" t="s">
        <v>4384</v>
      </c>
      <c r="C863" t="s">
        <v>4385</v>
      </c>
      <c r="D863">
        <v>2023</v>
      </c>
      <c r="E863" t="s">
        <v>45</v>
      </c>
      <c r="F863" t="s">
        <v>2020</v>
      </c>
      <c r="G863">
        <v>18</v>
      </c>
      <c r="J863" t="s">
        <v>4532</v>
      </c>
      <c r="K863" t="s">
        <v>4533</v>
      </c>
      <c r="L863" t="s">
        <v>4534</v>
      </c>
      <c r="M863" t="s">
        <v>4535</v>
      </c>
      <c r="N863" t="s">
        <v>221</v>
      </c>
      <c r="O863" t="s">
        <v>222</v>
      </c>
      <c r="P863" t="s">
        <v>223</v>
      </c>
      <c r="Q863" t="s">
        <v>4390</v>
      </c>
      <c r="S863">
        <v>14</v>
      </c>
      <c r="T863" t="s">
        <v>4536</v>
      </c>
      <c r="U863">
        <v>5558</v>
      </c>
      <c r="V863">
        <v>6090</v>
      </c>
      <c r="W863">
        <v>0.91259999999999997</v>
      </c>
      <c r="X863" t="s">
        <v>70</v>
      </c>
      <c r="Y863" t="s">
        <v>4392</v>
      </c>
      <c r="Z863">
        <v>1052.72</v>
      </c>
      <c r="AA863">
        <v>7102.33</v>
      </c>
      <c r="AB863">
        <v>7476746</v>
      </c>
      <c r="AC863" t="b">
        <v>1</v>
      </c>
      <c r="AD863" t="b">
        <v>1</v>
      </c>
      <c r="AE863" t="b">
        <v>0</v>
      </c>
      <c r="AF863" t="b">
        <v>0</v>
      </c>
      <c r="AG863" t="s">
        <v>58</v>
      </c>
      <c r="AH863">
        <v>14</v>
      </c>
      <c r="AI863" t="s">
        <v>59</v>
      </c>
      <c r="AJ863" t="s">
        <v>71</v>
      </c>
      <c r="AL863" t="s">
        <v>244</v>
      </c>
      <c r="AM863" t="s">
        <v>245</v>
      </c>
      <c r="AN863" t="s">
        <v>63</v>
      </c>
      <c r="AO863" t="s">
        <v>4393</v>
      </c>
      <c r="AP863" t="s">
        <v>4533</v>
      </c>
    </row>
    <row r="864" spans="1:42" x14ac:dyDescent="0.45">
      <c r="A864" t="s">
        <v>4383</v>
      </c>
      <c r="B864" t="s">
        <v>4384</v>
      </c>
      <c r="C864" t="s">
        <v>4385</v>
      </c>
      <c r="D864">
        <v>2023</v>
      </c>
      <c r="E864" t="s">
        <v>45</v>
      </c>
      <c r="F864" t="s">
        <v>2020</v>
      </c>
      <c r="J864" t="s">
        <v>4537</v>
      </c>
      <c r="K864" t="s">
        <v>4538</v>
      </c>
      <c r="L864" t="s">
        <v>4539</v>
      </c>
      <c r="M864" t="s">
        <v>4540</v>
      </c>
      <c r="N864" t="s">
        <v>221</v>
      </c>
      <c r="O864" t="s">
        <v>222</v>
      </c>
      <c r="P864" t="s">
        <v>223</v>
      </c>
      <c r="Q864" t="s">
        <v>4390</v>
      </c>
      <c r="S864">
        <v>0</v>
      </c>
      <c r="T864" t="s">
        <v>4541</v>
      </c>
      <c r="U864">
        <v>1972</v>
      </c>
      <c r="V864">
        <v>6090</v>
      </c>
      <c r="W864">
        <v>0.32379999999999998</v>
      </c>
      <c r="X864" t="s">
        <v>56</v>
      </c>
      <c r="Y864" t="s">
        <v>4392</v>
      </c>
      <c r="Z864">
        <v>942.75</v>
      </c>
      <c r="AA864">
        <v>156.62</v>
      </c>
      <c r="AB864">
        <v>147650</v>
      </c>
      <c r="AC864" t="b">
        <v>0</v>
      </c>
      <c r="AD864" t="b">
        <v>0</v>
      </c>
      <c r="AE864" t="b">
        <v>0</v>
      </c>
      <c r="AF864" t="b">
        <v>0</v>
      </c>
      <c r="AG864" t="s">
        <v>58</v>
      </c>
      <c r="AH864">
        <v>-15</v>
      </c>
      <c r="AI864" t="s">
        <v>59</v>
      </c>
      <c r="AJ864" t="s">
        <v>60</v>
      </c>
      <c r="AK864" t="s">
        <v>333</v>
      </c>
      <c r="AL864" t="s">
        <v>334</v>
      </c>
      <c r="AM864" t="s">
        <v>245</v>
      </c>
      <c r="AN864" t="s">
        <v>63</v>
      </c>
      <c r="AO864" t="s">
        <v>4393</v>
      </c>
      <c r="AP864" t="s">
        <v>4538</v>
      </c>
    </row>
    <row r="865" spans="1:42" x14ac:dyDescent="0.45">
      <c r="A865" t="s">
        <v>4383</v>
      </c>
      <c r="B865" t="s">
        <v>4384</v>
      </c>
      <c r="C865" t="s">
        <v>4385</v>
      </c>
      <c r="D865">
        <v>2023</v>
      </c>
      <c r="E865" t="s">
        <v>45</v>
      </c>
      <c r="F865" t="s">
        <v>2020</v>
      </c>
      <c r="J865" t="s">
        <v>4542</v>
      </c>
      <c r="K865" t="s">
        <v>4543</v>
      </c>
      <c r="L865" t="s">
        <v>4544</v>
      </c>
      <c r="M865" t="s">
        <v>4545</v>
      </c>
      <c r="N865" t="s">
        <v>221</v>
      </c>
      <c r="O865" t="s">
        <v>222</v>
      </c>
      <c r="P865" t="s">
        <v>223</v>
      </c>
      <c r="Q865" t="s">
        <v>4390</v>
      </c>
      <c r="S865">
        <v>9</v>
      </c>
      <c r="T865" t="s">
        <v>4546</v>
      </c>
      <c r="U865">
        <v>1924</v>
      </c>
      <c r="V865">
        <v>6090</v>
      </c>
      <c r="W865">
        <v>0.31590000000000001</v>
      </c>
      <c r="X865" t="s">
        <v>56</v>
      </c>
      <c r="Y865" t="s">
        <v>4392</v>
      </c>
      <c r="Z865">
        <v>1005.75</v>
      </c>
      <c r="AA865">
        <v>784.7</v>
      </c>
      <c r="AB865">
        <v>789216</v>
      </c>
      <c r="AC865" t="b">
        <v>0</v>
      </c>
      <c r="AD865" t="b">
        <v>0</v>
      </c>
      <c r="AE865" t="b">
        <v>0</v>
      </c>
      <c r="AF865" t="b">
        <v>0</v>
      </c>
      <c r="AG865" t="s">
        <v>58</v>
      </c>
      <c r="AH865">
        <v>-15</v>
      </c>
      <c r="AI865" t="s">
        <v>59</v>
      </c>
      <c r="AJ865" t="s">
        <v>60</v>
      </c>
      <c r="AK865" t="s">
        <v>333</v>
      </c>
      <c r="AL865" t="s">
        <v>334</v>
      </c>
      <c r="AM865" t="s">
        <v>245</v>
      </c>
      <c r="AN865" t="s">
        <v>63</v>
      </c>
      <c r="AO865" t="s">
        <v>4393</v>
      </c>
      <c r="AP865" t="s">
        <v>4543</v>
      </c>
    </row>
    <row r="866" spans="1:42" x14ac:dyDescent="0.45">
      <c r="A866" t="s">
        <v>4547</v>
      </c>
      <c r="B866" t="s">
        <v>4548</v>
      </c>
      <c r="C866" t="s">
        <v>4549</v>
      </c>
      <c r="D866">
        <v>2025</v>
      </c>
      <c r="E866" t="s">
        <v>45</v>
      </c>
      <c r="F866" t="s">
        <v>2020</v>
      </c>
      <c r="G866">
        <v>2</v>
      </c>
      <c r="J866" t="s">
        <v>4550</v>
      </c>
      <c r="K866" t="s">
        <v>4551</v>
      </c>
      <c r="L866" t="s">
        <v>4552</v>
      </c>
      <c r="M866" t="s">
        <v>4553</v>
      </c>
      <c r="N866" t="s">
        <v>4554</v>
      </c>
      <c r="O866" t="s">
        <v>4555</v>
      </c>
      <c r="P866" t="s">
        <v>223</v>
      </c>
      <c r="Q866" t="s">
        <v>4556</v>
      </c>
      <c r="S866">
        <v>55</v>
      </c>
      <c r="T866" t="s">
        <v>4557</v>
      </c>
      <c r="U866">
        <v>65</v>
      </c>
      <c r="V866">
        <v>3524</v>
      </c>
      <c r="W866">
        <v>1.84E-2</v>
      </c>
      <c r="X866" t="s">
        <v>56</v>
      </c>
      <c r="Y866" t="s">
        <v>4558</v>
      </c>
      <c r="Z866">
        <v>489.67</v>
      </c>
      <c r="AA866">
        <v>1.96</v>
      </c>
      <c r="AB866">
        <v>962</v>
      </c>
      <c r="AC866" t="b">
        <v>0</v>
      </c>
      <c r="AD866" t="b">
        <v>0</v>
      </c>
      <c r="AE866" t="b">
        <v>0</v>
      </c>
      <c r="AF866" t="b">
        <v>0</v>
      </c>
      <c r="AG866" t="s">
        <v>58</v>
      </c>
      <c r="AH866">
        <v>-15</v>
      </c>
      <c r="AI866" t="s">
        <v>59</v>
      </c>
      <c r="AJ866" t="s">
        <v>60</v>
      </c>
      <c r="AK866" t="s">
        <v>4559</v>
      </c>
      <c r="AL866" t="s">
        <v>4560</v>
      </c>
      <c r="AM866" t="s">
        <v>245</v>
      </c>
      <c r="AN866" t="s">
        <v>63</v>
      </c>
      <c r="AO866" t="s">
        <v>4561</v>
      </c>
      <c r="AP866" t="s">
        <v>4551</v>
      </c>
    </row>
    <row r="867" spans="1:42" x14ac:dyDescent="0.45">
      <c r="A867" t="s">
        <v>4547</v>
      </c>
      <c r="B867" t="s">
        <v>4548</v>
      </c>
      <c r="C867" t="s">
        <v>4549</v>
      </c>
      <c r="D867">
        <v>2025</v>
      </c>
      <c r="E867" t="s">
        <v>45</v>
      </c>
      <c r="F867" t="s">
        <v>2020</v>
      </c>
      <c r="G867">
        <v>3</v>
      </c>
      <c r="J867" t="s">
        <v>4562</v>
      </c>
      <c r="K867" t="s">
        <v>4563</v>
      </c>
      <c r="L867" t="s">
        <v>4564</v>
      </c>
      <c r="M867" t="s">
        <v>4565</v>
      </c>
      <c r="N867" t="s">
        <v>4554</v>
      </c>
      <c r="O867" t="s">
        <v>4555</v>
      </c>
      <c r="P867" t="s">
        <v>223</v>
      </c>
      <c r="Q867" t="s">
        <v>4556</v>
      </c>
      <c r="S867">
        <v>63</v>
      </c>
      <c r="T867" t="s">
        <v>4566</v>
      </c>
      <c r="U867">
        <v>68</v>
      </c>
      <c r="V867">
        <v>3524</v>
      </c>
      <c r="W867">
        <v>1.9300000000000001E-2</v>
      </c>
      <c r="X867" t="s">
        <v>56</v>
      </c>
      <c r="Y867" t="s">
        <v>4558</v>
      </c>
      <c r="Z867">
        <v>485.19</v>
      </c>
      <c r="AA867">
        <v>2.15</v>
      </c>
      <c r="AB867">
        <v>1041</v>
      </c>
      <c r="AC867" t="b">
        <v>1</v>
      </c>
      <c r="AD867" t="b">
        <v>0</v>
      </c>
      <c r="AE867" t="b">
        <v>0</v>
      </c>
      <c r="AF867" t="b">
        <v>0</v>
      </c>
      <c r="AG867" t="s">
        <v>58</v>
      </c>
      <c r="AH867">
        <v>12</v>
      </c>
      <c r="AI867" t="s">
        <v>59</v>
      </c>
      <c r="AJ867" t="s">
        <v>60</v>
      </c>
      <c r="AK867" t="s">
        <v>252</v>
      </c>
      <c r="AL867" t="s">
        <v>415</v>
      </c>
      <c r="AM867" t="s">
        <v>245</v>
      </c>
      <c r="AN867" t="s">
        <v>63</v>
      </c>
      <c r="AO867" t="s">
        <v>4561</v>
      </c>
      <c r="AP867" t="s">
        <v>4563</v>
      </c>
    </row>
    <row r="868" spans="1:42" x14ac:dyDescent="0.45">
      <c r="A868" t="s">
        <v>4547</v>
      </c>
      <c r="B868" t="s">
        <v>4548</v>
      </c>
      <c r="C868" t="s">
        <v>4549</v>
      </c>
      <c r="D868">
        <v>2025</v>
      </c>
      <c r="E868" t="s">
        <v>45</v>
      </c>
      <c r="F868" t="s">
        <v>2020</v>
      </c>
      <c r="G868">
        <v>5</v>
      </c>
      <c r="J868" t="s">
        <v>4567</v>
      </c>
      <c r="K868" t="s">
        <v>4568</v>
      </c>
      <c r="L868" t="s">
        <v>4569</v>
      </c>
      <c r="M868" t="s">
        <v>4570</v>
      </c>
      <c r="N868" t="s">
        <v>4554</v>
      </c>
      <c r="O868" t="s">
        <v>4555</v>
      </c>
      <c r="P868" t="s">
        <v>223</v>
      </c>
      <c r="Q868" t="s">
        <v>4556</v>
      </c>
      <c r="S868">
        <v>4</v>
      </c>
      <c r="T868" t="s">
        <v>4571</v>
      </c>
      <c r="U868">
        <v>3252</v>
      </c>
      <c r="V868">
        <v>3524</v>
      </c>
      <c r="W868">
        <v>0.92279999999999995</v>
      </c>
      <c r="X868" t="s">
        <v>70</v>
      </c>
      <c r="Y868" t="s">
        <v>4558</v>
      </c>
      <c r="Z868">
        <v>472.75</v>
      </c>
      <c r="AA868">
        <v>1236.96</v>
      </c>
      <c r="AB868">
        <v>584778</v>
      </c>
      <c r="AC868" t="b">
        <v>1</v>
      </c>
      <c r="AD868" t="b">
        <v>1</v>
      </c>
      <c r="AE868" t="b">
        <v>0</v>
      </c>
      <c r="AF868" t="b">
        <v>0</v>
      </c>
      <c r="AG868" t="s">
        <v>58</v>
      </c>
      <c r="AH868">
        <v>14</v>
      </c>
      <c r="AI868" t="s">
        <v>59</v>
      </c>
      <c r="AJ868" t="s">
        <v>71</v>
      </c>
      <c r="AL868" t="s">
        <v>244</v>
      </c>
      <c r="AM868" t="s">
        <v>245</v>
      </c>
      <c r="AN868" t="s">
        <v>63</v>
      </c>
      <c r="AO868" t="s">
        <v>4561</v>
      </c>
      <c r="AP868" t="s">
        <v>4568</v>
      </c>
    </row>
    <row r="869" spans="1:42" x14ac:dyDescent="0.45">
      <c r="A869" t="s">
        <v>4547</v>
      </c>
      <c r="B869" t="s">
        <v>4548</v>
      </c>
      <c r="C869" t="s">
        <v>4549</v>
      </c>
      <c r="D869">
        <v>2025</v>
      </c>
      <c r="E869" t="s">
        <v>45</v>
      </c>
      <c r="F869" t="s">
        <v>2020</v>
      </c>
      <c r="G869">
        <v>4</v>
      </c>
      <c r="J869" t="s">
        <v>4572</v>
      </c>
      <c r="K869" t="s">
        <v>4573</v>
      </c>
      <c r="L869" t="s">
        <v>4574</v>
      </c>
      <c r="M869" t="s">
        <v>4575</v>
      </c>
      <c r="N869" t="s">
        <v>4554</v>
      </c>
      <c r="O869" t="s">
        <v>4555</v>
      </c>
      <c r="P869" t="s">
        <v>223</v>
      </c>
      <c r="Q869" t="s">
        <v>4556</v>
      </c>
      <c r="S869">
        <v>3</v>
      </c>
      <c r="T869" t="s">
        <v>4576</v>
      </c>
      <c r="U869">
        <v>3356</v>
      </c>
      <c r="V869">
        <v>3524</v>
      </c>
      <c r="W869">
        <v>0.95230000000000004</v>
      </c>
      <c r="X869" t="s">
        <v>70</v>
      </c>
      <c r="Y869" t="s">
        <v>4558</v>
      </c>
      <c r="Z869">
        <v>479.75</v>
      </c>
      <c r="AA869">
        <v>2149.54</v>
      </c>
      <c r="AB869">
        <v>1031251</v>
      </c>
      <c r="AC869" t="b">
        <v>1</v>
      </c>
      <c r="AD869" t="b">
        <v>1</v>
      </c>
      <c r="AE869" t="b">
        <v>0</v>
      </c>
      <c r="AF869" t="b">
        <v>0</v>
      </c>
      <c r="AG869" t="s">
        <v>58</v>
      </c>
      <c r="AH869">
        <v>14</v>
      </c>
      <c r="AI869" t="s">
        <v>59</v>
      </c>
      <c r="AJ869" t="s">
        <v>71</v>
      </c>
      <c r="AL869" t="s">
        <v>244</v>
      </c>
      <c r="AM869" t="s">
        <v>245</v>
      </c>
      <c r="AN869" t="s">
        <v>63</v>
      </c>
      <c r="AO869" t="s">
        <v>4561</v>
      </c>
      <c r="AP869" t="s">
        <v>4573</v>
      </c>
    </row>
    <row r="870" spans="1:42" x14ac:dyDescent="0.45">
      <c r="A870" t="s">
        <v>4547</v>
      </c>
      <c r="B870" t="s">
        <v>4548</v>
      </c>
      <c r="C870" t="s">
        <v>4549</v>
      </c>
      <c r="D870">
        <v>2025</v>
      </c>
      <c r="E870" t="s">
        <v>45</v>
      </c>
      <c r="F870" t="s">
        <v>2020</v>
      </c>
      <c r="G870">
        <v>2</v>
      </c>
      <c r="J870" t="s">
        <v>4577</v>
      </c>
      <c r="K870" t="s">
        <v>4578</v>
      </c>
      <c r="L870" t="s">
        <v>4579</v>
      </c>
      <c r="M870" t="s">
        <v>4580</v>
      </c>
      <c r="N870" t="s">
        <v>4554</v>
      </c>
      <c r="O870" t="s">
        <v>4555</v>
      </c>
      <c r="P870" t="s">
        <v>223</v>
      </c>
      <c r="Q870" t="s">
        <v>4556</v>
      </c>
      <c r="S870">
        <v>57</v>
      </c>
      <c r="T870" t="s">
        <v>4581</v>
      </c>
      <c r="U870">
        <v>99</v>
      </c>
      <c r="V870">
        <v>3524</v>
      </c>
      <c r="W870">
        <v>2.81E-2</v>
      </c>
      <c r="X870" t="s">
        <v>56</v>
      </c>
      <c r="Y870" t="s">
        <v>4558</v>
      </c>
      <c r="Z870">
        <v>489.17</v>
      </c>
      <c r="AA870">
        <v>0.82</v>
      </c>
      <c r="AB870">
        <v>400</v>
      </c>
      <c r="AC870" t="b">
        <v>0</v>
      </c>
      <c r="AD870" t="b">
        <v>0</v>
      </c>
      <c r="AE870" t="b">
        <v>0</v>
      </c>
      <c r="AF870" t="b">
        <v>0</v>
      </c>
      <c r="AG870" t="s">
        <v>58</v>
      </c>
      <c r="AH870">
        <v>-15</v>
      </c>
      <c r="AI870" t="s">
        <v>59</v>
      </c>
      <c r="AJ870" t="s">
        <v>60</v>
      </c>
      <c r="AK870" t="s">
        <v>4559</v>
      </c>
      <c r="AL870" t="s">
        <v>4560</v>
      </c>
      <c r="AM870" t="s">
        <v>245</v>
      </c>
      <c r="AN870" t="s">
        <v>63</v>
      </c>
      <c r="AO870" t="s">
        <v>4561</v>
      </c>
      <c r="AP870" t="s">
        <v>4578</v>
      </c>
    </row>
    <row r="871" spans="1:42" x14ac:dyDescent="0.45">
      <c r="A871" t="s">
        <v>4547</v>
      </c>
      <c r="B871" t="s">
        <v>4548</v>
      </c>
      <c r="C871" t="s">
        <v>4549</v>
      </c>
      <c r="D871">
        <v>2025</v>
      </c>
      <c r="E871" t="s">
        <v>45</v>
      </c>
      <c r="F871" t="s">
        <v>2020</v>
      </c>
      <c r="G871">
        <v>3</v>
      </c>
      <c r="J871" t="s">
        <v>4582</v>
      </c>
      <c r="K871" t="s">
        <v>4583</v>
      </c>
      <c r="L871" t="s">
        <v>4584</v>
      </c>
      <c r="M871" t="s">
        <v>4585</v>
      </c>
      <c r="N871" t="s">
        <v>4554</v>
      </c>
      <c r="O871" t="s">
        <v>4555</v>
      </c>
      <c r="P871" t="s">
        <v>223</v>
      </c>
      <c r="Q871" t="s">
        <v>4556</v>
      </c>
      <c r="S871">
        <v>64</v>
      </c>
      <c r="T871" t="s">
        <v>4586</v>
      </c>
      <c r="U871">
        <v>65</v>
      </c>
      <c r="V871">
        <v>3524</v>
      </c>
      <c r="W871">
        <v>1.84E-2</v>
      </c>
      <c r="X871" t="s">
        <v>56</v>
      </c>
      <c r="Y871" t="s">
        <v>4558</v>
      </c>
      <c r="Z871">
        <v>485.11</v>
      </c>
      <c r="AA871">
        <v>2.0299999999999998</v>
      </c>
      <c r="AB871">
        <v>983</v>
      </c>
      <c r="AC871" t="b">
        <v>1</v>
      </c>
      <c r="AD871" t="b">
        <v>0</v>
      </c>
      <c r="AE871" t="b">
        <v>0</v>
      </c>
      <c r="AF871" t="b">
        <v>0</v>
      </c>
      <c r="AG871" t="s">
        <v>58</v>
      </c>
      <c r="AH871">
        <v>12</v>
      </c>
      <c r="AI871" t="s">
        <v>59</v>
      </c>
      <c r="AJ871" t="s">
        <v>60</v>
      </c>
      <c r="AK871" t="s">
        <v>252</v>
      </c>
      <c r="AL871" t="s">
        <v>415</v>
      </c>
      <c r="AM871" t="s">
        <v>245</v>
      </c>
      <c r="AN871" t="s">
        <v>63</v>
      </c>
      <c r="AO871" t="s">
        <v>4561</v>
      </c>
      <c r="AP871" t="s">
        <v>4583</v>
      </c>
    </row>
    <row r="872" spans="1:42" x14ac:dyDescent="0.45">
      <c r="A872" t="s">
        <v>4547</v>
      </c>
      <c r="B872" t="s">
        <v>4548</v>
      </c>
      <c r="C872" t="s">
        <v>4549</v>
      </c>
      <c r="D872">
        <v>2025</v>
      </c>
      <c r="E872" t="s">
        <v>45</v>
      </c>
      <c r="F872" t="s">
        <v>2020</v>
      </c>
      <c r="G872">
        <v>3</v>
      </c>
      <c r="J872" t="s">
        <v>4587</v>
      </c>
      <c r="K872" t="s">
        <v>4588</v>
      </c>
      <c r="L872" t="s">
        <v>4589</v>
      </c>
      <c r="M872" t="s">
        <v>4590</v>
      </c>
      <c r="N872" t="s">
        <v>4554</v>
      </c>
      <c r="O872" t="s">
        <v>4555</v>
      </c>
      <c r="P872" t="s">
        <v>223</v>
      </c>
      <c r="Q872" t="s">
        <v>4556</v>
      </c>
      <c r="S872">
        <v>59</v>
      </c>
      <c r="T872" t="s">
        <v>4591</v>
      </c>
      <c r="U872">
        <v>105</v>
      </c>
      <c r="V872">
        <v>3524</v>
      </c>
      <c r="W872">
        <v>2.98E-2</v>
      </c>
      <c r="X872" t="s">
        <v>56</v>
      </c>
      <c r="Y872" t="s">
        <v>4558</v>
      </c>
      <c r="Z872">
        <v>485.82</v>
      </c>
      <c r="AA872">
        <v>0.39</v>
      </c>
      <c r="AB872">
        <v>190</v>
      </c>
      <c r="AC872" t="b">
        <v>1</v>
      </c>
      <c r="AD872" t="b">
        <v>0</v>
      </c>
      <c r="AE872" t="b">
        <v>0</v>
      </c>
      <c r="AF872" t="b">
        <v>0</v>
      </c>
      <c r="AG872" t="s">
        <v>58</v>
      </c>
      <c r="AH872">
        <v>12</v>
      </c>
      <c r="AI872" t="s">
        <v>59</v>
      </c>
      <c r="AJ872" t="s">
        <v>60</v>
      </c>
      <c r="AK872" t="s">
        <v>252</v>
      </c>
      <c r="AL872" t="s">
        <v>415</v>
      </c>
      <c r="AM872" t="s">
        <v>245</v>
      </c>
      <c r="AN872" t="s">
        <v>63</v>
      </c>
      <c r="AO872" t="s">
        <v>4561</v>
      </c>
      <c r="AP872" t="s">
        <v>4588</v>
      </c>
    </row>
    <row r="873" spans="1:42" x14ac:dyDescent="0.45">
      <c r="A873" t="s">
        <v>4547</v>
      </c>
      <c r="B873" t="s">
        <v>4548</v>
      </c>
      <c r="C873" t="s">
        <v>4549</v>
      </c>
      <c r="D873">
        <v>2025</v>
      </c>
      <c r="E873" t="s">
        <v>45</v>
      </c>
      <c r="F873" t="s">
        <v>2020</v>
      </c>
      <c r="G873">
        <v>3</v>
      </c>
      <c r="J873" t="s">
        <v>4592</v>
      </c>
      <c r="K873" t="s">
        <v>4593</v>
      </c>
      <c r="L873" t="s">
        <v>4594</v>
      </c>
      <c r="M873" t="s">
        <v>4595</v>
      </c>
      <c r="N873" t="s">
        <v>4554</v>
      </c>
      <c r="O873" t="s">
        <v>4555</v>
      </c>
      <c r="P873" t="s">
        <v>223</v>
      </c>
      <c r="Q873" t="s">
        <v>4556</v>
      </c>
      <c r="S873">
        <v>67</v>
      </c>
      <c r="T873" t="s">
        <v>4596</v>
      </c>
      <c r="U873">
        <v>68</v>
      </c>
      <c r="V873">
        <v>3524</v>
      </c>
      <c r="W873">
        <v>1.9300000000000001E-2</v>
      </c>
      <c r="X873" t="s">
        <v>56</v>
      </c>
      <c r="Y873" t="s">
        <v>4558</v>
      </c>
      <c r="Z873">
        <v>484.86</v>
      </c>
      <c r="AA873">
        <v>2.41</v>
      </c>
      <c r="AB873">
        <v>1167</v>
      </c>
      <c r="AC873" t="b">
        <v>1</v>
      </c>
      <c r="AD873" t="b">
        <v>0</v>
      </c>
      <c r="AE873" t="b">
        <v>0</v>
      </c>
      <c r="AF873" t="b">
        <v>0</v>
      </c>
      <c r="AG873" t="s">
        <v>58</v>
      </c>
      <c r="AH873">
        <v>12</v>
      </c>
      <c r="AI873" t="s">
        <v>59</v>
      </c>
      <c r="AJ873" t="s">
        <v>60</v>
      </c>
      <c r="AK873" t="s">
        <v>252</v>
      </c>
      <c r="AL873" t="s">
        <v>415</v>
      </c>
      <c r="AM873" t="s">
        <v>245</v>
      </c>
      <c r="AN873" t="s">
        <v>63</v>
      </c>
      <c r="AO873" t="s">
        <v>4561</v>
      </c>
      <c r="AP873" t="s">
        <v>4593</v>
      </c>
    </row>
    <row r="874" spans="1:42" x14ac:dyDescent="0.45">
      <c r="A874" t="s">
        <v>4547</v>
      </c>
      <c r="B874" t="s">
        <v>4548</v>
      </c>
      <c r="C874" t="s">
        <v>4549</v>
      </c>
      <c r="D874">
        <v>2025</v>
      </c>
      <c r="E874" t="s">
        <v>45</v>
      </c>
      <c r="F874" t="s">
        <v>2020</v>
      </c>
      <c r="G874">
        <v>3</v>
      </c>
      <c r="J874" t="s">
        <v>4597</v>
      </c>
      <c r="K874" t="s">
        <v>4598</v>
      </c>
      <c r="L874" t="s">
        <v>4599</v>
      </c>
      <c r="M874" t="s">
        <v>4600</v>
      </c>
      <c r="N874" t="s">
        <v>4554</v>
      </c>
      <c r="O874" t="s">
        <v>4555</v>
      </c>
      <c r="P874" t="s">
        <v>223</v>
      </c>
      <c r="Q874" t="s">
        <v>4556</v>
      </c>
      <c r="S874">
        <v>70</v>
      </c>
      <c r="T874" t="s">
        <v>4601</v>
      </c>
      <c r="U874">
        <v>98</v>
      </c>
      <c r="V874">
        <v>3524</v>
      </c>
      <c r="W874">
        <v>2.7799999999999998E-2</v>
      </c>
      <c r="X874" t="s">
        <v>56</v>
      </c>
      <c r="Y874" t="s">
        <v>4558</v>
      </c>
      <c r="Z874">
        <v>482.02</v>
      </c>
      <c r="AA874">
        <v>0.81</v>
      </c>
      <c r="AB874">
        <v>389</v>
      </c>
      <c r="AC874" t="b">
        <v>1</v>
      </c>
      <c r="AD874" t="b">
        <v>0</v>
      </c>
      <c r="AE874" t="b">
        <v>0</v>
      </c>
      <c r="AF874" t="b">
        <v>0</v>
      </c>
      <c r="AG874" t="s">
        <v>58</v>
      </c>
      <c r="AH874">
        <v>12</v>
      </c>
      <c r="AI874" t="s">
        <v>59</v>
      </c>
      <c r="AJ874" t="s">
        <v>60</v>
      </c>
      <c r="AK874" t="s">
        <v>252</v>
      </c>
      <c r="AL874" t="s">
        <v>415</v>
      </c>
      <c r="AM874" t="s">
        <v>245</v>
      </c>
      <c r="AN874" t="s">
        <v>63</v>
      </c>
      <c r="AO874" t="s">
        <v>4561</v>
      </c>
      <c r="AP874" t="s">
        <v>4598</v>
      </c>
    </row>
    <row r="875" spans="1:42" x14ac:dyDescent="0.45">
      <c r="A875" t="s">
        <v>4547</v>
      </c>
      <c r="B875" t="s">
        <v>4548</v>
      </c>
      <c r="C875" t="s">
        <v>4549</v>
      </c>
      <c r="D875">
        <v>2025</v>
      </c>
      <c r="E875" t="s">
        <v>45</v>
      </c>
      <c r="F875" t="s">
        <v>2020</v>
      </c>
      <c r="G875">
        <v>3</v>
      </c>
      <c r="J875" t="s">
        <v>4602</v>
      </c>
      <c r="K875" t="s">
        <v>4603</v>
      </c>
      <c r="L875" t="s">
        <v>4604</v>
      </c>
      <c r="M875" t="s">
        <v>4605</v>
      </c>
      <c r="N875" t="s">
        <v>4554</v>
      </c>
      <c r="O875" t="s">
        <v>4555</v>
      </c>
      <c r="P875" t="s">
        <v>223</v>
      </c>
      <c r="Q875" t="s">
        <v>4556</v>
      </c>
      <c r="S875">
        <v>60</v>
      </c>
      <c r="T875" t="s">
        <v>4606</v>
      </c>
      <c r="U875">
        <v>61</v>
      </c>
      <c r="V875">
        <v>3524</v>
      </c>
      <c r="W875">
        <v>1.7299999999999999E-2</v>
      </c>
      <c r="X875" t="s">
        <v>56</v>
      </c>
      <c r="Y875" t="s">
        <v>4558</v>
      </c>
      <c r="Z875">
        <v>485.74</v>
      </c>
      <c r="AA875">
        <v>5.15</v>
      </c>
      <c r="AB875">
        <v>2500</v>
      </c>
      <c r="AC875" t="b">
        <v>1</v>
      </c>
      <c r="AD875" t="b">
        <v>0</v>
      </c>
      <c r="AE875" t="b">
        <v>0</v>
      </c>
      <c r="AF875" t="b">
        <v>0</v>
      </c>
      <c r="AG875" t="s">
        <v>58</v>
      </c>
      <c r="AH875">
        <v>12</v>
      </c>
      <c r="AI875" t="s">
        <v>59</v>
      </c>
      <c r="AJ875" t="s">
        <v>60</v>
      </c>
      <c r="AK875" t="s">
        <v>252</v>
      </c>
      <c r="AL875" t="s">
        <v>415</v>
      </c>
      <c r="AM875" t="s">
        <v>245</v>
      </c>
      <c r="AN875" t="s">
        <v>63</v>
      </c>
      <c r="AO875" t="s">
        <v>4561</v>
      </c>
      <c r="AP875" t="s">
        <v>4603</v>
      </c>
    </row>
    <row r="876" spans="1:42" x14ac:dyDescent="0.45">
      <c r="A876" t="s">
        <v>4547</v>
      </c>
      <c r="B876" t="s">
        <v>4548</v>
      </c>
      <c r="C876" t="s">
        <v>4549</v>
      </c>
      <c r="D876">
        <v>2025</v>
      </c>
      <c r="E876" t="s">
        <v>45</v>
      </c>
      <c r="F876" t="s">
        <v>2020</v>
      </c>
      <c r="G876">
        <v>1</v>
      </c>
      <c r="J876" t="s">
        <v>4607</v>
      </c>
      <c r="K876" t="s">
        <v>4608</v>
      </c>
      <c r="L876" t="s">
        <v>4609</v>
      </c>
      <c r="M876" t="s">
        <v>4610</v>
      </c>
      <c r="N876" t="s">
        <v>4554</v>
      </c>
      <c r="O876" t="s">
        <v>4555</v>
      </c>
      <c r="P876" t="s">
        <v>223</v>
      </c>
      <c r="Q876" t="s">
        <v>4556</v>
      </c>
      <c r="S876">
        <v>0</v>
      </c>
      <c r="T876" t="s">
        <v>4611</v>
      </c>
      <c r="U876">
        <v>3242</v>
      </c>
      <c r="V876">
        <v>3524</v>
      </c>
      <c r="W876">
        <v>0.92</v>
      </c>
      <c r="X876" t="s">
        <v>70</v>
      </c>
      <c r="Y876" t="s">
        <v>4558</v>
      </c>
      <c r="Z876">
        <v>500.75</v>
      </c>
      <c r="AA876">
        <v>3539.94</v>
      </c>
      <c r="AB876">
        <v>1772639</v>
      </c>
      <c r="AC876" t="b">
        <v>1</v>
      </c>
      <c r="AD876" t="b">
        <v>1</v>
      </c>
      <c r="AE876" t="b">
        <v>0</v>
      </c>
      <c r="AF876" t="b">
        <v>0</v>
      </c>
      <c r="AG876" t="s">
        <v>58</v>
      </c>
      <c r="AH876">
        <v>14</v>
      </c>
      <c r="AI876" t="s">
        <v>59</v>
      </c>
      <c r="AJ876" t="s">
        <v>71</v>
      </c>
      <c r="AL876" t="s">
        <v>244</v>
      </c>
      <c r="AM876" t="s">
        <v>245</v>
      </c>
      <c r="AN876" t="s">
        <v>63</v>
      </c>
      <c r="AO876" t="s">
        <v>4561</v>
      </c>
      <c r="AP876" t="s">
        <v>4608</v>
      </c>
    </row>
    <row r="877" spans="1:42" x14ac:dyDescent="0.45">
      <c r="A877" t="s">
        <v>4547</v>
      </c>
      <c r="B877" t="s">
        <v>4548</v>
      </c>
      <c r="C877" t="s">
        <v>4549</v>
      </c>
      <c r="D877">
        <v>2025</v>
      </c>
      <c r="E877" t="s">
        <v>45</v>
      </c>
      <c r="F877" t="s">
        <v>2020</v>
      </c>
      <c r="G877">
        <v>4</v>
      </c>
      <c r="J877" t="s">
        <v>4612</v>
      </c>
      <c r="K877" t="s">
        <v>4613</v>
      </c>
      <c r="L877" t="s">
        <v>4614</v>
      </c>
      <c r="M877" t="s">
        <v>4615</v>
      </c>
      <c r="N877" t="s">
        <v>4554</v>
      </c>
      <c r="O877" t="s">
        <v>4555</v>
      </c>
      <c r="P877" t="s">
        <v>223</v>
      </c>
      <c r="Q877" t="s">
        <v>4556</v>
      </c>
      <c r="S877">
        <v>74</v>
      </c>
      <c r="T877" t="s">
        <v>4616</v>
      </c>
      <c r="U877">
        <v>107</v>
      </c>
      <c r="V877">
        <v>3524</v>
      </c>
      <c r="W877">
        <v>3.04E-2</v>
      </c>
      <c r="X877" t="s">
        <v>56</v>
      </c>
      <c r="Y877" t="s">
        <v>4558</v>
      </c>
      <c r="Z877">
        <v>480.69</v>
      </c>
      <c r="AA877">
        <v>364.52</v>
      </c>
      <c r="AB877">
        <v>175221</v>
      </c>
      <c r="AC877" t="b">
        <v>1</v>
      </c>
      <c r="AD877" t="b">
        <v>0</v>
      </c>
      <c r="AE877" t="b">
        <v>0</v>
      </c>
      <c r="AF877" t="b">
        <v>0</v>
      </c>
      <c r="AG877" t="s">
        <v>58</v>
      </c>
      <c r="AH877">
        <v>12</v>
      </c>
      <c r="AI877" t="s">
        <v>59</v>
      </c>
      <c r="AJ877" t="s">
        <v>60</v>
      </c>
      <c r="AK877" t="s">
        <v>252</v>
      </c>
      <c r="AL877" t="s">
        <v>415</v>
      </c>
      <c r="AM877" t="s">
        <v>245</v>
      </c>
      <c r="AN877" t="s">
        <v>63</v>
      </c>
      <c r="AO877" t="s">
        <v>4561</v>
      </c>
      <c r="AP877" t="s">
        <v>4613</v>
      </c>
    </row>
    <row r="878" spans="1:42" x14ac:dyDescent="0.45">
      <c r="A878" t="s">
        <v>4547</v>
      </c>
      <c r="B878" t="s">
        <v>4548</v>
      </c>
      <c r="C878" t="s">
        <v>4549</v>
      </c>
      <c r="D878">
        <v>2025</v>
      </c>
      <c r="E878" t="s">
        <v>45</v>
      </c>
      <c r="F878" t="s">
        <v>2020</v>
      </c>
      <c r="G878">
        <v>4</v>
      </c>
      <c r="J878" t="s">
        <v>4617</v>
      </c>
      <c r="K878" t="s">
        <v>4618</v>
      </c>
      <c r="L878" t="s">
        <v>4619</v>
      </c>
      <c r="M878" t="s">
        <v>4620</v>
      </c>
      <c r="N878" t="s">
        <v>4554</v>
      </c>
      <c r="O878" t="s">
        <v>4555</v>
      </c>
      <c r="P878" t="s">
        <v>223</v>
      </c>
      <c r="Q878" t="s">
        <v>4556</v>
      </c>
      <c r="S878">
        <v>72</v>
      </c>
      <c r="T878" t="s">
        <v>4621</v>
      </c>
      <c r="U878">
        <v>500</v>
      </c>
      <c r="V878">
        <v>3524</v>
      </c>
      <c r="W878">
        <v>0.1419</v>
      </c>
      <c r="X878" t="s">
        <v>56</v>
      </c>
      <c r="Y878" t="s">
        <v>4558</v>
      </c>
      <c r="Z878">
        <v>480.73</v>
      </c>
      <c r="AA878">
        <v>0.69</v>
      </c>
      <c r="AB878">
        <v>333</v>
      </c>
      <c r="AC878" t="b">
        <v>1</v>
      </c>
      <c r="AD878" t="b">
        <v>0</v>
      </c>
      <c r="AE878" t="b">
        <v>0</v>
      </c>
      <c r="AF878" t="b">
        <v>0</v>
      </c>
      <c r="AG878" t="s">
        <v>58</v>
      </c>
      <c r="AH878">
        <v>12</v>
      </c>
      <c r="AI878" t="s">
        <v>59</v>
      </c>
      <c r="AJ878" t="s">
        <v>60</v>
      </c>
      <c r="AK878" t="s">
        <v>252</v>
      </c>
      <c r="AL878" t="s">
        <v>415</v>
      </c>
      <c r="AM878" t="s">
        <v>245</v>
      </c>
      <c r="AN878" t="s">
        <v>63</v>
      </c>
      <c r="AO878" t="s">
        <v>4561</v>
      </c>
      <c r="AP878" t="s">
        <v>4618</v>
      </c>
    </row>
    <row r="879" spans="1:42" x14ac:dyDescent="0.45">
      <c r="A879" t="s">
        <v>4547</v>
      </c>
      <c r="B879" t="s">
        <v>4548</v>
      </c>
      <c r="C879" t="s">
        <v>4549</v>
      </c>
      <c r="D879">
        <v>2025</v>
      </c>
      <c r="E879" t="s">
        <v>45</v>
      </c>
      <c r="F879" t="s">
        <v>2020</v>
      </c>
      <c r="G879">
        <v>3</v>
      </c>
      <c r="J879" t="s">
        <v>4622</v>
      </c>
      <c r="K879" t="s">
        <v>4623</v>
      </c>
      <c r="L879" t="s">
        <v>4624</v>
      </c>
      <c r="M879" t="s">
        <v>4625</v>
      </c>
      <c r="N879" t="s">
        <v>4554</v>
      </c>
      <c r="O879" t="s">
        <v>4555</v>
      </c>
      <c r="P879" t="s">
        <v>223</v>
      </c>
      <c r="Q879" t="s">
        <v>4556</v>
      </c>
      <c r="S879">
        <v>69</v>
      </c>
      <c r="T879" t="s">
        <v>4626</v>
      </c>
      <c r="U879">
        <v>82</v>
      </c>
      <c r="V879">
        <v>3524</v>
      </c>
      <c r="W879">
        <v>2.3300000000000001E-2</v>
      </c>
      <c r="X879" t="s">
        <v>56</v>
      </c>
      <c r="Y879" t="s">
        <v>4558</v>
      </c>
      <c r="Z879">
        <v>482.11</v>
      </c>
      <c r="AA879">
        <v>1.31</v>
      </c>
      <c r="AB879">
        <v>631</v>
      </c>
      <c r="AC879" t="b">
        <v>1</v>
      </c>
      <c r="AD879" t="b">
        <v>0</v>
      </c>
      <c r="AE879" t="b">
        <v>0</v>
      </c>
      <c r="AF879" t="b">
        <v>0</v>
      </c>
      <c r="AG879" t="s">
        <v>58</v>
      </c>
      <c r="AH879">
        <v>12</v>
      </c>
      <c r="AI879" t="s">
        <v>59</v>
      </c>
      <c r="AJ879" t="s">
        <v>60</v>
      </c>
      <c r="AK879" t="s">
        <v>252</v>
      </c>
      <c r="AL879" t="s">
        <v>415</v>
      </c>
      <c r="AM879" t="s">
        <v>245</v>
      </c>
      <c r="AN879" t="s">
        <v>63</v>
      </c>
      <c r="AO879" t="s">
        <v>4561</v>
      </c>
      <c r="AP879" t="s">
        <v>4623</v>
      </c>
    </row>
    <row r="880" spans="1:42" x14ac:dyDescent="0.45">
      <c r="A880" t="s">
        <v>4547</v>
      </c>
      <c r="B880" t="s">
        <v>4548</v>
      </c>
      <c r="C880" t="s">
        <v>4549</v>
      </c>
      <c r="D880">
        <v>2025</v>
      </c>
      <c r="E880" t="s">
        <v>45</v>
      </c>
      <c r="F880" t="s">
        <v>2020</v>
      </c>
      <c r="G880">
        <v>4</v>
      </c>
      <c r="J880" t="s">
        <v>4627</v>
      </c>
      <c r="K880" t="s">
        <v>4628</v>
      </c>
      <c r="L880" t="s">
        <v>4629</v>
      </c>
      <c r="M880" t="s">
        <v>4630</v>
      </c>
      <c r="N880" t="s">
        <v>4554</v>
      </c>
      <c r="O880" t="s">
        <v>4555</v>
      </c>
      <c r="P880" t="s">
        <v>223</v>
      </c>
      <c r="Q880" t="s">
        <v>4556</v>
      </c>
      <c r="S880">
        <v>77</v>
      </c>
      <c r="T880" t="s">
        <v>4631</v>
      </c>
      <c r="U880">
        <v>92</v>
      </c>
      <c r="V880">
        <v>3524</v>
      </c>
      <c r="W880">
        <v>2.6100000000000002E-2</v>
      </c>
      <c r="X880" t="s">
        <v>56</v>
      </c>
      <c r="Y880" t="s">
        <v>4558</v>
      </c>
      <c r="Z880">
        <v>480.62</v>
      </c>
      <c r="AA880">
        <v>0.66</v>
      </c>
      <c r="AB880">
        <v>315</v>
      </c>
      <c r="AC880" t="b">
        <v>1</v>
      </c>
      <c r="AD880" t="b">
        <v>0</v>
      </c>
      <c r="AE880" t="b">
        <v>0</v>
      </c>
      <c r="AF880" t="b">
        <v>0</v>
      </c>
      <c r="AG880" t="s">
        <v>58</v>
      </c>
      <c r="AH880">
        <v>12</v>
      </c>
      <c r="AI880" t="s">
        <v>59</v>
      </c>
      <c r="AJ880" t="s">
        <v>60</v>
      </c>
      <c r="AK880" t="s">
        <v>252</v>
      </c>
      <c r="AL880" t="s">
        <v>415</v>
      </c>
      <c r="AM880" t="s">
        <v>245</v>
      </c>
      <c r="AN880" t="s">
        <v>63</v>
      </c>
      <c r="AO880" t="s">
        <v>4561</v>
      </c>
      <c r="AP880" t="s">
        <v>4628</v>
      </c>
    </row>
    <row r="881" spans="1:42" x14ac:dyDescent="0.45">
      <c r="A881" t="s">
        <v>4547</v>
      </c>
      <c r="B881" t="s">
        <v>4548</v>
      </c>
      <c r="C881" t="s">
        <v>4549</v>
      </c>
      <c r="D881">
        <v>2025</v>
      </c>
      <c r="E881" t="s">
        <v>45</v>
      </c>
      <c r="F881" t="s">
        <v>2020</v>
      </c>
      <c r="G881">
        <v>9</v>
      </c>
      <c r="J881" t="s">
        <v>4632</v>
      </c>
      <c r="K881" t="s">
        <v>4633</v>
      </c>
      <c r="L881" t="s">
        <v>4634</v>
      </c>
      <c r="M881" t="s">
        <v>4635</v>
      </c>
      <c r="N881" t="s">
        <v>4554</v>
      </c>
      <c r="O881" t="s">
        <v>4555</v>
      </c>
      <c r="P881" t="s">
        <v>223</v>
      </c>
      <c r="Q881" t="s">
        <v>4556</v>
      </c>
      <c r="S881">
        <v>8</v>
      </c>
      <c r="T881" t="s">
        <v>4636</v>
      </c>
      <c r="U881">
        <v>3321</v>
      </c>
      <c r="V881">
        <v>3524</v>
      </c>
      <c r="W881">
        <v>0.94240000000000002</v>
      </c>
      <c r="X881" t="s">
        <v>70</v>
      </c>
      <c r="Y881" t="s">
        <v>4558</v>
      </c>
      <c r="Z881">
        <v>437.75</v>
      </c>
      <c r="AA881">
        <v>2240.42</v>
      </c>
      <c r="AB881">
        <v>980752</v>
      </c>
      <c r="AC881" t="b">
        <v>1</v>
      </c>
      <c r="AD881" t="b">
        <v>1</v>
      </c>
      <c r="AE881" t="b">
        <v>0</v>
      </c>
      <c r="AF881" t="b">
        <v>0</v>
      </c>
      <c r="AG881" t="s">
        <v>58</v>
      </c>
      <c r="AH881">
        <v>14</v>
      </c>
      <c r="AI881" t="s">
        <v>59</v>
      </c>
      <c r="AJ881" t="s">
        <v>71</v>
      </c>
      <c r="AL881" t="s">
        <v>244</v>
      </c>
      <c r="AM881" t="s">
        <v>245</v>
      </c>
      <c r="AN881" t="s">
        <v>63</v>
      </c>
      <c r="AO881" t="s">
        <v>4561</v>
      </c>
      <c r="AP881" t="s">
        <v>4633</v>
      </c>
    </row>
    <row r="882" spans="1:42" x14ac:dyDescent="0.45">
      <c r="A882" t="s">
        <v>4547</v>
      </c>
      <c r="B882" t="s">
        <v>4548</v>
      </c>
      <c r="C882" t="s">
        <v>4549</v>
      </c>
      <c r="D882">
        <v>2025</v>
      </c>
      <c r="E882" t="s">
        <v>45</v>
      </c>
      <c r="F882" t="s">
        <v>2020</v>
      </c>
      <c r="G882">
        <v>3</v>
      </c>
      <c r="J882" t="s">
        <v>4637</v>
      </c>
      <c r="K882" t="s">
        <v>4638</v>
      </c>
      <c r="L882" t="s">
        <v>4639</v>
      </c>
      <c r="M882" t="s">
        <v>4640</v>
      </c>
      <c r="N882" t="s">
        <v>4554</v>
      </c>
      <c r="O882" t="s">
        <v>4555</v>
      </c>
      <c r="P882" t="s">
        <v>223</v>
      </c>
      <c r="Q882" t="s">
        <v>4556</v>
      </c>
      <c r="S882">
        <v>2</v>
      </c>
      <c r="T882" t="s">
        <v>4641</v>
      </c>
      <c r="U882">
        <v>3387</v>
      </c>
      <c r="V882">
        <v>3524</v>
      </c>
      <c r="W882">
        <v>0.96109999999999995</v>
      </c>
      <c r="X882" t="s">
        <v>70</v>
      </c>
      <c r="Y882" t="s">
        <v>4558</v>
      </c>
      <c r="Z882">
        <v>486.75</v>
      </c>
      <c r="AA882">
        <v>2195.0500000000002</v>
      </c>
      <c r="AB882">
        <v>1068447</v>
      </c>
      <c r="AC882" t="b">
        <v>1</v>
      </c>
      <c r="AD882" t="b">
        <v>1</v>
      </c>
      <c r="AE882" t="b">
        <v>0</v>
      </c>
      <c r="AF882" t="b">
        <v>0</v>
      </c>
      <c r="AG882" t="s">
        <v>58</v>
      </c>
      <c r="AH882">
        <v>14</v>
      </c>
      <c r="AI882" t="s">
        <v>59</v>
      </c>
      <c r="AJ882" t="s">
        <v>71</v>
      </c>
      <c r="AL882" t="s">
        <v>244</v>
      </c>
      <c r="AM882" t="s">
        <v>245</v>
      </c>
      <c r="AN882" t="s">
        <v>63</v>
      </c>
      <c r="AO882" t="s">
        <v>4561</v>
      </c>
      <c r="AP882" t="s">
        <v>4638</v>
      </c>
    </row>
    <row r="883" spans="1:42" x14ac:dyDescent="0.45">
      <c r="A883" t="s">
        <v>4547</v>
      </c>
      <c r="B883" t="s">
        <v>4548</v>
      </c>
      <c r="C883" t="s">
        <v>4549</v>
      </c>
      <c r="D883">
        <v>2025</v>
      </c>
      <c r="E883" t="s">
        <v>45</v>
      </c>
      <c r="F883" t="s">
        <v>2020</v>
      </c>
      <c r="J883" t="s">
        <v>4642</v>
      </c>
      <c r="K883" t="s">
        <v>4643</v>
      </c>
      <c r="L883" t="s">
        <v>4644</v>
      </c>
      <c r="M883" t="s">
        <v>4645</v>
      </c>
      <c r="N883" t="s">
        <v>4554</v>
      </c>
      <c r="O883" t="s">
        <v>4555</v>
      </c>
      <c r="P883" t="s">
        <v>223</v>
      </c>
      <c r="Q883" t="s">
        <v>4556</v>
      </c>
      <c r="S883">
        <v>71</v>
      </c>
      <c r="T883" t="s">
        <v>4646</v>
      </c>
      <c r="U883">
        <v>81</v>
      </c>
      <c r="V883">
        <v>3524</v>
      </c>
      <c r="W883">
        <v>2.3E-2</v>
      </c>
      <c r="X883" t="s">
        <v>56</v>
      </c>
      <c r="Y883" t="s">
        <v>4558</v>
      </c>
      <c r="Z883">
        <v>481.94</v>
      </c>
      <c r="AA883">
        <v>0.42</v>
      </c>
      <c r="AB883">
        <v>201</v>
      </c>
      <c r="AC883" t="b">
        <v>0</v>
      </c>
      <c r="AD883" t="b">
        <v>0</v>
      </c>
      <c r="AE883" t="b">
        <v>0</v>
      </c>
      <c r="AF883" t="b">
        <v>0</v>
      </c>
      <c r="AG883" t="s">
        <v>58</v>
      </c>
      <c r="AH883">
        <v>4</v>
      </c>
      <c r="AI883" t="s">
        <v>59</v>
      </c>
      <c r="AJ883" t="s">
        <v>60</v>
      </c>
      <c r="AL883" t="s">
        <v>476</v>
      </c>
      <c r="AM883" t="s">
        <v>245</v>
      </c>
      <c r="AN883" t="s">
        <v>63</v>
      </c>
      <c r="AO883" t="s">
        <v>4561</v>
      </c>
      <c r="AP883" t="s">
        <v>4643</v>
      </c>
    </row>
    <row r="884" spans="1:42" x14ac:dyDescent="0.45">
      <c r="A884" t="s">
        <v>4547</v>
      </c>
      <c r="B884" t="s">
        <v>4548</v>
      </c>
      <c r="C884" t="s">
        <v>4549</v>
      </c>
      <c r="D884">
        <v>2025</v>
      </c>
      <c r="E884" t="s">
        <v>45</v>
      </c>
      <c r="F884" t="s">
        <v>2020</v>
      </c>
      <c r="G884">
        <v>12</v>
      </c>
      <c r="J884" t="s">
        <v>4647</v>
      </c>
      <c r="K884" t="s">
        <v>4648</v>
      </c>
      <c r="L884" t="s">
        <v>4649</v>
      </c>
      <c r="M884" t="s">
        <v>4650</v>
      </c>
      <c r="N884" t="s">
        <v>4554</v>
      </c>
      <c r="O884" t="s">
        <v>4555</v>
      </c>
      <c r="P884" t="s">
        <v>223</v>
      </c>
      <c r="Q884" t="s">
        <v>4556</v>
      </c>
      <c r="S884">
        <v>11</v>
      </c>
      <c r="T884" t="s">
        <v>4651</v>
      </c>
      <c r="U884">
        <v>3569</v>
      </c>
      <c r="V884">
        <v>3524</v>
      </c>
      <c r="W884">
        <v>1.0127999999999999</v>
      </c>
      <c r="X884" t="s">
        <v>70</v>
      </c>
      <c r="Y884" t="s">
        <v>4558</v>
      </c>
      <c r="Z884">
        <v>416.75</v>
      </c>
      <c r="AA884">
        <v>162.88</v>
      </c>
      <c r="AB884">
        <v>67881</v>
      </c>
      <c r="AC884" t="b">
        <v>1</v>
      </c>
      <c r="AD884" t="b">
        <v>1</v>
      </c>
      <c r="AE884" t="b">
        <v>0</v>
      </c>
      <c r="AF884" t="b">
        <v>0</v>
      </c>
      <c r="AG884" t="s">
        <v>58</v>
      </c>
      <c r="AH884">
        <v>14</v>
      </c>
      <c r="AI884" t="s">
        <v>59</v>
      </c>
      <c r="AJ884" t="s">
        <v>71</v>
      </c>
      <c r="AL884" t="s">
        <v>244</v>
      </c>
      <c r="AM884" t="s">
        <v>245</v>
      </c>
      <c r="AN884" t="s">
        <v>63</v>
      </c>
      <c r="AO884" t="s">
        <v>4561</v>
      </c>
      <c r="AP884" t="s">
        <v>4648</v>
      </c>
    </row>
    <row r="885" spans="1:42" x14ac:dyDescent="0.45">
      <c r="A885" t="s">
        <v>4547</v>
      </c>
      <c r="B885" t="s">
        <v>4548</v>
      </c>
      <c r="C885" t="s">
        <v>4549</v>
      </c>
      <c r="D885">
        <v>2025</v>
      </c>
      <c r="E885" t="s">
        <v>45</v>
      </c>
      <c r="F885" t="s">
        <v>2020</v>
      </c>
      <c r="G885">
        <v>13</v>
      </c>
      <c r="J885" t="s">
        <v>4652</v>
      </c>
      <c r="K885" t="s">
        <v>4653</v>
      </c>
      <c r="L885" t="s">
        <v>4654</v>
      </c>
      <c r="M885" t="s">
        <v>4655</v>
      </c>
      <c r="N885" t="s">
        <v>4554</v>
      </c>
      <c r="O885" t="s">
        <v>4555</v>
      </c>
      <c r="P885" t="s">
        <v>223</v>
      </c>
      <c r="Q885" t="s">
        <v>4556</v>
      </c>
      <c r="S885">
        <v>12</v>
      </c>
      <c r="T885" t="s">
        <v>4656</v>
      </c>
      <c r="U885">
        <v>3553</v>
      </c>
      <c r="V885">
        <v>3524</v>
      </c>
      <c r="W885">
        <v>1.0082</v>
      </c>
      <c r="X885" t="s">
        <v>70</v>
      </c>
      <c r="Y885" t="s">
        <v>4558</v>
      </c>
      <c r="Z885">
        <v>409.75</v>
      </c>
      <c r="AA885">
        <v>229.12</v>
      </c>
      <c r="AB885">
        <v>93883</v>
      </c>
      <c r="AC885" t="b">
        <v>1</v>
      </c>
      <c r="AD885" t="b">
        <v>1</v>
      </c>
      <c r="AE885" t="b">
        <v>0</v>
      </c>
      <c r="AF885" t="b">
        <v>0</v>
      </c>
      <c r="AG885" t="s">
        <v>58</v>
      </c>
      <c r="AH885">
        <v>14</v>
      </c>
      <c r="AI885" t="s">
        <v>59</v>
      </c>
      <c r="AJ885" t="s">
        <v>71</v>
      </c>
      <c r="AL885" t="s">
        <v>244</v>
      </c>
      <c r="AM885" t="s">
        <v>245</v>
      </c>
      <c r="AN885" t="s">
        <v>63</v>
      </c>
      <c r="AO885" t="s">
        <v>4561</v>
      </c>
      <c r="AP885" t="s">
        <v>4653</v>
      </c>
    </row>
    <row r="886" spans="1:42" x14ac:dyDescent="0.45">
      <c r="A886" t="s">
        <v>4547</v>
      </c>
      <c r="B886" t="s">
        <v>4548</v>
      </c>
      <c r="C886" t="s">
        <v>4549</v>
      </c>
      <c r="D886">
        <v>2025</v>
      </c>
      <c r="E886" t="s">
        <v>45</v>
      </c>
      <c r="F886" t="s">
        <v>2020</v>
      </c>
      <c r="G886">
        <v>15</v>
      </c>
      <c r="J886" t="s">
        <v>4657</v>
      </c>
      <c r="K886" t="s">
        <v>4658</v>
      </c>
      <c r="L886" t="s">
        <v>4659</v>
      </c>
      <c r="M886" t="s">
        <v>4660</v>
      </c>
      <c r="N886" t="s">
        <v>4554</v>
      </c>
      <c r="O886" t="s">
        <v>4555</v>
      </c>
      <c r="P886" t="s">
        <v>223</v>
      </c>
      <c r="Q886" t="s">
        <v>4556</v>
      </c>
      <c r="S886">
        <v>14</v>
      </c>
      <c r="T886" t="s">
        <v>4661</v>
      </c>
      <c r="U886">
        <v>3869</v>
      </c>
      <c r="V886">
        <v>3524</v>
      </c>
      <c r="W886">
        <v>1.0979000000000001</v>
      </c>
      <c r="X886" t="s">
        <v>70</v>
      </c>
      <c r="Y886" t="s">
        <v>4558</v>
      </c>
      <c r="Z886">
        <v>395.75</v>
      </c>
      <c r="AA886">
        <v>1687.25</v>
      </c>
      <c r="AB886">
        <v>667736</v>
      </c>
      <c r="AC886" t="b">
        <v>1</v>
      </c>
      <c r="AD886" t="b">
        <v>1</v>
      </c>
      <c r="AE886" t="b">
        <v>0</v>
      </c>
      <c r="AF886" t="b">
        <v>0</v>
      </c>
      <c r="AG886" t="s">
        <v>58</v>
      </c>
      <c r="AH886">
        <v>14</v>
      </c>
      <c r="AI886" t="s">
        <v>59</v>
      </c>
      <c r="AJ886" t="s">
        <v>71</v>
      </c>
      <c r="AL886" t="s">
        <v>244</v>
      </c>
      <c r="AM886" t="s">
        <v>245</v>
      </c>
      <c r="AN886" t="s">
        <v>63</v>
      </c>
      <c r="AO886" t="s">
        <v>4561</v>
      </c>
      <c r="AP886" t="s">
        <v>4658</v>
      </c>
    </row>
    <row r="887" spans="1:42" x14ac:dyDescent="0.45">
      <c r="A887" t="s">
        <v>4547</v>
      </c>
      <c r="B887" t="s">
        <v>4548</v>
      </c>
      <c r="C887" t="s">
        <v>4549</v>
      </c>
      <c r="D887">
        <v>2025</v>
      </c>
      <c r="E887" t="s">
        <v>45</v>
      </c>
      <c r="F887" t="s">
        <v>2020</v>
      </c>
      <c r="G887">
        <v>11</v>
      </c>
      <c r="J887" t="s">
        <v>4662</v>
      </c>
      <c r="K887" t="s">
        <v>4663</v>
      </c>
      <c r="L887" t="s">
        <v>4664</v>
      </c>
      <c r="M887" t="s">
        <v>4665</v>
      </c>
      <c r="N887" t="s">
        <v>4554</v>
      </c>
      <c r="O887" t="s">
        <v>4555</v>
      </c>
      <c r="P887" t="s">
        <v>223</v>
      </c>
      <c r="Q887" t="s">
        <v>4556</v>
      </c>
      <c r="S887">
        <v>10</v>
      </c>
      <c r="T887" t="s">
        <v>4666</v>
      </c>
      <c r="U887">
        <v>4634</v>
      </c>
      <c r="V887">
        <v>3524</v>
      </c>
      <c r="W887">
        <v>1.3149999999999999</v>
      </c>
      <c r="X887" t="s">
        <v>70</v>
      </c>
      <c r="Y887" t="s">
        <v>4558</v>
      </c>
      <c r="Z887">
        <v>423.75</v>
      </c>
      <c r="AA887">
        <v>879.79</v>
      </c>
      <c r="AB887">
        <v>372815</v>
      </c>
      <c r="AC887" t="b">
        <v>1</v>
      </c>
      <c r="AD887" t="b">
        <v>1</v>
      </c>
      <c r="AE887" t="b">
        <v>0</v>
      </c>
      <c r="AF887" t="b">
        <v>0</v>
      </c>
      <c r="AG887" t="s">
        <v>58</v>
      </c>
      <c r="AH887">
        <v>14</v>
      </c>
      <c r="AI887" t="s">
        <v>59</v>
      </c>
      <c r="AJ887" t="s">
        <v>71</v>
      </c>
      <c r="AL887" t="s">
        <v>244</v>
      </c>
      <c r="AM887" t="s">
        <v>245</v>
      </c>
      <c r="AN887" t="s">
        <v>63</v>
      </c>
      <c r="AO887" t="s">
        <v>4561</v>
      </c>
      <c r="AP887" t="s">
        <v>4663</v>
      </c>
    </row>
    <row r="888" spans="1:42" x14ac:dyDescent="0.45">
      <c r="A888" t="s">
        <v>4547</v>
      </c>
      <c r="B888" t="s">
        <v>4548</v>
      </c>
      <c r="C888" t="s">
        <v>4549</v>
      </c>
      <c r="D888">
        <v>2025</v>
      </c>
      <c r="E888" t="s">
        <v>45</v>
      </c>
      <c r="F888" t="s">
        <v>2020</v>
      </c>
      <c r="G888">
        <v>4</v>
      </c>
      <c r="J888" t="s">
        <v>4667</v>
      </c>
      <c r="K888" t="s">
        <v>4668</v>
      </c>
      <c r="L888" t="s">
        <v>4669</v>
      </c>
      <c r="M888" t="s">
        <v>4670</v>
      </c>
      <c r="N888" t="s">
        <v>4554</v>
      </c>
      <c r="O888" t="s">
        <v>4555</v>
      </c>
      <c r="P888" t="s">
        <v>223</v>
      </c>
      <c r="Q888" t="s">
        <v>4556</v>
      </c>
      <c r="S888">
        <v>75</v>
      </c>
      <c r="T888" t="s">
        <v>4671</v>
      </c>
      <c r="U888">
        <v>101</v>
      </c>
      <c r="V888">
        <v>3524</v>
      </c>
      <c r="W888">
        <v>2.87E-2</v>
      </c>
      <c r="X888" t="s">
        <v>56</v>
      </c>
      <c r="Y888" t="s">
        <v>4558</v>
      </c>
      <c r="Z888">
        <v>480.67</v>
      </c>
      <c r="AA888">
        <v>34.82</v>
      </c>
      <c r="AB888">
        <v>16739</v>
      </c>
      <c r="AC888" t="b">
        <v>1</v>
      </c>
      <c r="AD888" t="b">
        <v>0</v>
      </c>
      <c r="AE888" t="b">
        <v>0</v>
      </c>
      <c r="AF888" t="b">
        <v>0</v>
      </c>
      <c r="AG888" t="s">
        <v>58</v>
      </c>
      <c r="AH888">
        <v>12</v>
      </c>
      <c r="AI888" t="s">
        <v>59</v>
      </c>
      <c r="AJ888" t="s">
        <v>60</v>
      </c>
      <c r="AK888" t="s">
        <v>252</v>
      </c>
      <c r="AL888" t="s">
        <v>415</v>
      </c>
      <c r="AM888" t="s">
        <v>245</v>
      </c>
      <c r="AN888" t="s">
        <v>63</v>
      </c>
      <c r="AO888" t="s">
        <v>4561</v>
      </c>
      <c r="AP888" t="s">
        <v>4668</v>
      </c>
    </row>
    <row r="889" spans="1:42" x14ac:dyDescent="0.45">
      <c r="A889" t="s">
        <v>4547</v>
      </c>
      <c r="B889" t="s">
        <v>4548</v>
      </c>
      <c r="C889" t="s">
        <v>4549</v>
      </c>
      <c r="D889">
        <v>2025</v>
      </c>
      <c r="E889" t="s">
        <v>45</v>
      </c>
      <c r="F889" t="s">
        <v>2020</v>
      </c>
      <c r="G889">
        <v>14</v>
      </c>
      <c r="J889" t="s">
        <v>4672</v>
      </c>
      <c r="K889" t="s">
        <v>4673</v>
      </c>
      <c r="L889" t="s">
        <v>4674</v>
      </c>
      <c r="M889" t="s">
        <v>4675</v>
      </c>
      <c r="N889" t="s">
        <v>4554</v>
      </c>
      <c r="O889" t="s">
        <v>4555</v>
      </c>
      <c r="P889" t="s">
        <v>223</v>
      </c>
      <c r="Q889" t="s">
        <v>4556</v>
      </c>
      <c r="S889">
        <v>13</v>
      </c>
      <c r="T889" t="s">
        <v>4676</v>
      </c>
      <c r="U889">
        <v>3059</v>
      </c>
      <c r="V889">
        <v>3524</v>
      </c>
      <c r="W889">
        <v>0.86799999999999999</v>
      </c>
      <c r="X889" t="s">
        <v>70</v>
      </c>
      <c r="Y889" t="s">
        <v>4558</v>
      </c>
      <c r="Z889">
        <v>402.75</v>
      </c>
      <c r="AA889">
        <v>140.72</v>
      </c>
      <c r="AB889">
        <v>56674</v>
      </c>
      <c r="AC889" t="b">
        <v>1</v>
      </c>
      <c r="AD889" t="b">
        <v>1</v>
      </c>
      <c r="AE889" t="b">
        <v>0</v>
      </c>
      <c r="AF889" t="b">
        <v>0</v>
      </c>
      <c r="AG889" t="s">
        <v>58</v>
      </c>
      <c r="AH889">
        <v>14</v>
      </c>
      <c r="AI889" t="s">
        <v>59</v>
      </c>
      <c r="AJ889" t="s">
        <v>71</v>
      </c>
      <c r="AL889" t="s">
        <v>244</v>
      </c>
      <c r="AM889" t="s">
        <v>245</v>
      </c>
      <c r="AN889" t="s">
        <v>63</v>
      </c>
      <c r="AO889" t="s">
        <v>4561</v>
      </c>
      <c r="AP889" t="s">
        <v>4673</v>
      </c>
    </row>
    <row r="890" spans="1:42" x14ac:dyDescent="0.45">
      <c r="A890" t="s">
        <v>4547</v>
      </c>
      <c r="B890" t="s">
        <v>4548</v>
      </c>
      <c r="C890" t="s">
        <v>4549</v>
      </c>
      <c r="D890">
        <v>2025</v>
      </c>
      <c r="E890" t="s">
        <v>45</v>
      </c>
      <c r="F890" t="s">
        <v>2020</v>
      </c>
      <c r="G890">
        <v>3</v>
      </c>
      <c r="J890" t="s">
        <v>4677</v>
      </c>
      <c r="K890" t="s">
        <v>4678</v>
      </c>
      <c r="L890" t="s">
        <v>4679</v>
      </c>
      <c r="M890" t="s">
        <v>4680</v>
      </c>
      <c r="N890" t="s">
        <v>4554</v>
      </c>
      <c r="O890" t="s">
        <v>4555</v>
      </c>
      <c r="P890" t="s">
        <v>223</v>
      </c>
      <c r="Q890" t="s">
        <v>4556</v>
      </c>
      <c r="S890">
        <v>62</v>
      </c>
      <c r="T890" t="s">
        <v>4681</v>
      </c>
      <c r="U890">
        <v>66</v>
      </c>
      <c r="V890">
        <v>3524</v>
      </c>
      <c r="W890">
        <v>1.8700000000000001E-2</v>
      </c>
      <c r="X890" t="s">
        <v>56</v>
      </c>
      <c r="Y890" t="s">
        <v>4558</v>
      </c>
      <c r="Z890">
        <v>485.27</v>
      </c>
      <c r="AA890">
        <v>2.2799999999999998</v>
      </c>
      <c r="AB890">
        <v>1108</v>
      </c>
      <c r="AC890" t="b">
        <v>1</v>
      </c>
      <c r="AD890" t="b">
        <v>0</v>
      </c>
      <c r="AE890" t="b">
        <v>0</v>
      </c>
      <c r="AF890" t="b">
        <v>0</v>
      </c>
      <c r="AG890" t="s">
        <v>58</v>
      </c>
      <c r="AH890">
        <v>12</v>
      </c>
      <c r="AI890" t="s">
        <v>59</v>
      </c>
      <c r="AJ890" t="s">
        <v>60</v>
      </c>
      <c r="AK890" t="s">
        <v>252</v>
      </c>
      <c r="AL890" t="s">
        <v>415</v>
      </c>
      <c r="AM890" t="s">
        <v>245</v>
      </c>
      <c r="AN890" t="s">
        <v>63</v>
      </c>
      <c r="AO890" t="s">
        <v>4561</v>
      </c>
      <c r="AP890" t="s">
        <v>4678</v>
      </c>
    </row>
    <row r="891" spans="1:42" x14ac:dyDescent="0.45">
      <c r="A891" t="s">
        <v>4547</v>
      </c>
      <c r="B891" t="s">
        <v>4548</v>
      </c>
      <c r="C891" t="s">
        <v>4549</v>
      </c>
      <c r="D891">
        <v>2025</v>
      </c>
      <c r="E891" t="s">
        <v>45</v>
      </c>
      <c r="F891" t="s">
        <v>2020</v>
      </c>
      <c r="G891">
        <v>4</v>
      </c>
      <c r="J891" t="e">
        <v>#NAME?</v>
      </c>
      <c r="K891" t="s">
        <v>4682</v>
      </c>
      <c r="L891" t="s">
        <v>4683</v>
      </c>
      <c r="M891" t="s">
        <v>4684</v>
      </c>
      <c r="N891" t="s">
        <v>4554</v>
      </c>
      <c r="O891" t="s">
        <v>4555</v>
      </c>
      <c r="P891" t="s">
        <v>223</v>
      </c>
      <c r="Q891" t="s">
        <v>4556</v>
      </c>
      <c r="S891">
        <v>15</v>
      </c>
      <c r="T891" t="s">
        <v>4685</v>
      </c>
      <c r="U891">
        <v>110</v>
      </c>
      <c r="V891">
        <v>3524</v>
      </c>
      <c r="W891">
        <v>3.1199999999999999E-2</v>
      </c>
      <c r="X891" t="s">
        <v>56</v>
      </c>
      <c r="Y891" t="s">
        <v>4558</v>
      </c>
      <c r="Z891">
        <v>480.97</v>
      </c>
      <c r="AA891">
        <v>474.8</v>
      </c>
      <c r="AB891">
        <v>228362</v>
      </c>
      <c r="AC891" t="b">
        <v>0</v>
      </c>
      <c r="AD891" t="b">
        <v>0</v>
      </c>
      <c r="AE891" t="b">
        <v>0</v>
      </c>
      <c r="AF891" t="b">
        <v>0</v>
      </c>
      <c r="AG891" t="s">
        <v>58</v>
      </c>
      <c r="AH891">
        <v>-15</v>
      </c>
      <c r="AI891" t="s">
        <v>59</v>
      </c>
      <c r="AJ891" t="s">
        <v>60</v>
      </c>
      <c r="AK891" t="s">
        <v>162</v>
      </c>
      <c r="AL891" t="s">
        <v>163</v>
      </c>
      <c r="AM891" t="s">
        <v>245</v>
      </c>
      <c r="AN891" t="s">
        <v>63</v>
      </c>
      <c r="AO891" t="s">
        <v>4561</v>
      </c>
      <c r="AP891" t="s">
        <v>4682</v>
      </c>
    </row>
    <row r="892" spans="1:42" x14ac:dyDescent="0.45">
      <c r="A892" t="s">
        <v>4547</v>
      </c>
      <c r="B892" t="s">
        <v>4548</v>
      </c>
      <c r="C892" t="s">
        <v>4549</v>
      </c>
      <c r="D892">
        <v>2025</v>
      </c>
      <c r="E892" t="s">
        <v>45</v>
      </c>
      <c r="F892" t="s">
        <v>2020</v>
      </c>
      <c r="G892">
        <v>3</v>
      </c>
      <c r="J892" t="s">
        <v>4686</v>
      </c>
      <c r="K892" t="s">
        <v>4687</v>
      </c>
      <c r="L892" t="s">
        <v>4688</v>
      </c>
      <c r="M892" t="s">
        <v>4689</v>
      </c>
      <c r="N892" t="s">
        <v>4554</v>
      </c>
      <c r="O892" t="s">
        <v>4555</v>
      </c>
      <c r="P892" t="s">
        <v>223</v>
      </c>
      <c r="Q892" t="s">
        <v>4556</v>
      </c>
      <c r="S892">
        <v>22</v>
      </c>
      <c r="T892" t="s">
        <v>4690</v>
      </c>
      <c r="U892">
        <v>3580</v>
      </c>
      <c r="V892">
        <v>3524</v>
      </c>
      <c r="W892">
        <v>1.0159</v>
      </c>
      <c r="X892" t="s">
        <v>70</v>
      </c>
      <c r="Y892" t="s">
        <v>4558</v>
      </c>
      <c r="Z892">
        <v>484.63</v>
      </c>
      <c r="AA892">
        <v>3.38</v>
      </c>
      <c r="AB892">
        <v>1639</v>
      </c>
      <c r="AC892" t="b">
        <v>1</v>
      </c>
      <c r="AD892" t="b">
        <v>0</v>
      </c>
      <c r="AE892" t="b">
        <v>0</v>
      </c>
      <c r="AF892" t="b">
        <v>0</v>
      </c>
      <c r="AG892" t="s">
        <v>58</v>
      </c>
      <c r="AH892">
        <v>14</v>
      </c>
      <c r="AI892" t="s">
        <v>59</v>
      </c>
      <c r="AJ892" t="s">
        <v>60</v>
      </c>
      <c r="AK892" t="s">
        <v>252</v>
      </c>
      <c r="AL892" t="s">
        <v>253</v>
      </c>
      <c r="AM892" t="s">
        <v>245</v>
      </c>
      <c r="AN892" t="s">
        <v>63</v>
      </c>
      <c r="AO892" t="s">
        <v>4561</v>
      </c>
      <c r="AP892" t="s">
        <v>4687</v>
      </c>
    </row>
    <row r="893" spans="1:42" x14ac:dyDescent="0.45">
      <c r="A893" t="s">
        <v>4547</v>
      </c>
      <c r="B893" t="s">
        <v>4548</v>
      </c>
      <c r="C893" t="s">
        <v>4549</v>
      </c>
      <c r="D893">
        <v>2025</v>
      </c>
      <c r="E893" t="s">
        <v>45</v>
      </c>
      <c r="F893" t="s">
        <v>2020</v>
      </c>
      <c r="G893">
        <v>1</v>
      </c>
      <c r="J893" t="s">
        <v>4691</v>
      </c>
      <c r="K893" t="s">
        <v>4692</v>
      </c>
      <c r="L893" t="s">
        <v>4693</v>
      </c>
      <c r="M893" t="s">
        <v>4694</v>
      </c>
      <c r="N893" t="s">
        <v>4554</v>
      </c>
      <c r="O893" t="s">
        <v>4555</v>
      </c>
      <c r="P893" t="s">
        <v>223</v>
      </c>
      <c r="Q893" t="s">
        <v>4556</v>
      </c>
      <c r="S893">
        <v>24</v>
      </c>
      <c r="T893" t="s">
        <v>4695</v>
      </c>
      <c r="U893">
        <v>1030</v>
      </c>
      <c r="V893">
        <v>3524</v>
      </c>
      <c r="W893">
        <v>0.2923</v>
      </c>
      <c r="X893" t="s">
        <v>56</v>
      </c>
      <c r="Y893" t="s">
        <v>4558</v>
      </c>
      <c r="Z893">
        <v>498.07</v>
      </c>
      <c r="AA893">
        <v>2.36</v>
      </c>
      <c r="AB893">
        <v>1175</v>
      </c>
      <c r="AC893" t="b">
        <v>0</v>
      </c>
      <c r="AD893" t="b">
        <v>0</v>
      </c>
      <c r="AE893" t="b">
        <v>0</v>
      </c>
      <c r="AF893" t="b">
        <v>0</v>
      </c>
      <c r="AG893" t="s">
        <v>58</v>
      </c>
      <c r="AH893">
        <v>-15</v>
      </c>
      <c r="AI893" t="s">
        <v>59</v>
      </c>
      <c r="AJ893" t="s">
        <v>60</v>
      </c>
      <c r="AK893" t="s">
        <v>558</v>
      </c>
      <c r="AL893" t="s">
        <v>559</v>
      </c>
      <c r="AM893" t="s">
        <v>245</v>
      </c>
      <c r="AN893" t="s">
        <v>63</v>
      </c>
      <c r="AO893" t="s">
        <v>4561</v>
      </c>
      <c r="AP893" t="s">
        <v>4692</v>
      </c>
    </row>
    <row r="894" spans="1:42" x14ac:dyDescent="0.45">
      <c r="A894" t="s">
        <v>4547</v>
      </c>
      <c r="B894" t="s">
        <v>4548</v>
      </c>
      <c r="C894" t="s">
        <v>4549</v>
      </c>
      <c r="D894">
        <v>2025</v>
      </c>
      <c r="E894" t="s">
        <v>45</v>
      </c>
      <c r="F894" t="s">
        <v>2020</v>
      </c>
      <c r="G894">
        <v>1</v>
      </c>
      <c r="J894" t="s">
        <v>4696</v>
      </c>
      <c r="K894" t="s">
        <v>4697</v>
      </c>
      <c r="L894" t="s">
        <v>4698</v>
      </c>
      <c r="M894" t="s">
        <v>4699</v>
      </c>
      <c r="N894" t="s">
        <v>4554</v>
      </c>
      <c r="O894" t="s">
        <v>4555</v>
      </c>
      <c r="P894" t="s">
        <v>223</v>
      </c>
      <c r="Q894" t="s">
        <v>4556</v>
      </c>
      <c r="S894">
        <v>30</v>
      </c>
      <c r="T894" t="s">
        <v>4700</v>
      </c>
      <c r="U894">
        <v>67</v>
      </c>
      <c r="V894">
        <v>3524</v>
      </c>
      <c r="W894">
        <v>1.9E-2</v>
      </c>
      <c r="X894" t="s">
        <v>56</v>
      </c>
      <c r="Y894" t="s">
        <v>4558</v>
      </c>
      <c r="Z894">
        <v>501.92</v>
      </c>
      <c r="AA894">
        <v>3.1</v>
      </c>
      <c r="AB894">
        <v>1557</v>
      </c>
      <c r="AC894" t="b">
        <v>0</v>
      </c>
      <c r="AD894" t="b">
        <v>0</v>
      </c>
      <c r="AE894" t="b">
        <v>0</v>
      </c>
      <c r="AF894" t="b">
        <v>0</v>
      </c>
      <c r="AG894" t="s">
        <v>58</v>
      </c>
      <c r="AH894">
        <v>-15</v>
      </c>
      <c r="AI894" t="s">
        <v>59</v>
      </c>
      <c r="AJ894" t="s">
        <v>60</v>
      </c>
      <c r="AK894" t="s">
        <v>4559</v>
      </c>
      <c r="AL894" t="s">
        <v>4560</v>
      </c>
      <c r="AM894" t="s">
        <v>245</v>
      </c>
      <c r="AN894" t="s">
        <v>63</v>
      </c>
      <c r="AO894" t="s">
        <v>4561</v>
      </c>
      <c r="AP894" t="s">
        <v>4697</v>
      </c>
    </row>
    <row r="895" spans="1:42" x14ac:dyDescent="0.45">
      <c r="A895" t="s">
        <v>4547</v>
      </c>
      <c r="B895" t="s">
        <v>4548</v>
      </c>
      <c r="C895" t="s">
        <v>4549</v>
      </c>
      <c r="D895">
        <v>2025</v>
      </c>
      <c r="E895" t="s">
        <v>45</v>
      </c>
      <c r="F895" t="s">
        <v>2020</v>
      </c>
      <c r="G895">
        <v>1</v>
      </c>
      <c r="J895" t="s">
        <v>4701</v>
      </c>
      <c r="K895" t="s">
        <v>4702</v>
      </c>
      <c r="L895" t="s">
        <v>4703</v>
      </c>
      <c r="M895" t="s">
        <v>4704</v>
      </c>
      <c r="N895" t="s">
        <v>4554</v>
      </c>
      <c r="O895" t="s">
        <v>4555</v>
      </c>
      <c r="P895" t="s">
        <v>223</v>
      </c>
      <c r="Q895" t="s">
        <v>4556</v>
      </c>
      <c r="S895">
        <v>29</v>
      </c>
      <c r="T895" t="s">
        <v>4705</v>
      </c>
      <c r="U895">
        <v>55</v>
      </c>
      <c r="V895">
        <v>3524</v>
      </c>
      <c r="W895">
        <v>1.5599999999999999E-2</v>
      </c>
      <c r="X895" t="s">
        <v>56</v>
      </c>
      <c r="Y895" t="s">
        <v>4558</v>
      </c>
      <c r="Z895">
        <v>501.88</v>
      </c>
      <c r="AA895">
        <v>1.96</v>
      </c>
      <c r="AB895">
        <v>983</v>
      </c>
      <c r="AC895" t="b">
        <v>0</v>
      </c>
      <c r="AD895" t="b">
        <v>0</v>
      </c>
      <c r="AE895" t="b">
        <v>0</v>
      </c>
      <c r="AF895" t="b">
        <v>0</v>
      </c>
      <c r="AG895" t="s">
        <v>58</v>
      </c>
      <c r="AH895">
        <v>-15</v>
      </c>
      <c r="AI895" t="s">
        <v>59</v>
      </c>
      <c r="AJ895" t="s">
        <v>60</v>
      </c>
      <c r="AK895" t="s">
        <v>4559</v>
      </c>
      <c r="AL895" t="s">
        <v>4560</v>
      </c>
      <c r="AM895" t="s">
        <v>245</v>
      </c>
      <c r="AN895" t="s">
        <v>63</v>
      </c>
      <c r="AO895" t="s">
        <v>4561</v>
      </c>
      <c r="AP895" t="s">
        <v>4702</v>
      </c>
    </row>
    <row r="896" spans="1:42" x14ac:dyDescent="0.45">
      <c r="A896" t="s">
        <v>4547</v>
      </c>
      <c r="B896" t="s">
        <v>4548</v>
      </c>
      <c r="C896" t="s">
        <v>4549</v>
      </c>
      <c r="D896">
        <v>2025</v>
      </c>
      <c r="E896" t="s">
        <v>45</v>
      </c>
      <c r="F896" t="s">
        <v>2020</v>
      </c>
      <c r="G896">
        <v>3</v>
      </c>
      <c r="J896" t="s">
        <v>4706</v>
      </c>
      <c r="K896" t="s">
        <v>4707</v>
      </c>
      <c r="L896" t="s">
        <v>4708</v>
      </c>
      <c r="M896" t="s">
        <v>4709</v>
      </c>
      <c r="N896" t="s">
        <v>4554</v>
      </c>
      <c r="O896" t="s">
        <v>4555</v>
      </c>
      <c r="P896" t="s">
        <v>223</v>
      </c>
      <c r="Q896" t="s">
        <v>4556</v>
      </c>
      <c r="S896">
        <v>19</v>
      </c>
      <c r="T896" t="s">
        <v>4710</v>
      </c>
      <c r="U896">
        <v>707</v>
      </c>
      <c r="V896">
        <v>3524</v>
      </c>
      <c r="W896">
        <v>0.2006</v>
      </c>
      <c r="X896" t="s">
        <v>56</v>
      </c>
      <c r="Y896" t="s">
        <v>4558</v>
      </c>
      <c r="Z896">
        <v>481.69</v>
      </c>
      <c r="AA896">
        <v>8.77</v>
      </c>
      <c r="AB896">
        <v>4226</v>
      </c>
      <c r="AC896" t="b">
        <v>1</v>
      </c>
      <c r="AD896" t="b">
        <v>0</v>
      </c>
      <c r="AE896" t="b">
        <v>0</v>
      </c>
      <c r="AF896" t="b">
        <v>0</v>
      </c>
      <c r="AG896" t="s">
        <v>58</v>
      </c>
      <c r="AH896">
        <v>12</v>
      </c>
      <c r="AI896" t="s">
        <v>59</v>
      </c>
      <c r="AJ896" t="s">
        <v>60</v>
      </c>
      <c r="AK896" t="s">
        <v>252</v>
      </c>
      <c r="AL896" t="s">
        <v>415</v>
      </c>
      <c r="AM896" t="s">
        <v>245</v>
      </c>
      <c r="AN896" t="s">
        <v>63</v>
      </c>
      <c r="AO896" t="s">
        <v>4561</v>
      </c>
      <c r="AP896" t="s">
        <v>4707</v>
      </c>
    </row>
    <row r="897" spans="1:42" x14ac:dyDescent="0.45">
      <c r="A897" t="s">
        <v>4547</v>
      </c>
      <c r="B897" t="s">
        <v>4548</v>
      </c>
      <c r="C897" t="s">
        <v>4549</v>
      </c>
      <c r="D897">
        <v>2025</v>
      </c>
      <c r="E897" t="s">
        <v>45</v>
      </c>
      <c r="F897" t="s">
        <v>2020</v>
      </c>
      <c r="G897">
        <v>3</v>
      </c>
      <c r="J897" t="s">
        <v>4711</v>
      </c>
      <c r="K897" t="s">
        <v>4712</v>
      </c>
      <c r="L897" t="s">
        <v>4713</v>
      </c>
      <c r="M897" t="s">
        <v>4714</v>
      </c>
      <c r="N897" t="s">
        <v>4554</v>
      </c>
      <c r="O897" t="s">
        <v>4555</v>
      </c>
      <c r="P897" t="s">
        <v>223</v>
      </c>
      <c r="Q897" t="s">
        <v>4556</v>
      </c>
      <c r="S897">
        <v>18</v>
      </c>
      <c r="T897" t="s">
        <v>4715</v>
      </c>
      <c r="U897">
        <v>628</v>
      </c>
      <c r="V897">
        <v>3524</v>
      </c>
      <c r="W897">
        <v>0.1782</v>
      </c>
      <c r="X897" t="s">
        <v>56</v>
      </c>
      <c r="Y897" t="s">
        <v>4558</v>
      </c>
      <c r="Z897">
        <v>481.27</v>
      </c>
      <c r="AA897">
        <v>9.9600000000000009</v>
      </c>
      <c r="AB897">
        <v>4792</v>
      </c>
      <c r="AC897" t="b">
        <v>1</v>
      </c>
      <c r="AD897" t="b">
        <v>0</v>
      </c>
      <c r="AE897" t="b">
        <v>0</v>
      </c>
      <c r="AF897" t="b">
        <v>0</v>
      </c>
      <c r="AG897" t="s">
        <v>58</v>
      </c>
      <c r="AH897">
        <v>12</v>
      </c>
      <c r="AI897" t="s">
        <v>59</v>
      </c>
      <c r="AJ897" t="s">
        <v>60</v>
      </c>
      <c r="AK897" t="s">
        <v>252</v>
      </c>
      <c r="AL897" t="s">
        <v>415</v>
      </c>
      <c r="AM897" t="s">
        <v>245</v>
      </c>
      <c r="AN897" t="s">
        <v>63</v>
      </c>
      <c r="AO897" t="s">
        <v>4561</v>
      </c>
      <c r="AP897" t="s">
        <v>4712</v>
      </c>
    </row>
    <row r="898" spans="1:42" x14ac:dyDescent="0.45">
      <c r="A898" t="s">
        <v>4547</v>
      </c>
      <c r="B898" t="s">
        <v>4548</v>
      </c>
      <c r="C898" t="s">
        <v>4549</v>
      </c>
      <c r="D898">
        <v>2025</v>
      </c>
      <c r="E898" t="s">
        <v>45</v>
      </c>
      <c r="F898" t="s">
        <v>2020</v>
      </c>
      <c r="G898">
        <v>1</v>
      </c>
      <c r="J898" t="s">
        <v>4716</v>
      </c>
      <c r="K898" t="s">
        <v>4717</v>
      </c>
      <c r="L898" t="s">
        <v>4718</v>
      </c>
      <c r="M898" t="s">
        <v>4719</v>
      </c>
      <c r="N898" t="s">
        <v>4554</v>
      </c>
      <c r="O898" t="s">
        <v>4555</v>
      </c>
      <c r="P898" t="s">
        <v>223</v>
      </c>
      <c r="Q898" t="s">
        <v>4556</v>
      </c>
      <c r="S898">
        <v>28</v>
      </c>
      <c r="T898" t="s">
        <v>4720</v>
      </c>
      <c r="U898">
        <v>68</v>
      </c>
      <c r="V898">
        <v>3524</v>
      </c>
      <c r="W898">
        <v>1.9300000000000001E-2</v>
      </c>
      <c r="X898" t="s">
        <v>56</v>
      </c>
      <c r="Y898" t="s">
        <v>4558</v>
      </c>
      <c r="Z898">
        <v>501.84</v>
      </c>
      <c r="AA898">
        <v>1.21</v>
      </c>
      <c r="AB898">
        <v>606</v>
      </c>
      <c r="AC898" t="b">
        <v>0</v>
      </c>
      <c r="AD898" t="b">
        <v>0</v>
      </c>
      <c r="AE898" t="b">
        <v>0</v>
      </c>
      <c r="AF898" t="b">
        <v>0</v>
      </c>
      <c r="AG898" t="s">
        <v>58</v>
      </c>
      <c r="AH898">
        <v>-15</v>
      </c>
      <c r="AI898" t="s">
        <v>59</v>
      </c>
      <c r="AJ898" t="s">
        <v>60</v>
      </c>
      <c r="AK898" t="s">
        <v>4559</v>
      </c>
      <c r="AL898" t="s">
        <v>4560</v>
      </c>
      <c r="AM898" t="s">
        <v>245</v>
      </c>
      <c r="AN898" t="s">
        <v>63</v>
      </c>
      <c r="AO898" t="s">
        <v>4561</v>
      </c>
      <c r="AP898" t="s">
        <v>4717</v>
      </c>
    </row>
    <row r="899" spans="1:42" x14ac:dyDescent="0.45">
      <c r="A899" t="s">
        <v>4547</v>
      </c>
      <c r="B899" t="s">
        <v>4548</v>
      </c>
      <c r="C899" t="s">
        <v>4549</v>
      </c>
      <c r="D899">
        <v>2025</v>
      </c>
      <c r="E899" t="s">
        <v>45</v>
      </c>
      <c r="F899" t="s">
        <v>2020</v>
      </c>
      <c r="G899">
        <v>3</v>
      </c>
      <c r="J899" t="s">
        <v>4721</v>
      </c>
      <c r="K899" t="s">
        <v>4722</v>
      </c>
      <c r="L899" t="s">
        <v>4723</v>
      </c>
      <c r="M899" t="s">
        <v>4724</v>
      </c>
      <c r="N899" t="s">
        <v>4554</v>
      </c>
      <c r="O899" t="s">
        <v>4555</v>
      </c>
      <c r="P899" t="s">
        <v>223</v>
      </c>
      <c r="Q899" t="s">
        <v>4556</v>
      </c>
      <c r="S899">
        <v>20</v>
      </c>
      <c r="T899" t="s">
        <v>4725</v>
      </c>
      <c r="U899">
        <v>800</v>
      </c>
      <c r="V899">
        <v>3524</v>
      </c>
      <c r="W899">
        <v>0.22700000000000001</v>
      </c>
      <c r="X899" t="s">
        <v>56</v>
      </c>
      <c r="Y899" t="s">
        <v>4558</v>
      </c>
      <c r="Z899">
        <v>481.77</v>
      </c>
      <c r="AA899">
        <v>5.19</v>
      </c>
      <c r="AB899">
        <v>2502</v>
      </c>
      <c r="AC899" t="b">
        <v>1</v>
      </c>
      <c r="AD899" t="b">
        <v>0</v>
      </c>
      <c r="AE899" t="b">
        <v>0</v>
      </c>
      <c r="AF899" t="b">
        <v>0</v>
      </c>
      <c r="AG899" t="s">
        <v>58</v>
      </c>
      <c r="AH899">
        <v>12</v>
      </c>
      <c r="AI899" t="s">
        <v>59</v>
      </c>
      <c r="AJ899" t="s">
        <v>60</v>
      </c>
      <c r="AK899" t="s">
        <v>252</v>
      </c>
      <c r="AL899" t="s">
        <v>415</v>
      </c>
      <c r="AM899" t="s">
        <v>245</v>
      </c>
      <c r="AN899" t="s">
        <v>63</v>
      </c>
      <c r="AO899" t="s">
        <v>4561</v>
      </c>
      <c r="AP899" t="s">
        <v>4722</v>
      </c>
    </row>
    <row r="900" spans="1:42" x14ac:dyDescent="0.45">
      <c r="A900" t="s">
        <v>4547</v>
      </c>
      <c r="B900" t="s">
        <v>4548</v>
      </c>
      <c r="C900" t="s">
        <v>4549</v>
      </c>
      <c r="D900">
        <v>2025</v>
      </c>
      <c r="E900" t="s">
        <v>45</v>
      </c>
      <c r="F900" t="s">
        <v>2020</v>
      </c>
      <c r="G900">
        <v>3</v>
      </c>
      <c r="J900" t="s">
        <v>4726</v>
      </c>
      <c r="K900" t="s">
        <v>4727</v>
      </c>
      <c r="L900" t="s">
        <v>4728</v>
      </c>
      <c r="M900" t="s">
        <v>4729</v>
      </c>
      <c r="N900" t="s">
        <v>4554</v>
      </c>
      <c r="O900" t="s">
        <v>4555</v>
      </c>
      <c r="P900" t="s">
        <v>223</v>
      </c>
      <c r="Q900" t="s">
        <v>4556</v>
      </c>
      <c r="S900">
        <v>21</v>
      </c>
      <c r="T900" t="s">
        <v>4730</v>
      </c>
      <c r="U900">
        <v>306</v>
      </c>
      <c r="V900">
        <v>3524</v>
      </c>
      <c r="W900">
        <v>8.6800000000000002E-2</v>
      </c>
      <c r="X900" t="s">
        <v>56</v>
      </c>
      <c r="Y900" t="s">
        <v>4558</v>
      </c>
      <c r="Z900">
        <v>481.86</v>
      </c>
      <c r="AA900">
        <v>4.16</v>
      </c>
      <c r="AB900">
        <v>2004</v>
      </c>
      <c r="AC900" t="b">
        <v>1</v>
      </c>
      <c r="AD900" t="b">
        <v>0</v>
      </c>
      <c r="AE900" t="b">
        <v>0</v>
      </c>
      <c r="AF900" t="b">
        <v>0</v>
      </c>
      <c r="AG900" t="s">
        <v>58</v>
      </c>
      <c r="AH900">
        <v>12</v>
      </c>
      <c r="AI900" t="s">
        <v>59</v>
      </c>
      <c r="AJ900" t="s">
        <v>60</v>
      </c>
      <c r="AK900" t="s">
        <v>252</v>
      </c>
      <c r="AL900" t="s">
        <v>415</v>
      </c>
      <c r="AM900" t="s">
        <v>245</v>
      </c>
      <c r="AN900" t="s">
        <v>63</v>
      </c>
      <c r="AO900" t="s">
        <v>4561</v>
      </c>
      <c r="AP900" t="s">
        <v>4727</v>
      </c>
    </row>
    <row r="901" spans="1:42" x14ac:dyDescent="0.45">
      <c r="A901" t="s">
        <v>4547</v>
      </c>
      <c r="B901" t="s">
        <v>4548</v>
      </c>
      <c r="C901" t="s">
        <v>4549</v>
      </c>
      <c r="D901">
        <v>2025</v>
      </c>
      <c r="E901" t="s">
        <v>45</v>
      </c>
      <c r="F901" t="s">
        <v>2020</v>
      </c>
      <c r="J901" t="s">
        <v>4731</v>
      </c>
      <c r="K901" t="s">
        <v>4732</v>
      </c>
      <c r="L901" t="s">
        <v>4733</v>
      </c>
      <c r="M901" t="s">
        <v>4734</v>
      </c>
      <c r="N901" t="s">
        <v>4554</v>
      </c>
      <c r="O901" t="s">
        <v>4555</v>
      </c>
      <c r="P901" t="s">
        <v>223</v>
      </c>
      <c r="Q901" t="s">
        <v>4556</v>
      </c>
      <c r="S901">
        <v>25</v>
      </c>
      <c r="T901" t="s">
        <v>4735</v>
      </c>
      <c r="U901">
        <v>112</v>
      </c>
      <c r="V901">
        <v>3524</v>
      </c>
      <c r="W901">
        <v>3.1800000000000002E-2</v>
      </c>
      <c r="X901" t="s">
        <v>56</v>
      </c>
      <c r="Y901" t="s">
        <v>4558</v>
      </c>
      <c r="Z901">
        <v>510.93</v>
      </c>
      <c r="AA901">
        <v>262.14999999999998</v>
      </c>
      <c r="AB901">
        <v>133940</v>
      </c>
      <c r="AC901" t="b">
        <v>0</v>
      </c>
      <c r="AD901" t="b">
        <v>0</v>
      </c>
      <c r="AE901" t="b">
        <v>0</v>
      </c>
      <c r="AF901" t="b">
        <v>0</v>
      </c>
      <c r="AG901" t="s">
        <v>58</v>
      </c>
      <c r="AH901">
        <v>-15</v>
      </c>
      <c r="AI901" t="s">
        <v>59</v>
      </c>
      <c r="AJ901" t="s">
        <v>60</v>
      </c>
      <c r="AK901" t="s">
        <v>162</v>
      </c>
      <c r="AL901" t="s">
        <v>163</v>
      </c>
      <c r="AM901" t="s">
        <v>245</v>
      </c>
      <c r="AN901" t="s">
        <v>63</v>
      </c>
      <c r="AO901" t="s">
        <v>4561</v>
      </c>
      <c r="AP901" t="s">
        <v>4732</v>
      </c>
    </row>
    <row r="902" spans="1:42" x14ac:dyDescent="0.45">
      <c r="A902" t="s">
        <v>4547</v>
      </c>
      <c r="B902" t="s">
        <v>4548</v>
      </c>
      <c r="C902" t="s">
        <v>4549</v>
      </c>
      <c r="D902">
        <v>2025</v>
      </c>
      <c r="E902" t="s">
        <v>45</v>
      </c>
      <c r="F902" t="s">
        <v>2020</v>
      </c>
      <c r="J902" t="s">
        <v>4736</v>
      </c>
      <c r="K902" t="s">
        <v>4737</v>
      </c>
      <c r="L902" t="s">
        <v>4738</v>
      </c>
      <c r="M902" t="s">
        <v>4739</v>
      </c>
      <c r="N902" t="s">
        <v>4554</v>
      </c>
      <c r="O902" t="s">
        <v>4555</v>
      </c>
      <c r="P902" t="s">
        <v>223</v>
      </c>
      <c r="Q902" t="s">
        <v>4556</v>
      </c>
      <c r="S902">
        <v>40</v>
      </c>
      <c r="T902" t="s">
        <v>4740</v>
      </c>
      <c r="U902">
        <v>169</v>
      </c>
      <c r="V902">
        <v>3524</v>
      </c>
      <c r="W902">
        <v>4.8000000000000001E-2</v>
      </c>
      <c r="X902" t="s">
        <v>56</v>
      </c>
      <c r="Y902" t="s">
        <v>4558</v>
      </c>
      <c r="Z902">
        <v>532.14</v>
      </c>
      <c r="AA902">
        <v>0.75</v>
      </c>
      <c r="AB902">
        <v>401</v>
      </c>
      <c r="AC902" t="b">
        <v>0</v>
      </c>
      <c r="AD902" t="b">
        <v>0</v>
      </c>
      <c r="AE902" t="b">
        <v>0</v>
      </c>
      <c r="AF902" t="b">
        <v>0</v>
      </c>
      <c r="AG902" t="s">
        <v>58</v>
      </c>
      <c r="AH902">
        <v>8</v>
      </c>
      <c r="AI902" t="s">
        <v>169</v>
      </c>
      <c r="AJ902" t="s">
        <v>60</v>
      </c>
      <c r="AL902" t="s">
        <v>380</v>
      </c>
      <c r="AM902" t="s">
        <v>245</v>
      </c>
      <c r="AN902" t="s">
        <v>63</v>
      </c>
      <c r="AO902" t="s">
        <v>4561</v>
      </c>
      <c r="AP902" t="s">
        <v>4737</v>
      </c>
    </row>
    <row r="903" spans="1:42" x14ac:dyDescent="0.45">
      <c r="A903" t="s">
        <v>4547</v>
      </c>
      <c r="B903" t="s">
        <v>4548</v>
      </c>
      <c r="C903" t="s">
        <v>4549</v>
      </c>
      <c r="D903">
        <v>2025</v>
      </c>
      <c r="E903" t="s">
        <v>45</v>
      </c>
      <c r="F903" t="s">
        <v>2020</v>
      </c>
      <c r="G903">
        <v>1</v>
      </c>
      <c r="J903" t="s">
        <v>4741</v>
      </c>
      <c r="K903" t="s">
        <v>4742</v>
      </c>
      <c r="L903" t="s">
        <v>4743</v>
      </c>
      <c r="M903" t="s">
        <v>4744</v>
      </c>
      <c r="N903" t="s">
        <v>4554</v>
      </c>
      <c r="O903" t="s">
        <v>4555</v>
      </c>
      <c r="P903" t="s">
        <v>223</v>
      </c>
      <c r="Q903" t="s">
        <v>4556</v>
      </c>
      <c r="S903">
        <v>32</v>
      </c>
      <c r="T903" t="s">
        <v>4745</v>
      </c>
      <c r="U903">
        <v>96</v>
      </c>
      <c r="V903">
        <v>3524</v>
      </c>
      <c r="W903">
        <v>2.7199999999999998E-2</v>
      </c>
      <c r="X903" t="s">
        <v>56</v>
      </c>
      <c r="Y903" t="s">
        <v>4558</v>
      </c>
      <c r="Z903">
        <v>502</v>
      </c>
      <c r="AA903">
        <v>1.85</v>
      </c>
      <c r="AB903">
        <v>928</v>
      </c>
      <c r="AC903" t="b">
        <v>0</v>
      </c>
      <c r="AD903" t="b">
        <v>0</v>
      </c>
      <c r="AE903" t="b">
        <v>0</v>
      </c>
      <c r="AF903" t="b">
        <v>0</v>
      </c>
      <c r="AG903" t="s">
        <v>58</v>
      </c>
      <c r="AH903">
        <v>-15</v>
      </c>
      <c r="AI903" t="s">
        <v>59</v>
      </c>
      <c r="AJ903" t="s">
        <v>60</v>
      </c>
      <c r="AK903" t="s">
        <v>4559</v>
      </c>
      <c r="AL903" t="s">
        <v>4560</v>
      </c>
      <c r="AM903" t="s">
        <v>245</v>
      </c>
      <c r="AN903" t="s">
        <v>63</v>
      </c>
      <c r="AO903" t="s">
        <v>4561</v>
      </c>
      <c r="AP903" t="s">
        <v>4742</v>
      </c>
    </row>
    <row r="904" spans="1:42" x14ac:dyDescent="0.45">
      <c r="A904" t="s">
        <v>4547</v>
      </c>
      <c r="B904" t="s">
        <v>4548</v>
      </c>
      <c r="C904" t="s">
        <v>4549</v>
      </c>
      <c r="D904">
        <v>2025</v>
      </c>
      <c r="E904" t="s">
        <v>45</v>
      </c>
      <c r="F904" t="s">
        <v>2020</v>
      </c>
      <c r="G904">
        <v>1</v>
      </c>
      <c r="J904" t="s">
        <v>4746</v>
      </c>
      <c r="K904" t="s">
        <v>4747</v>
      </c>
      <c r="L904" t="s">
        <v>4748</v>
      </c>
      <c r="M904" t="s">
        <v>4749</v>
      </c>
      <c r="N904" t="s">
        <v>4554</v>
      </c>
      <c r="O904" t="s">
        <v>4555</v>
      </c>
      <c r="P904" t="s">
        <v>223</v>
      </c>
      <c r="Q904" t="s">
        <v>4556</v>
      </c>
      <c r="S904">
        <v>44</v>
      </c>
      <c r="T904" t="s">
        <v>4750</v>
      </c>
      <c r="U904">
        <v>62</v>
      </c>
      <c r="V904">
        <v>3524</v>
      </c>
      <c r="W904">
        <v>1.7600000000000001E-2</v>
      </c>
      <c r="X904" t="s">
        <v>56</v>
      </c>
      <c r="Y904" t="s">
        <v>4558</v>
      </c>
      <c r="Z904">
        <v>501.75</v>
      </c>
      <c r="AA904">
        <v>1.6</v>
      </c>
      <c r="AB904">
        <v>802</v>
      </c>
      <c r="AC904" t="b">
        <v>0</v>
      </c>
      <c r="AD904" t="b">
        <v>0</v>
      </c>
      <c r="AE904" t="b">
        <v>0</v>
      </c>
      <c r="AF904" t="b">
        <v>0</v>
      </c>
      <c r="AG904" t="s">
        <v>58</v>
      </c>
      <c r="AH904">
        <v>-15</v>
      </c>
      <c r="AI904" t="s">
        <v>59</v>
      </c>
      <c r="AJ904" t="s">
        <v>60</v>
      </c>
      <c r="AK904" t="s">
        <v>4559</v>
      </c>
      <c r="AL904" t="s">
        <v>4560</v>
      </c>
      <c r="AM904" t="s">
        <v>245</v>
      </c>
      <c r="AN904" t="s">
        <v>63</v>
      </c>
      <c r="AO904" t="s">
        <v>4561</v>
      </c>
      <c r="AP904" t="s">
        <v>4747</v>
      </c>
    </row>
    <row r="905" spans="1:42" x14ac:dyDescent="0.45">
      <c r="A905" t="s">
        <v>4547</v>
      </c>
      <c r="B905" t="s">
        <v>4548</v>
      </c>
      <c r="C905" t="s">
        <v>4549</v>
      </c>
      <c r="D905">
        <v>2025</v>
      </c>
      <c r="E905" t="s">
        <v>45</v>
      </c>
      <c r="F905" t="s">
        <v>2020</v>
      </c>
      <c r="J905" t="s">
        <v>4751</v>
      </c>
      <c r="K905" t="s">
        <v>4752</v>
      </c>
      <c r="L905" t="s">
        <v>4753</v>
      </c>
      <c r="M905" t="s">
        <v>4754</v>
      </c>
      <c r="N905" t="s">
        <v>4554</v>
      </c>
      <c r="O905" t="s">
        <v>4555</v>
      </c>
      <c r="P905" t="s">
        <v>223</v>
      </c>
      <c r="Q905" t="s">
        <v>4556</v>
      </c>
      <c r="S905">
        <v>42</v>
      </c>
      <c r="T905" t="s">
        <v>4755</v>
      </c>
      <c r="U905">
        <v>74</v>
      </c>
      <c r="V905">
        <v>3524</v>
      </c>
      <c r="W905">
        <v>2.1000000000000001E-2</v>
      </c>
      <c r="X905" t="s">
        <v>56</v>
      </c>
      <c r="Y905" t="s">
        <v>4558</v>
      </c>
      <c r="Z905">
        <v>532.14</v>
      </c>
      <c r="AA905">
        <v>0.51</v>
      </c>
      <c r="AB905">
        <v>273</v>
      </c>
      <c r="AC905" t="b">
        <v>0</v>
      </c>
      <c r="AD905" t="b">
        <v>0</v>
      </c>
      <c r="AE905" t="b">
        <v>0</v>
      </c>
      <c r="AF905" t="b">
        <v>0</v>
      </c>
      <c r="AG905" t="s">
        <v>58</v>
      </c>
      <c r="AH905">
        <v>8</v>
      </c>
      <c r="AI905" t="s">
        <v>169</v>
      </c>
      <c r="AJ905" t="s">
        <v>60</v>
      </c>
      <c r="AL905" t="s">
        <v>380</v>
      </c>
      <c r="AM905" t="s">
        <v>245</v>
      </c>
      <c r="AN905" t="s">
        <v>63</v>
      </c>
      <c r="AO905" t="s">
        <v>4561</v>
      </c>
      <c r="AP905" t="s">
        <v>4752</v>
      </c>
    </row>
    <row r="906" spans="1:42" x14ac:dyDescent="0.45">
      <c r="A906" t="s">
        <v>4547</v>
      </c>
      <c r="B906" t="s">
        <v>4548</v>
      </c>
      <c r="C906" t="s">
        <v>4549</v>
      </c>
      <c r="D906">
        <v>2025</v>
      </c>
      <c r="E906" t="s">
        <v>45</v>
      </c>
      <c r="F906" t="s">
        <v>2020</v>
      </c>
      <c r="J906" t="s">
        <v>4756</v>
      </c>
      <c r="K906" t="s">
        <v>4757</v>
      </c>
      <c r="L906" t="s">
        <v>4758</v>
      </c>
      <c r="M906" t="s">
        <v>4759</v>
      </c>
      <c r="N906" t="s">
        <v>4554</v>
      </c>
      <c r="O906" t="s">
        <v>4555</v>
      </c>
      <c r="P906" t="s">
        <v>223</v>
      </c>
      <c r="Q906" t="s">
        <v>4556</v>
      </c>
      <c r="S906">
        <v>35</v>
      </c>
      <c r="T906" t="s">
        <v>4760</v>
      </c>
      <c r="U906">
        <v>183</v>
      </c>
      <c r="V906">
        <v>3524</v>
      </c>
      <c r="W906">
        <v>5.1900000000000002E-2</v>
      </c>
      <c r="X906" t="s">
        <v>56</v>
      </c>
      <c r="Y906" t="s">
        <v>4558</v>
      </c>
      <c r="Z906">
        <v>527.03</v>
      </c>
      <c r="AA906">
        <v>1.81</v>
      </c>
      <c r="AB906">
        <v>955</v>
      </c>
      <c r="AC906" t="b">
        <v>0</v>
      </c>
      <c r="AD906" t="b">
        <v>0</v>
      </c>
      <c r="AE906" t="b">
        <v>0</v>
      </c>
      <c r="AF906" t="b">
        <v>0</v>
      </c>
      <c r="AG906" t="s">
        <v>58</v>
      </c>
      <c r="AH906">
        <v>8</v>
      </c>
      <c r="AI906" t="s">
        <v>169</v>
      </c>
      <c r="AJ906" t="s">
        <v>60</v>
      </c>
      <c r="AL906" t="s">
        <v>380</v>
      </c>
      <c r="AM906" t="s">
        <v>245</v>
      </c>
      <c r="AN906" t="s">
        <v>63</v>
      </c>
      <c r="AO906" t="s">
        <v>4561</v>
      </c>
      <c r="AP906" t="s">
        <v>4757</v>
      </c>
    </row>
    <row r="907" spans="1:42" x14ac:dyDescent="0.45">
      <c r="A907" t="s">
        <v>4547</v>
      </c>
      <c r="B907" t="s">
        <v>4548</v>
      </c>
      <c r="C907" t="s">
        <v>4549</v>
      </c>
      <c r="D907">
        <v>2025</v>
      </c>
      <c r="E907" t="s">
        <v>45</v>
      </c>
      <c r="F907" t="s">
        <v>2020</v>
      </c>
      <c r="J907" t="s">
        <v>4761</v>
      </c>
      <c r="K907" t="s">
        <v>4762</v>
      </c>
      <c r="L907" t="s">
        <v>4763</v>
      </c>
      <c r="M907" t="s">
        <v>4764</v>
      </c>
      <c r="N907" t="s">
        <v>4554</v>
      </c>
      <c r="O907" t="s">
        <v>4555</v>
      </c>
      <c r="P907" t="s">
        <v>223</v>
      </c>
      <c r="Q907" t="s">
        <v>4556</v>
      </c>
      <c r="S907">
        <v>36</v>
      </c>
      <c r="T907" t="s">
        <v>4765</v>
      </c>
      <c r="U907">
        <v>213</v>
      </c>
      <c r="V907">
        <v>3524</v>
      </c>
      <c r="W907">
        <v>6.0400000000000002E-2</v>
      </c>
      <c r="X907" t="s">
        <v>56</v>
      </c>
      <c r="Y907" t="s">
        <v>4558</v>
      </c>
      <c r="Z907">
        <v>529.11</v>
      </c>
      <c r="AA907">
        <v>0.69</v>
      </c>
      <c r="AB907">
        <v>366</v>
      </c>
      <c r="AC907" t="b">
        <v>0</v>
      </c>
      <c r="AD907" t="b">
        <v>0</v>
      </c>
      <c r="AE907" t="b">
        <v>0</v>
      </c>
      <c r="AF907" t="b">
        <v>0</v>
      </c>
      <c r="AG907" t="s">
        <v>58</v>
      </c>
      <c r="AH907">
        <v>8</v>
      </c>
      <c r="AI907" t="s">
        <v>169</v>
      </c>
      <c r="AJ907" t="s">
        <v>60</v>
      </c>
      <c r="AL907" t="s">
        <v>380</v>
      </c>
      <c r="AM907" t="s">
        <v>245</v>
      </c>
      <c r="AN907" t="s">
        <v>63</v>
      </c>
      <c r="AO907" t="s">
        <v>4561</v>
      </c>
      <c r="AP907" t="s">
        <v>4762</v>
      </c>
    </row>
    <row r="908" spans="1:42" x14ac:dyDescent="0.45">
      <c r="A908" t="s">
        <v>4547</v>
      </c>
      <c r="B908" t="s">
        <v>4548</v>
      </c>
      <c r="C908" t="s">
        <v>4549</v>
      </c>
      <c r="D908">
        <v>2025</v>
      </c>
      <c r="E908" t="s">
        <v>45</v>
      </c>
      <c r="F908" t="s">
        <v>2020</v>
      </c>
      <c r="J908" t="s">
        <v>4766</v>
      </c>
      <c r="K908" t="s">
        <v>4767</v>
      </c>
      <c r="L908" t="s">
        <v>4768</v>
      </c>
      <c r="M908" t="s">
        <v>4769</v>
      </c>
      <c r="N908" t="s">
        <v>4554</v>
      </c>
      <c r="O908" t="s">
        <v>4555</v>
      </c>
      <c r="P908" t="s">
        <v>223</v>
      </c>
      <c r="Q908" t="s">
        <v>4556</v>
      </c>
      <c r="S908">
        <v>39</v>
      </c>
      <c r="T908" t="s">
        <v>4770</v>
      </c>
      <c r="U908">
        <v>234</v>
      </c>
      <c r="V908">
        <v>3524</v>
      </c>
      <c r="W908">
        <v>6.6400000000000001E-2</v>
      </c>
      <c r="X908" t="s">
        <v>56</v>
      </c>
      <c r="Y908" t="s">
        <v>4558</v>
      </c>
      <c r="Z908">
        <v>531.22</v>
      </c>
      <c r="AA908">
        <v>1.02</v>
      </c>
      <c r="AB908">
        <v>544</v>
      </c>
      <c r="AC908" t="b">
        <v>0</v>
      </c>
      <c r="AD908" t="b">
        <v>0</v>
      </c>
      <c r="AE908" t="b">
        <v>0</v>
      </c>
      <c r="AF908" t="b">
        <v>0</v>
      </c>
      <c r="AG908" t="s">
        <v>58</v>
      </c>
      <c r="AH908">
        <v>8</v>
      </c>
      <c r="AI908" t="s">
        <v>169</v>
      </c>
      <c r="AJ908" t="s">
        <v>60</v>
      </c>
      <c r="AL908" t="s">
        <v>380</v>
      </c>
      <c r="AM908" t="s">
        <v>245</v>
      </c>
      <c r="AN908" t="s">
        <v>63</v>
      </c>
      <c r="AO908" t="s">
        <v>4561</v>
      </c>
      <c r="AP908" t="s">
        <v>4767</v>
      </c>
    </row>
    <row r="909" spans="1:42" x14ac:dyDescent="0.45">
      <c r="A909" t="s">
        <v>4547</v>
      </c>
      <c r="B909" t="s">
        <v>4548</v>
      </c>
      <c r="C909" t="s">
        <v>4549</v>
      </c>
      <c r="D909">
        <v>2025</v>
      </c>
      <c r="E909" t="s">
        <v>45</v>
      </c>
      <c r="F909" t="s">
        <v>2020</v>
      </c>
      <c r="G909">
        <v>1</v>
      </c>
      <c r="J909" t="s">
        <v>4771</v>
      </c>
      <c r="K909" t="s">
        <v>4772</v>
      </c>
      <c r="L909" t="s">
        <v>4773</v>
      </c>
      <c r="M909" t="s">
        <v>4774</v>
      </c>
      <c r="N909" t="s">
        <v>4554</v>
      </c>
      <c r="O909" t="s">
        <v>4555</v>
      </c>
      <c r="P909" t="s">
        <v>223</v>
      </c>
      <c r="Q909" t="s">
        <v>4556</v>
      </c>
      <c r="S909">
        <v>48</v>
      </c>
      <c r="T909" t="s">
        <v>4775</v>
      </c>
      <c r="U909">
        <v>59</v>
      </c>
      <c r="V909">
        <v>3524</v>
      </c>
      <c r="W909">
        <v>1.67E-2</v>
      </c>
      <c r="X909" t="s">
        <v>56</v>
      </c>
      <c r="Y909" t="s">
        <v>4558</v>
      </c>
      <c r="Z909">
        <v>497.04</v>
      </c>
      <c r="AA909">
        <v>2.09</v>
      </c>
      <c r="AB909">
        <v>1041</v>
      </c>
      <c r="AC909" t="b">
        <v>0</v>
      </c>
      <c r="AD909" t="b">
        <v>0</v>
      </c>
      <c r="AE909" t="b">
        <v>0</v>
      </c>
      <c r="AF909" t="b">
        <v>0</v>
      </c>
      <c r="AG909" t="s">
        <v>58</v>
      </c>
      <c r="AH909">
        <v>-15</v>
      </c>
      <c r="AI909" t="s">
        <v>59</v>
      </c>
      <c r="AJ909" t="s">
        <v>60</v>
      </c>
      <c r="AK909" t="s">
        <v>4559</v>
      </c>
      <c r="AL909" t="s">
        <v>4560</v>
      </c>
      <c r="AM909" t="s">
        <v>245</v>
      </c>
      <c r="AN909" t="s">
        <v>63</v>
      </c>
      <c r="AO909" t="s">
        <v>4561</v>
      </c>
      <c r="AP909" t="s">
        <v>4772</v>
      </c>
    </row>
    <row r="910" spans="1:42" x14ac:dyDescent="0.45">
      <c r="A910" t="s">
        <v>4547</v>
      </c>
      <c r="B910" t="s">
        <v>4548</v>
      </c>
      <c r="C910" t="s">
        <v>4549</v>
      </c>
      <c r="D910">
        <v>2025</v>
      </c>
      <c r="E910" t="s">
        <v>45</v>
      </c>
      <c r="F910" t="s">
        <v>2020</v>
      </c>
      <c r="G910">
        <v>2</v>
      </c>
      <c r="J910" t="s">
        <v>4776</v>
      </c>
      <c r="K910" t="s">
        <v>4777</v>
      </c>
      <c r="L910" t="s">
        <v>4778</v>
      </c>
      <c r="M910" t="s">
        <v>4779</v>
      </c>
      <c r="N910" t="s">
        <v>4554</v>
      </c>
      <c r="O910" t="s">
        <v>4555</v>
      </c>
      <c r="P910" t="s">
        <v>223</v>
      </c>
      <c r="Q910" t="s">
        <v>4556</v>
      </c>
      <c r="S910">
        <v>53</v>
      </c>
      <c r="T910" t="s">
        <v>4780</v>
      </c>
      <c r="U910">
        <v>62</v>
      </c>
      <c r="V910">
        <v>3524</v>
      </c>
      <c r="W910">
        <v>1.7600000000000001E-2</v>
      </c>
      <c r="X910" t="s">
        <v>56</v>
      </c>
      <c r="Y910" t="s">
        <v>4558</v>
      </c>
      <c r="Z910">
        <v>489.79</v>
      </c>
      <c r="AA910">
        <v>0.72</v>
      </c>
      <c r="AB910">
        <v>355</v>
      </c>
      <c r="AC910" t="b">
        <v>0</v>
      </c>
      <c r="AD910" t="b">
        <v>0</v>
      </c>
      <c r="AE910" t="b">
        <v>0</v>
      </c>
      <c r="AF910" t="b">
        <v>0</v>
      </c>
      <c r="AG910" t="s">
        <v>58</v>
      </c>
      <c r="AH910">
        <v>-15</v>
      </c>
      <c r="AI910" t="s">
        <v>59</v>
      </c>
      <c r="AJ910" t="s">
        <v>60</v>
      </c>
      <c r="AK910" t="s">
        <v>4559</v>
      </c>
      <c r="AL910" t="s">
        <v>4560</v>
      </c>
      <c r="AM910" t="s">
        <v>245</v>
      </c>
      <c r="AN910" t="s">
        <v>63</v>
      </c>
      <c r="AO910" t="s">
        <v>4561</v>
      </c>
      <c r="AP910" t="s">
        <v>4777</v>
      </c>
    </row>
    <row r="911" spans="1:42" x14ac:dyDescent="0.45">
      <c r="A911" t="s">
        <v>4547</v>
      </c>
      <c r="B911" t="s">
        <v>4548</v>
      </c>
      <c r="C911" t="s">
        <v>4549</v>
      </c>
      <c r="D911">
        <v>2025</v>
      </c>
      <c r="E911" t="s">
        <v>45</v>
      </c>
      <c r="F911" t="s">
        <v>2020</v>
      </c>
      <c r="G911">
        <v>1</v>
      </c>
      <c r="J911" t="s">
        <v>4781</v>
      </c>
      <c r="K911" t="s">
        <v>4782</v>
      </c>
      <c r="L911" t="s">
        <v>4783</v>
      </c>
      <c r="M911" t="s">
        <v>4784</v>
      </c>
      <c r="N911" t="s">
        <v>4554</v>
      </c>
      <c r="O911" t="s">
        <v>4555</v>
      </c>
      <c r="P911" t="s">
        <v>223</v>
      </c>
      <c r="Q911" t="s">
        <v>4556</v>
      </c>
      <c r="S911">
        <v>47</v>
      </c>
      <c r="T911" t="s">
        <v>4785</v>
      </c>
      <c r="U911">
        <v>76</v>
      </c>
      <c r="V911">
        <v>3524</v>
      </c>
      <c r="W911">
        <v>2.1600000000000001E-2</v>
      </c>
      <c r="X911" t="s">
        <v>56</v>
      </c>
      <c r="Y911" t="s">
        <v>4558</v>
      </c>
      <c r="Z911">
        <v>501.16</v>
      </c>
      <c r="AA911">
        <v>2.4500000000000002</v>
      </c>
      <c r="AB911">
        <v>1228</v>
      </c>
      <c r="AC911" t="b">
        <v>0</v>
      </c>
      <c r="AD911" t="b">
        <v>0</v>
      </c>
      <c r="AE911" t="b">
        <v>0</v>
      </c>
      <c r="AF911" t="b">
        <v>0</v>
      </c>
      <c r="AG911" t="s">
        <v>58</v>
      </c>
      <c r="AH911">
        <v>-15</v>
      </c>
      <c r="AI911" t="s">
        <v>59</v>
      </c>
      <c r="AJ911" t="s">
        <v>60</v>
      </c>
      <c r="AK911" t="s">
        <v>4559</v>
      </c>
      <c r="AL911" t="s">
        <v>4560</v>
      </c>
      <c r="AM911" t="s">
        <v>245</v>
      </c>
      <c r="AN911" t="s">
        <v>63</v>
      </c>
      <c r="AO911" t="s">
        <v>4561</v>
      </c>
      <c r="AP911" t="s">
        <v>4782</v>
      </c>
    </row>
    <row r="912" spans="1:42" x14ac:dyDescent="0.45">
      <c r="A912" t="s">
        <v>4547</v>
      </c>
      <c r="B912" t="s">
        <v>4548</v>
      </c>
      <c r="C912" t="s">
        <v>4549</v>
      </c>
      <c r="D912">
        <v>2025</v>
      </c>
      <c r="E912" t="s">
        <v>45</v>
      </c>
      <c r="F912" t="s">
        <v>2020</v>
      </c>
      <c r="G912">
        <v>2</v>
      </c>
      <c r="J912" t="s">
        <v>4786</v>
      </c>
      <c r="K912" t="s">
        <v>4787</v>
      </c>
      <c r="L912" t="s">
        <v>4788</v>
      </c>
      <c r="M912" t="s">
        <v>4789</v>
      </c>
      <c r="N912" t="s">
        <v>4554</v>
      </c>
      <c r="O912" t="s">
        <v>4555</v>
      </c>
      <c r="P912" t="s">
        <v>223</v>
      </c>
      <c r="Q912" t="s">
        <v>4556</v>
      </c>
      <c r="S912">
        <v>52</v>
      </c>
      <c r="T912" t="s">
        <v>4790</v>
      </c>
      <c r="U912">
        <v>80</v>
      </c>
      <c r="V912">
        <v>3524</v>
      </c>
      <c r="W912">
        <v>2.2700000000000001E-2</v>
      </c>
      <c r="X912" t="s">
        <v>56</v>
      </c>
      <c r="Y912" t="s">
        <v>4558</v>
      </c>
      <c r="Z912">
        <v>489.96</v>
      </c>
      <c r="AA912">
        <v>0.49</v>
      </c>
      <c r="AB912">
        <v>238</v>
      </c>
      <c r="AC912" t="b">
        <v>0</v>
      </c>
      <c r="AD912" t="b">
        <v>0</v>
      </c>
      <c r="AE912" t="b">
        <v>0</v>
      </c>
      <c r="AF912" t="b">
        <v>0</v>
      </c>
      <c r="AG912" t="s">
        <v>58</v>
      </c>
      <c r="AH912">
        <v>-15</v>
      </c>
      <c r="AI912" t="s">
        <v>59</v>
      </c>
      <c r="AJ912" t="s">
        <v>60</v>
      </c>
      <c r="AK912" t="s">
        <v>4559</v>
      </c>
      <c r="AL912" t="s">
        <v>4560</v>
      </c>
      <c r="AM912" t="s">
        <v>245</v>
      </c>
      <c r="AN912" t="s">
        <v>63</v>
      </c>
      <c r="AO912" t="s">
        <v>4561</v>
      </c>
      <c r="AP912" t="s">
        <v>4787</v>
      </c>
    </row>
    <row r="913" spans="1:42" x14ac:dyDescent="0.45">
      <c r="A913" t="s">
        <v>4547</v>
      </c>
      <c r="B913" t="s">
        <v>4548</v>
      </c>
      <c r="C913" t="s">
        <v>4549</v>
      </c>
      <c r="D913">
        <v>2025</v>
      </c>
      <c r="E913" t="s">
        <v>45</v>
      </c>
      <c r="F913" t="s">
        <v>2020</v>
      </c>
      <c r="G913">
        <v>1</v>
      </c>
      <c r="J913" t="s">
        <v>4791</v>
      </c>
      <c r="K913" t="s">
        <v>4792</v>
      </c>
      <c r="L913" t="s">
        <v>4793</v>
      </c>
      <c r="M913" t="s">
        <v>4794</v>
      </c>
      <c r="N913" t="s">
        <v>4554</v>
      </c>
      <c r="O913" t="s">
        <v>4555</v>
      </c>
      <c r="P913" t="s">
        <v>223</v>
      </c>
      <c r="Q913" t="s">
        <v>4556</v>
      </c>
      <c r="S913">
        <v>49</v>
      </c>
      <c r="T913" t="s">
        <v>4795</v>
      </c>
      <c r="U913">
        <v>74</v>
      </c>
      <c r="V913">
        <v>3524</v>
      </c>
      <c r="W913">
        <v>2.1000000000000001E-2</v>
      </c>
      <c r="X913" t="s">
        <v>56</v>
      </c>
      <c r="Y913" t="s">
        <v>4558</v>
      </c>
      <c r="Z913">
        <v>496.96</v>
      </c>
      <c r="AA913">
        <v>1.47</v>
      </c>
      <c r="AB913">
        <v>731</v>
      </c>
      <c r="AC913" t="b">
        <v>0</v>
      </c>
      <c r="AD913" t="b">
        <v>0</v>
      </c>
      <c r="AE913" t="b">
        <v>0</v>
      </c>
      <c r="AF913" t="b">
        <v>0</v>
      </c>
      <c r="AG913" t="s">
        <v>58</v>
      </c>
      <c r="AH913">
        <v>-15</v>
      </c>
      <c r="AI913" t="s">
        <v>59</v>
      </c>
      <c r="AJ913" t="s">
        <v>60</v>
      </c>
      <c r="AK913" t="s">
        <v>4559</v>
      </c>
      <c r="AL913" t="s">
        <v>4560</v>
      </c>
      <c r="AM913" t="s">
        <v>245</v>
      </c>
      <c r="AN913" t="s">
        <v>63</v>
      </c>
      <c r="AO913" t="s">
        <v>4561</v>
      </c>
      <c r="AP913" t="s">
        <v>4792</v>
      </c>
    </row>
    <row r="914" spans="1:42" x14ac:dyDescent="0.45">
      <c r="A914" t="s">
        <v>4547</v>
      </c>
      <c r="B914" t="s">
        <v>4548</v>
      </c>
      <c r="C914" t="s">
        <v>4549</v>
      </c>
      <c r="D914">
        <v>2025</v>
      </c>
      <c r="E914" t="s">
        <v>45</v>
      </c>
      <c r="F914" t="s">
        <v>2020</v>
      </c>
      <c r="G914">
        <v>1</v>
      </c>
      <c r="J914" t="s">
        <v>4796</v>
      </c>
      <c r="K914" t="s">
        <v>4797</v>
      </c>
      <c r="L914" t="s">
        <v>4798</v>
      </c>
      <c r="M914" t="s">
        <v>4799</v>
      </c>
      <c r="N914" t="s">
        <v>4554</v>
      </c>
      <c r="O914" t="s">
        <v>4555</v>
      </c>
      <c r="P914" t="s">
        <v>223</v>
      </c>
      <c r="Q914" t="s">
        <v>4556</v>
      </c>
      <c r="S914">
        <v>46</v>
      </c>
      <c r="T914" t="s">
        <v>4800</v>
      </c>
      <c r="U914">
        <v>67</v>
      </c>
      <c r="V914">
        <v>3524</v>
      </c>
      <c r="W914">
        <v>1.9E-2</v>
      </c>
      <c r="X914" t="s">
        <v>56</v>
      </c>
      <c r="Y914" t="s">
        <v>4558</v>
      </c>
      <c r="Z914">
        <v>501.67</v>
      </c>
      <c r="AA914">
        <v>1.01</v>
      </c>
      <c r="AB914">
        <v>508</v>
      </c>
      <c r="AC914" t="b">
        <v>0</v>
      </c>
      <c r="AD914" t="b">
        <v>0</v>
      </c>
      <c r="AE914" t="b">
        <v>0</v>
      </c>
      <c r="AF914" t="b">
        <v>0</v>
      </c>
      <c r="AG914" t="s">
        <v>58</v>
      </c>
      <c r="AH914">
        <v>-15</v>
      </c>
      <c r="AI914" t="s">
        <v>59</v>
      </c>
      <c r="AJ914" t="s">
        <v>60</v>
      </c>
      <c r="AK914" t="s">
        <v>4559</v>
      </c>
      <c r="AL914" t="s">
        <v>4560</v>
      </c>
      <c r="AM914" t="s">
        <v>245</v>
      </c>
      <c r="AN914" t="s">
        <v>63</v>
      </c>
      <c r="AO914" t="s">
        <v>4561</v>
      </c>
      <c r="AP914" t="s">
        <v>4797</v>
      </c>
    </row>
    <row r="915" spans="1:42" x14ac:dyDescent="0.45">
      <c r="A915" t="s">
        <v>4547</v>
      </c>
      <c r="B915" t="s">
        <v>4548</v>
      </c>
      <c r="C915" t="s">
        <v>4549</v>
      </c>
      <c r="D915">
        <v>2025</v>
      </c>
      <c r="E915" t="s">
        <v>45</v>
      </c>
      <c r="F915" t="s">
        <v>2020</v>
      </c>
      <c r="G915">
        <v>2</v>
      </c>
      <c r="J915" t="s">
        <v>4801</v>
      </c>
      <c r="K915" t="s">
        <v>4802</v>
      </c>
      <c r="L915" t="s">
        <v>4803</v>
      </c>
      <c r="M915" t="s">
        <v>4804</v>
      </c>
      <c r="N915" t="s">
        <v>4554</v>
      </c>
      <c r="O915" t="s">
        <v>4555</v>
      </c>
      <c r="P915" t="s">
        <v>223</v>
      </c>
      <c r="Q915" t="s">
        <v>4556</v>
      </c>
      <c r="S915">
        <v>1</v>
      </c>
      <c r="T915" t="s">
        <v>4805</v>
      </c>
      <c r="U915">
        <v>3524</v>
      </c>
      <c r="V915">
        <v>3524</v>
      </c>
      <c r="W915">
        <v>1</v>
      </c>
      <c r="X915" t="s">
        <v>70</v>
      </c>
      <c r="Y915" t="s">
        <v>4558</v>
      </c>
      <c r="Z915">
        <v>493.75</v>
      </c>
      <c r="AA915">
        <v>2227.9299999999998</v>
      </c>
      <c r="AB915">
        <v>1100048</v>
      </c>
      <c r="AC915" t="b">
        <v>1</v>
      </c>
      <c r="AD915" t="b">
        <v>1</v>
      </c>
      <c r="AE915" t="b">
        <v>0</v>
      </c>
      <c r="AF915" t="b">
        <v>0</v>
      </c>
      <c r="AG915" t="s">
        <v>58</v>
      </c>
      <c r="AH915">
        <v>14</v>
      </c>
      <c r="AI915" t="s">
        <v>59</v>
      </c>
      <c r="AJ915" t="s">
        <v>71</v>
      </c>
      <c r="AL915" t="s">
        <v>244</v>
      </c>
      <c r="AM915" t="s">
        <v>245</v>
      </c>
      <c r="AN915" t="s">
        <v>63</v>
      </c>
      <c r="AO915" t="s">
        <v>4561</v>
      </c>
      <c r="AP915" t="s">
        <v>4802</v>
      </c>
    </row>
    <row r="916" spans="1:42" x14ac:dyDescent="0.45">
      <c r="A916" t="s">
        <v>4547</v>
      </c>
      <c r="B916" t="s">
        <v>4548</v>
      </c>
      <c r="C916" t="s">
        <v>4549</v>
      </c>
      <c r="D916">
        <v>2025</v>
      </c>
      <c r="E916" t="s">
        <v>45</v>
      </c>
      <c r="F916" t="s">
        <v>2020</v>
      </c>
      <c r="G916">
        <v>3</v>
      </c>
      <c r="J916" t="s">
        <v>4806</v>
      </c>
      <c r="K916" t="s">
        <v>4807</v>
      </c>
      <c r="L916" t="s">
        <v>4808</v>
      </c>
      <c r="M916" t="s">
        <v>4809</v>
      </c>
      <c r="N916" t="s">
        <v>4554</v>
      </c>
      <c r="O916" t="s">
        <v>4555</v>
      </c>
      <c r="P916" t="s">
        <v>223</v>
      </c>
      <c r="Q916" t="s">
        <v>4556</v>
      </c>
      <c r="S916">
        <v>58</v>
      </c>
      <c r="T916" t="s">
        <v>4810</v>
      </c>
      <c r="U916">
        <v>75</v>
      </c>
      <c r="V916">
        <v>3524</v>
      </c>
      <c r="W916">
        <v>2.1299999999999999E-2</v>
      </c>
      <c r="X916" t="s">
        <v>56</v>
      </c>
      <c r="Y916" t="s">
        <v>4558</v>
      </c>
      <c r="Z916">
        <v>485.91</v>
      </c>
      <c r="AA916">
        <v>2.66</v>
      </c>
      <c r="AB916">
        <v>1293</v>
      </c>
      <c r="AC916" t="b">
        <v>1</v>
      </c>
      <c r="AD916" t="b">
        <v>0</v>
      </c>
      <c r="AE916" t="b">
        <v>0</v>
      </c>
      <c r="AF916" t="b">
        <v>0</v>
      </c>
      <c r="AG916" t="s">
        <v>58</v>
      </c>
      <c r="AH916">
        <v>12</v>
      </c>
      <c r="AI916" t="s">
        <v>59</v>
      </c>
      <c r="AJ916" t="s">
        <v>60</v>
      </c>
      <c r="AK916" t="s">
        <v>252</v>
      </c>
      <c r="AL916" t="s">
        <v>415</v>
      </c>
      <c r="AM916" t="s">
        <v>245</v>
      </c>
      <c r="AN916" t="s">
        <v>63</v>
      </c>
      <c r="AO916" t="s">
        <v>4561</v>
      </c>
      <c r="AP916" t="s">
        <v>4807</v>
      </c>
    </row>
    <row r="917" spans="1:42" x14ac:dyDescent="0.45">
      <c r="A917" t="s">
        <v>4547</v>
      </c>
      <c r="B917" t="s">
        <v>4548</v>
      </c>
      <c r="C917" t="s">
        <v>4549</v>
      </c>
      <c r="D917">
        <v>2025</v>
      </c>
      <c r="E917" t="s">
        <v>45</v>
      </c>
      <c r="F917" t="s">
        <v>2020</v>
      </c>
      <c r="G917">
        <v>3</v>
      </c>
      <c r="J917" t="s">
        <v>4811</v>
      </c>
      <c r="K917" t="s">
        <v>4812</v>
      </c>
      <c r="L917" t="s">
        <v>4813</v>
      </c>
      <c r="M917" t="s">
        <v>4814</v>
      </c>
      <c r="N917" t="s">
        <v>4554</v>
      </c>
      <c r="O917" t="s">
        <v>4555</v>
      </c>
      <c r="P917" t="s">
        <v>223</v>
      </c>
      <c r="Q917" t="s">
        <v>4556</v>
      </c>
      <c r="S917">
        <v>65</v>
      </c>
      <c r="T917" t="s">
        <v>4815</v>
      </c>
      <c r="U917">
        <v>66</v>
      </c>
      <c r="V917">
        <v>3524</v>
      </c>
      <c r="W917">
        <v>1.8700000000000001E-2</v>
      </c>
      <c r="X917" t="s">
        <v>56</v>
      </c>
      <c r="Y917" t="s">
        <v>4558</v>
      </c>
      <c r="Z917">
        <v>485.02</v>
      </c>
      <c r="AA917">
        <v>1.78</v>
      </c>
      <c r="AB917">
        <v>861</v>
      </c>
      <c r="AC917" t="b">
        <v>1</v>
      </c>
      <c r="AD917" t="b">
        <v>0</v>
      </c>
      <c r="AE917" t="b">
        <v>0</v>
      </c>
      <c r="AF917" t="b">
        <v>0</v>
      </c>
      <c r="AG917" t="s">
        <v>58</v>
      </c>
      <c r="AH917">
        <v>12</v>
      </c>
      <c r="AI917" t="s">
        <v>59</v>
      </c>
      <c r="AJ917" t="s">
        <v>60</v>
      </c>
      <c r="AK917" t="s">
        <v>252</v>
      </c>
      <c r="AL917" t="s">
        <v>415</v>
      </c>
      <c r="AM917" t="s">
        <v>245</v>
      </c>
      <c r="AN917" t="s">
        <v>63</v>
      </c>
      <c r="AO917" t="s">
        <v>4561</v>
      </c>
      <c r="AP917" t="s">
        <v>4812</v>
      </c>
    </row>
    <row r="918" spans="1:42" x14ac:dyDescent="0.45">
      <c r="A918" t="s">
        <v>4547</v>
      </c>
      <c r="B918" t="s">
        <v>4548</v>
      </c>
      <c r="C918" t="s">
        <v>4549</v>
      </c>
      <c r="D918">
        <v>2025</v>
      </c>
      <c r="E918" t="s">
        <v>45</v>
      </c>
      <c r="F918" t="s">
        <v>2020</v>
      </c>
      <c r="G918">
        <v>2</v>
      </c>
      <c r="J918" t="s">
        <v>4816</v>
      </c>
      <c r="K918" t="s">
        <v>4817</v>
      </c>
      <c r="L918" t="s">
        <v>4818</v>
      </c>
      <c r="M918" t="s">
        <v>4819</v>
      </c>
      <c r="N918" t="s">
        <v>4554</v>
      </c>
      <c r="O918" t="s">
        <v>4555</v>
      </c>
      <c r="P918" t="s">
        <v>223</v>
      </c>
      <c r="Q918" t="s">
        <v>4556</v>
      </c>
      <c r="S918">
        <v>56</v>
      </c>
      <c r="T918" t="s">
        <v>4820</v>
      </c>
      <c r="U918">
        <v>120</v>
      </c>
      <c r="V918">
        <v>3524</v>
      </c>
      <c r="W918">
        <v>3.4099999999999998E-2</v>
      </c>
      <c r="X918" t="s">
        <v>56</v>
      </c>
      <c r="Y918" t="s">
        <v>4558</v>
      </c>
      <c r="Z918">
        <v>489.36</v>
      </c>
      <c r="AA918">
        <v>1.06</v>
      </c>
      <c r="AB918">
        <v>521</v>
      </c>
      <c r="AC918" t="b">
        <v>0</v>
      </c>
      <c r="AD918" t="b">
        <v>0</v>
      </c>
      <c r="AE918" t="b">
        <v>0</v>
      </c>
      <c r="AF918" t="b">
        <v>0</v>
      </c>
      <c r="AG918" t="s">
        <v>58</v>
      </c>
      <c r="AH918">
        <v>-15</v>
      </c>
      <c r="AI918" t="s">
        <v>59</v>
      </c>
      <c r="AJ918" t="s">
        <v>60</v>
      </c>
      <c r="AK918" t="s">
        <v>4559</v>
      </c>
      <c r="AL918" t="s">
        <v>4560</v>
      </c>
      <c r="AM918" t="s">
        <v>245</v>
      </c>
      <c r="AN918" t="s">
        <v>63</v>
      </c>
      <c r="AO918" t="s">
        <v>4561</v>
      </c>
      <c r="AP918" t="s">
        <v>4817</v>
      </c>
    </row>
    <row r="919" spans="1:42" x14ac:dyDescent="0.45">
      <c r="A919" t="s">
        <v>4547</v>
      </c>
      <c r="B919" t="s">
        <v>4548</v>
      </c>
      <c r="C919" t="s">
        <v>4549</v>
      </c>
      <c r="D919">
        <v>2025</v>
      </c>
      <c r="E919" t="s">
        <v>45</v>
      </c>
      <c r="F919" t="s">
        <v>2020</v>
      </c>
      <c r="G919">
        <v>3</v>
      </c>
      <c r="J919" t="s">
        <v>4821</v>
      </c>
      <c r="K919" t="s">
        <v>4822</v>
      </c>
      <c r="L919" t="s">
        <v>4823</v>
      </c>
      <c r="M919" t="s">
        <v>4824</v>
      </c>
      <c r="N919" t="s">
        <v>4554</v>
      </c>
      <c r="O919" t="s">
        <v>4555</v>
      </c>
      <c r="P919" t="s">
        <v>223</v>
      </c>
      <c r="Q919" t="s">
        <v>4556</v>
      </c>
      <c r="S919">
        <v>61</v>
      </c>
      <c r="T919" t="s">
        <v>4825</v>
      </c>
      <c r="U919">
        <v>89</v>
      </c>
      <c r="V919">
        <v>3524</v>
      </c>
      <c r="W919">
        <v>2.53E-2</v>
      </c>
      <c r="X919" t="s">
        <v>56</v>
      </c>
      <c r="Y919" t="s">
        <v>4558</v>
      </c>
      <c r="Z919">
        <v>485.66</v>
      </c>
      <c r="AA919">
        <v>3.21</v>
      </c>
      <c r="AB919">
        <v>1557</v>
      </c>
      <c r="AC919" t="b">
        <v>1</v>
      </c>
      <c r="AD919" t="b">
        <v>0</v>
      </c>
      <c r="AE919" t="b">
        <v>0</v>
      </c>
      <c r="AF919" t="b">
        <v>0</v>
      </c>
      <c r="AG919" t="s">
        <v>58</v>
      </c>
      <c r="AH919">
        <v>12</v>
      </c>
      <c r="AI919" t="s">
        <v>59</v>
      </c>
      <c r="AJ919" t="s">
        <v>60</v>
      </c>
      <c r="AK919" t="s">
        <v>252</v>
      </c>
      <c r="AL919" t="s">
        <v>415</v>
      </c>
      <c r="AM919" t="s">
        <v>245</v>
      </c>
      <c r="AN919" t="s">
        <v>63</v>
      </c>
      <c r="AO919" t="s">
        <v>4561</v>
      </c>
      <c r="AP919" t="s">
        <v>4822</v>
      </c>
    </row>
    <row r="920" spans="1:42" x14ac:dyDescent="0.45">
      <c r="A920" t="s">
        <v>4547</v>
      </c>
      <c r="B920" t="s">
        <v>4548</v>
      </c>
      <c r="C920" t="s">
        <v>4549</v>
      </c>
      <c r="D920">
        <v>2025</v>
      </c>
      <c r="E920" t="s">
        <v>45</v>
      </c>
      <c r="F920" t="s">
        <v>2020</v>
      </c>
      <c r="G920">
        <v>4</v>
      </c>
      <c r="J920" t="s">
        <v>4826</v>
      </c>
      <c r="K920" t="s">
        <v>4827</v>
      </c>
      <c r="L920" t="s">
        <v>4828</v>
      </c>
      <c r="M920" t="s">
        <v>4829</v>
      </c>
      <c r="N920" t="s">
        <v>4554</v>
      </c>
      <c r="O920" t="s">
        <v>4555</v>
      </c>
      <c r="P920" t="s">
        <v>223</v>
      </c>
      <c r="Q920" t="s">
        <v>4556</v>
      </c>
      <c r="S920">
        <v>76</v>
      </c>
      <c r="T920" t="s">
        <v>4830</v>
      </c>
      <c r="U920">
        <v>101</v>
      </c>
      <c r="V920">
        <v>3524</v>
      </c>
      <c r="W920">
        <v>2.87E-2</v>
      </c>
      <c r="X920" t="s">
        <v>56</v>
      </c>
      <c r="Y920" t="s">
        <v>4558</v>
      </c>
      <c r="Z920">
        <v>480.65</v>
      </c>
      <c r="AA920">
        <v>173.01</v>
      </c>
      <c r="AB920">
        <v>83155</v>
      </c>
      <c r="AC920" t="b">
        <v>1</v>
      </c>
      <c r="AD920" t="b">
        <v>0</v>
      </c>
      <c r="AE920" t="b">
        <v>0</v>
      </c>
      <c r="AF920" t="b">
        <v>0</v>
      </c>
      <c r="AG920" t="s">
        <v>58</v>
      </c>
      <c r="AH920">
        <v>12</v>
      </c>
      <c r="AI920" t="s">
        <v>59</v>
      </c>
      <c r="AJ920" t="s">
        <v>60</v>
      </c>
      <c r="AK920" t="s">
        <v>252</v>
      </c>
      <c r="AL920" t="s">
        <v>415</v>
      </c>
      <c r="AM920" t="s">
        <v>245</v>
      </c>
      <c r="AN920" t="s">
        <v>63</v>
      </c>
      <c r="AO920" t="s">
        <v>4561</v>
      </c>
      <c r="AP920" t="s">
        <v>4827</v>
      </c>
    </row>
    <row r="921" spans="1:42" x14ac:dyDescent="0.45">
      <c r="A921" t="s">
        <v>4547</v>
      </c>
      <c r="B921" t="s">
        <v>4548</v>
      </c>
      <c r="C921" t="s">
        <v>4549</v>
      </c>
      <c r="D921">
        <v>2025</v>
      </c>
      <c r="E921" t="s">
        <v>45</v>
      </c>
      <c r="F921" t="s">
        <v>2020</v>
      </c>
      <c r="G921">
        <v>2</v>
      </c>
      <c r="J921" t="s">
        <v>4831</v>
      </c>
      <c r="K921" t="s">
        <v>4832</v>
      </c>
      <c r="L921" t="s">
        <v>4833</v>
      </c>
      <c r="M921" t="s">
        <v>4834</v>
      </c>
      <c r="N921" t="s">
        <v>4554</v>
      </c>
      <c r="O921" t="s">
        <v>4555</v>
      </c>
      <c r="P921" t="s">
        <v>223</v>
      </c>
      <c r="Q921" t="s">
        <v>4556</v>
      </c>
      <c r="S921">
        <v>16</v>
      </c>
      <c r="T921" t="s">
        <v>4835</v>
      </c>
      <c r="U921">
        <v>94</v>
      </c>
      <c r="V921">
        <v>3524</v>
      </c>
      <c r="W921">
        <v>2.6700000000000002E-2</v>
      </c>
      <c r="X921" t="s">
        <v>56</v>
      </c>
      <c r="Y921" t="s">
        <v>4558</v>
      </c>
      <c r="Z921">
        <v>494.75</v>
      </c>
      <c r="AA921">
        <v>36.840000000000003</v>
      </c>
      <c r="AB921">
        <v>18225</v>
      </c>
      <c r="AC921" t="b">
        <v>0</v>
      </c>
      <c r="AD921" t="b">
        <v>0</v>
      </c>
      <c r="AE921" t="b">
        <v>0</v>
      </c>
      <c r="AF921" t="b">
        <v>0</v>
      </c>
      <c r="AG921" t="s">
        <v>58</v>
      </c>
      <c r="AH921">
        <v>-15</v>
      </c>
      <c r="AI921" t="s">
        <v>59</v>
      </c>
      <c r="AJ921" t="s">
        <v>60</v>
      </c>
      <c r="AK921" t="s">
        <v>162</v>
      </c>
      <c r="AL921" t="s">
        <v>163</v>
      </c>
      <c r="AM921" t="s">
        <v>245</v>
      </c>
      <c r="AN921" t="s">
        <v>63</v>
      </c>
      <c r="AO921" t="s">
        <v>4561</v>
      </c>
      <c r="AP921" t="s">
        <v>4832</v>
      </c>
    </row>
    <row r="922" spans="1:42" x14ac:dyDescent="0.45">
      <c r="A922" t="s">
        <v>4547</v>
      </c>
      <c r="B922" t="s">
        <v>4548</v>
      </c>
      <c r="C922" t="s">
        <v>4549</v>
      </c>
      <c r="D922">
        <v>2025</v>
      </c>
      <c r="E922" t="s">
        <v>45</v>
      </c>
      <c r="F922" t="s">
        <v>2020</v>
      </c>
      <c r="G922">
        <v>4</v>
      </c>
      <c r="J922" t="s">
        <v>4836</v>
      </c>
      <c r="K922" t="s">
        <v>4837</v>
      </c>
      <c r="L922" t="s">
        <v>4838</v>
      </c>
      <c r="M922" t="s">
        <v>4839</v>
      </c>
      <c r="N922" t="s">
        <v>4554</v>
      </c>
      <c r="O922" t="s">
        <v>4555</v>
      </c>
      <c r="P922" t="s">
        <v>223</v>
      </c>
      <c r="Q922" t="s">
        <v>4556</v>
      </c>
      <c r="S922">
        <v>78</v>
      </c>
      <c r="T922" t="s">
        <v>4840</v>
      </c>
      <c r="U922">
        <v>149</v>
      </c>
      <c r="V922">
        <v>3524</v>
      </c>
      <c r="W922">
        <v>4.2299999999999997E-2</v>
      </c>
      <c r="X922" t="s">
        <v>56</v>
      </c>
      <c r="Y922" t="s">
        <v>4558</v>
      </c>
      <c r="Z922">
        <v>475.87</v>
      </c>
      <c r="AA922">
        <v>1.21</v>
      </c>
      <c r="AB922">
        <v>575</v>
      </c>
      <c r="AC922" t="b">
        <v>1</v>
      </c>
      <c r="AD922" t="b">
        <v>0</v>
      </c>
      <c r="AE922" t="b">
        <v>0</v>
      </c>
      <c r="AF922" t="b">
        <v>0</v>
      </c>
      <c r="AG922" t="s">
        <v>58</v>
      </c>
      <c r="AH922">
        <v>12</v>
      </c>
      <c r="AI922" t="s">
        <v>59</v>
      </c>
      <c r="AJ922" t="s">
        <v>60</v>
      </c>
      <c r="AK922" t="s">
        <v>252</v>
      </c>
      <c r="AL922" t="s">
        <v>415</v>
      </c>
      <c r="AM922" t="s">
        <v>245</v>
      </c>
      <c r="AN922" t="s">
        <v>63</v>
      </c>
      <c r="AO922" t="s">
        <v>4561</v>
      </c>
      <c r="AP922" t="s">
        <v>4837</v>
      </c>
    </row>
    <row r="923" spans="1:42" x14ac:dyDescent="0.45">
      <c r="A923" t="s">
        <v>4547</v>
      </c>
      <c r="B923" t="s">
        <v>4548</v>
      </c>
      <c r="C923" t="s">
        <v>4549</v>
      </c>
      <c r="D923">
        <v>2025</v>
      </c>
      <c r="E923" t="s">
        <v>45</v>
      </c>
      <c r="F923" t="s">
        <v>2020</v>
      </c>
      <c r="G923">
        <v>2</v>
      </c>
      <c r="J923" t="s">
        <v>4841</v>
      </c>
      <c r="K923" t="s">
        <v>4842</v>
      </c>
      <c r="L923" t="s">
        <v>4843</v>
      </c>
      <c r="M923" t="s">
        <v>4844</v>
      </c>
      <c r="N923" t="s">
        <v>4554</v>
      </c>
      <c r="O923" t="s">
        <v>4555</v>
      </c>
      <c r="P923" t="s">
        <v>223</v>
      </c>
      <c r="Q923" t="s">
        <v>4556</v>
      </c>
      <c r="S923">
        <v>54</v>
      </c>
      <c r="T923" t="s">
        <v>4845</v>
      </c>
      <c r="U923">
        <v>65</v>
      </c>
      <c r="V923">
        <v>3524</v>
      </c>
      <c r="W923">
        <v>1.84E-2</v>
      </c>
      <c r="X923" t="s">
        <v>56</v>
      </c>
      <c r="Y923" t="s">
        <v>4558</v>
      </c>
      <c r="Z923">
        <v>489.73</v>
      </c>
      <c r="AA923">
        <v>1.1399999999999999</v>
      </c>
      <c r="AB923">
        <v>556</v>
      </c>
      <c r="AC923" t="b">
        <v>0</v>
      </c>
      <c r="AD923" t="b">
        <v>0</v>
      </c>
      <c r="AE923" t="b">
        <v>0</v>
      </c>
      <c r="AF923" t="b">
        <v>0</v>
      </c>
      <c r="AG923" t="s">
        <v>58</v>
      </c>
      <c r="AH923">
        <v>-15</v>
      </c>
      <c r="AI923" t="s">
        <v>59</v>
      </c>
      <c r="AJ923" t="s">
        <v>60</v>
      </c>
      <c r="AK923" t="s">
        <v>4559</v>
      </c>
      <c r="AL923" t="s">
        <v>4560</v>
      </c>
      <c r="AM923" t="s">
        <v>245</v>
      </c>
      <c r="AN923" t="s">
        <v>63</v>
      </c>
      <c r="AO923" t="s">
        <v>4561</v>
      </c>
      <c r="AP923" t="s">
        <v>4842</v>
      </c>
    </row>
    <row r="924" spans="1:42" x14ac:dyDescent="0.45">
      <c r="A924" t="s">
        <v>4547</v>
      </c>
      <c r="B924" t="s">
        <v>4548</v>
      </c>
      <c r="C924" t="s">
        <v>4549</v>
      </c>
      <c r="D924">
        <v>2025</v>
      </c>
      <c r="E924" t="s">
        <v>45</v>
      </c>
      <c r="F924" t="s">
        <v>2020</v>
      </c>
      <c r="G924">
        <v>1</v>
      </c>
      <c r="J924" t="s">
        <v>4846</v>
      </c>
      <c r="K924" t="s">
        <v>4847</v>
      </c>
      <c r="L924" t="s">
        <v>4848</v>
      </c>
      <c r="M924" t="s">
        <v>4849</v>
      </c>
      <c r="N924" t="s">
        <v>4554</v>
      </c>
      <c r="O924" t="s">
        <v>4555</v>
      </c>
      <c r="P924" t="s">
        <v>223</v>
      </c>
      <c r="Q924" t="s">
        <v>4556</v>
      </c>
      <c r="S924">
        <v>26</v>
      </c>
      <c r="T924" t="s">
        <v>4850</v>
      </c>
      <c r="U924">
        <v>38</v>
      </c>
      <c r="V924">
        <v>3524</v>
      </c>
      <c r="W924">
        <v>1.0800000000000001E-2</v>
      </c>
      <c r="X924" t="s">
        <v>56</v>
      </c>
      <c r="Y924" t="s">
        <v>4558</v>
      </c>
      <c r="Z924">
        <v>504.8</v>
      </c>
      <c r="AA924">
        <v>131.05000000000001</v>
      </c>
      <c r="AB924">
        <v>66155</v>
      </c>
      <c r="AC924" t="b">
        <v>0</v>
      </c>
      <c r="AD924" t="b">
        <v>0</v>
      </c>
      <c r="AE924" t="b">
        <v>0</v>
      </c>
      <c r="AF924" t="b">
        <v>0</v>
      </c>
      <c r="AG924" t="s">
        <v>58</v>
      </c>
      <c r="AH924">
        <v>-15</v>
      </c>
      <c r="AI924" t="s">
        <v>59</v>
      </c>
      <c r="AJ924" t="s">
        <v>60</v>
      </c>
      <c r="AK924" t="s">
        <v>433</v>
      </c>
      <c r="AL924" t="s">
        <v>434</v>
      </c>
      <c r="AM924" t="s">
        <v>245</v>
      </c>
      <c r="AN924" t="s">
        <v>63</v>
      </c>
      <c r="AO924" t="s">
        <v>4561</v>
      </c>
      <c r="AP924" t="s">
        <v>4847</v>
      </c>
    </row>
    <row r="925" spans="1:42" x14ac:dyDescent="0.45">
      <c r="A925" t="s">
        <v>4547</v>
      </c>
      <c r="B925" t="s">
        <v>4548</v>
      </c>
      <c r="C925" t="s">
        <v>4549</v>
      </c>
      <c r="D925">
        <v>2025</v>
      </c>
      <c r="E925" t="s">
        <v>45</v>
      </c>
      <c r="F925" t="s">
        <v>2020</v>
      </c>
      <c r="G925">
        <v>1</v>
      </c>
      <c r="J925" t="s">
        <v>4851</v>
      </c>
      <c r="K925" t="s">
        <v>4852</v>
      </c>
      <c r="L925" t="s">
        <v>4853</v>
      </c>
      <c r="M925" t="s">
        <v>4854</v>
      </c>
      <c r="N925" t="s">
        <v>4554</v>
      </c>
      <c r="O925" t="s">
        <v>4555</v>
      </c>
      <c r="P925" t="s">
        <v>223</v>
      </c>
      <c r="Q925" t="s">
        <v>4556</v>
      </c>
      <c r="S925">
        <v>31</v>
      </c>
      <c r="T925" t="s">
        <v>4855</v>
      </c>
      <c r="U925">
        <v>67</v>
      </c>
      <c r="V925">
        <v>3524</v>
      </c>
      <c r="W925">
        <v>1.9E-2</v>
      </c>
      <c r="X925" t="s">
        <v>56</v>
      </c>
      <c r="Y925" t="s">
        <v>4558</v>
      </c>
      <c r="Z925">
        <v>501.96</v>
      </c>
      <c r="AA925">
        <v>1.22</v>
      </c>
      <c r="AB925">
        <v>611</v>
      </c>
      <c r="AC925" t="b">
        <v>0</v>
      </c>
      <c r="AD925" t="b">
        <v>0</v>
      </c>
      <c r="AE925" t="b">
        <v>0</v>
      </c>
      <c r="AF925" t="b">
        <v>0</v>
      </c>
      <c r="AG925" t="s">
        <v>58</v>
      </c>
      <c r="AH925">
        <v>-15</v>
      </c>
      <c r="AI925" t="s">
        <v>59</v>
      </c>
      <c r="AJ925" t="s">
        <v>60</v>
      </c>
      <c r="AK925" t="s">
        <v>4559</v>
      </c>
      <c r="AL925" t="s">
        <v>4560</v>
      </c>
      <c r="AM925" t="s">
        <v>245</v>
      </c>
      <c r="AN925" t="s">
        <v>63</v>
      </c>
      <c r="AO925" t="s">
        <v>4561</v>
      </c>
      <c r="AP925" t="s">
        <v>4852</v>
      </c>
    </row>
    <row r="926" spans="1:42" x14ac:dyDescent="0.45">
      <c r="A926" t="s">
        <v>4547</v>
      </c>
      <c r="B926" t="s">
        <v>4548</v>
      </c>
      <c r="C926" t="s">
        <v>4549</v>
      </c>
      <c r="D926">
        <v>2025</v>
      </c>
      <c r="E926" t="s">
        <v>45</v>
      </c>
      <c r="F926" t="s">
        <v>2020</v>
      </c>
      <c r="G926">
        <v>3</v>
      </c>
      <c r="J926" t="s">
        <v>4856</v>
      </c>
      <c r="K926" t="s">
        <v>4857</v>
      </c>
      <c r="L926" t="s">
        <v>4858</v>
      </c>
      <c r="M926" t="s">
        <v>4859</v>
      </c>
      <c r="N926" t="s">
        <v>4554</v>
      </c>
      <c r="O926" t="s">
        <v>4555</v>
      </c>
      <c r="P926" t="s">
        <v>223</v>
      </c>
      <c r="Q926" t="s">
        <v>4556</v>
      </c>
      <c r="S926">
        <v>23</v>
      </c>
      <c r="T926" t="s">
        <v>4860</v>
      </c>
      <c r="U926">
        <v>81</v>
      </c>
      <c r="V926">
        <v>3524</v>
      </c>
      <c r="W926">
        <v>2.3E-2</v>
      </c>
      <c r="X926" t="s">
        <v>56</v>
      </c>
      <c r="Y926" t="s">
        <v>4558</v>
      </c>
      <c r="Z926">
        <v>487.97</v>
      </c>
      <c r="AA926">
        <v>440.13</v>
      </c>
      <c r="AB926">
        <v>214770</v>
      </c>
      <c r="AC926" t="b">
        <v>0</v>
      </c>
      <c r="AD926" t="b">
        <v>0</v>
      </c>
      <c r="AE926" t="b">
        <v>0</v>
      </c>
      <c r="AF926" t="b">
        <v>0</v>
      </c>
      <c r="AG926" t="s">
        <v>58</v>
      </c>
      <c r="AH926">
        <v>-15</v>
      </c>
      <c r="AI926" t="s">
        <v>59</v>
      </c>
      <c r="AJ926" t="s">
        <v>60</v>
      </c>
      <c r="AK926" t="s">
        <v>162</v>
      </c>
      <c r="AL926" t="s">
        <v>163</v>
      </c>
      <c r="AM926" t="s">
        <v>245</v>
      </c>
      <c r="AN926" t="s">
        <v>63</v>
      </c>
      <c r="AO926" t="s">
        <v>4561</v>
      </c>
      <c r="AP926" t="s">
        <v>4857</v>
      </c>
    </row>
    <row r="927" spans="1:42" x14ac:dyDescent="0.45">
      <c r="A927" t="s">
        <v>4547</v>
      </c>
      <c r="B927" t="s">
        <v>4548</v>
      </c>
      <c r="C927" t="s">
        <v>4549</v>
      </c>
      <c r="D927">
        <v>2025</v>
      </c>
      <c r="E927" t="s">
        <v>45</v>
      </c>
      <c r="F927" t="s">
        <v>2020</v>
      </c>
      <c r="G927">
        <v>1</v>
      </c>
      <c r="J927" t="s">
        <v>4861</v>
      </c>
      <c r="K927" t="s">
        <v>4862</v>
      </c>
      <c r="L927" t="s">
        <v>4863</v>
      </c>
      <c r="M927" t="s">
        <v>4864</v>
      </c>
      <c r="N927" t="s">
        <v>4554</v>
      </c>
      <c r="O927" t="s">
        <v>4555</v>
      </c>
      <c r="P927" t="s">
        <v>223</v>
      </c>
      <c r="Q927" t="s">
        <v>4556</v>
      </c>
      <c r="S927">
        <v>27</v>
      </c>
      <c r="T927" t="s">
        <v>4865</v>
      </c>
      <c r="U927">
        <v>59</v>
      </c>
      <c r="V927">
        <v>3524</v>
      </c>
      <c r="W927">
        <v>1.67E-2</v>
      </c>
      <c r="X927" t="s">
        <v>56</v>
      </c>
      <c r="Y927" t="s">
        <v>4558</v>
      </c>
      <c r="Z927">
        <v>501.8</v>
      </c>
      <c r="AA927">
        <v>2.56</v>
      </c>
      <c r="AB927">
        <v>1284</v>
      </c>
      <c r="AC927" t="b">
        <v>0</v>
      </c>
      <c r="AD927" t="b">
        <v>0</v>
      </c>
      <c r="AE927" t="b">
        <v>0</v>
      </c>
      <c r="AF927" t="b">
        <v>0</v>
      </c>
      <c r="AG927" t="s">
        <v>58</v>
      </c>
      <c r="AH927">
        <v>-15</v>
      </c>
      <c r="AI927" t="s">
        <v>59</v>
      </c>
      <c r="AJ927" t="s">
        <v>60</v>
      </c>
      <c r="AK927" t="s">
        <v>4559</v>
      </c>
      <c r="AL927" t="s">
        <v>4560</v>
      </c>
      <c r="AM927" t="s">
        <v>245</v>
      </c>
      <c r="AN927" t="s">
        <v>63</v>
      </c>
      <c r="AO927" t="s">
        <v>4561</v>
      </c>
      <c r="AP927" t="s">
        <v>4862</v>
      </c>
    </row>
    <row r="928" spans="1:42" x14ac:dyDescent="0.45">
      <c r="A928" t="s">
        <v>4547</v>
      </c>
      <c r="B928" t="s">
        <v>4548</v>
      </c>
      <c r="C928" t="s">
        <v>4549</v>
      </c>
      <c r="D928">
        <v>2025</v>
      </c>
      <c r="E928" t="s">
        <v>45</v>
      </c>
      <c r="F928" t="s">
        <v>2020</v>
      </c>
      <c r="J928" t="s">
        <v>4866</v>
      </c>
      <c r="K928" t="s">
        <v>4867</v>
      </c>
      <c r="L928" t="s">
        <v>4868</v>
      </c>
      <c r="M928" t="s">
        <v>4869</v>
      </c>
      <c r="N928" t="s">
        <v>4554</v>
      </c>
      <c r="O928" t="s">
        <v>4555</v>
      </c>
      <c r="P928" t="s">
        <v>223</v>
      </c>
      <c r="Q928" t="s">
        <v>4556</v>
      </c>
      <c r="S928">
        <v>37</v>
      </c>
      <c r="T928" t="s">
        <v>4870</v>
      </c>
      <c r="U928">
        <v>181</v>
      </c>
      <c r="V928">
        <v>3524</v>
      </c>
      <c r="W928">
        <v>5.1400000000000001E-2</v>
      </c>
      <c r="X928" t="s">
        <v>56</v>
      </c>
      <c r="Y928" t="s">
        <v>4558</v>
      </c>
      <c r="Z928">
        <v>529.17999999999995</v>
      </c>
      <c r="AA928">
        <v>0.43</v>
      </c>
      <c r="AB928">
        <v>229</v>
      </c>
      <c r="AC928" t="b">
        <v>0</v>
      </c>
      <c r="AD928" t="b">
        <v>0</v>
      </c>
      <c r="AE928" t="b">
        <v>0</v>
      </c>
      <c r="AF928" t="b">
        <v>0</v>
      </c>
      <c r="AG928" t="s">
        <v>58</v>
      </c>
      <c r="AH928">
        <v>8</v>
      </c>
      <c r="AI928" t="s">
        <v>169</v>
      </c>
      <c r="AJ928" t="s">
        <v>60</v>
      </c>
      <c r="AL928" t="s">
        <v>380</v>
      </c>
      <c r="AM928" t="s">
        <v>245</v>
      </c>
      <c r="AN928" t="s">
        <v>63</v>
      </c>
      <c r="AO928" t="s">
        <v>4561</v>
      </c>
      <c r="AP928" t="s">
        <v>4867</v>
      </c>
    </row>
    <row r="929" spans="1:42" x14ac:dyDescent="0.45">
      <c r="A929" t="s">
        <v>4547</v>
      </c>
      <c r="B929" t="s">
        <v>4548</v>
      </c>
      <c r="C929" t="s">
        <v>4549</v>
      </c>
      <c r="D929">
        <v>2025</v>
      </c>
      <c r="E929" t="s">
        <v>45</v>
      </c>
      <c r="F929" t="s">
        <v>2020</v>
      </c>
      <c r="J929" t="s">
        <v>4871</v>
      </c>
      <c r="K929" t="s">
        <v>4872</v>
      </c>
      <c r="L929" t="s">
        <v>4873</v>
      </c>
      <c r="M929" t="s">
        <v>4874</v>
      </c>
      <c r="N929" t="s">
        <v>4554</v>
      </c>
      <c r="O929" t="s">
        <v>4555</v>
      </c>
      <c r="P929" t="s">
        <v>223</v>
      </c>
      <c r="Q929" t="s">
        <v>4556</v>
      </c>
      <c r="S929">
        <v>17</v>
      </c>
      <c r="T929" t="s">
        <v>4875</v>
      </c>
      <c r="U929">
        <v>49</v>
      </c>
      <c r="V929">
        <v>3524</v>
      </c>
      <c r="W929">
        <v>1.3899999999999999E-2</v>
      </c>
      <c r="X929" t="s">
        <v>56</v>
      </c>
      <c r="Y929" t="s">
        <v>4558</v>
      </c>
      <c r="Z929">
        <v>504.82</v>
      </c>
      <c r="AA929">
        <v>86.83</v>
      </c>
      <c r="AB929">
        <v>43833</v>
      </c>
      <c r="AC929" t="b">
        <v>0</v>
      </c>
      <c r="AD929" t="b">
        <v>0</v>
      </c>
      <c r="AE929" t="b">
        <v>0</v>
      </c>
      <c r="AF929" t="b">
        <v>0</v>
      </c>
      <c r="AG929" t="s">
        <v>58</v>
      </c>
      <c r="AH929">
        <v>8</v>
      </c>
      <c r="AI929" t="s">
        <v>169</v>
      </c>
      <c r="AJ929" t="s">
        <v>60</v>
      </c>
      <c r="AL929" t="s">
        <v>380</v>
      </c>
      <c r="AM929" t="s">
        <v>245</v>
      </c>
      <c r="AN929" t="s">
        <v>63</v>
      </c>
      <c r="AO929" t="s">
        <v>4561</v>
      </c>
      <c r="AP929" t="s">
        <v>4872</v>
      </c>
    </row>
    <row r="930" spans="1:42" x14ac:dyDescent="0.45">
      <c r="A930" t="s">
        <v>4547</v>
      </c>
      <c r="B930" t="s">
        <v>4548</v>
      </c>
      <c r="C930" t="s">
        <v>4549</v>
      </c>
      <c r="D930">
        <v>2025</v>
      </c>
      <c r="E930" t="s">
        <v>45</v>
      </c>
      <c r="F930" t="s">
        <v>2020</v>
      </c>
      <c r="J930" t="s">
        <v>4876</v>
      </c>
      <c r="K930" t="s">
        <v>4877</v>
      </c>
      <c r="L930" t="s">
        <v>4878</v>
      </c>
      <c r="M930" t="s">
        <v>4879</v>
      </c>
      <c r="N930" t="s">
        <v>4554</v>
      </c>
      <c r="O930" t="s">
        <v>4555</v>
      </c>
      <c r="P930" t="s">
        <v>223</v>
      </c>
      <c r="Q930" t="s">
        <v>4556</v>
      </c>
      <c r="S930">
        <v>43</v>
      </c>
      <c r="T930" t="s">
        <v>4880</v>
      </c>
      <c r="U930">
        <v>144</v>
      </c>
      <c r="V930">
        <v>3524</v>
      </c>
      <c r="W930">
        <v>4.0899999999999999E-2</v>
      </c>
      <c r="X930" t="s">
        <v>56</v>
      </c>
      <c r="Y930" t="s">
        <v>4558</v>
      </c>
      <c r="Z930">
        <v>532.14</v>
      </c>
      <c r="AA930">
        <v>0.51</v>
      </c>
      <c r="AB930">
        <v>272</v>
      </c>
      <c r="AC930" t="b">
        <v>0</v>
      </c>
      <c r="AD930" t="b">
        <v>0</v>
      </c>
      <c r="AE930" t="b">
        <v>0</v>
      </c>
      <c r="AF930" t="b">
        <v>0</v>
      </c>
      <c r="AG930" t="s">
        <v>58</v>
      </c>
      <c r="AH930">
        <v>8</v>
      </c>
      <c r="AI930" t="s">
        <v>169</v>
      </c>
      <c r="AJ930" t="s">
        <v>60</v>
      </c>
      <c r="AL930" t="s">
        <v>380</v>
      </c>
      <c r="AM930" t="s">
        <v>245</v>
      </c>
      <c r="AN930" t="s">
        <v>63</v>
      </c>
      <c r="AO930" t="s">
        <v>4561</v>
      </c>
      <c r="AP930" t="s">
        <v>4877</v>
      </c>
    </row>
    <row r="931" spans="1:42" x14ac:dyDescent="0.45">
      <c r="A931" t="s">
        <v>4547</v>
      </c>
      <c r="B931" t="s">
        <v>4548</v>
      </c>
      <c r="C931" t="s">
        <v>4549</v>
      </c>
      <c r="D931">
        <v>2025</v>
      </c>
      <c r="E931" t="s">
        <v>45</v>
      </c>
      <c r="F931" t="s">
        <v>2020</v>
      </c>
      <c r="J931" t="s">
        <v>4881</v>
      </c>
      <c r="K931" t="s">
        <v>4882</v>
      </c>
      <c r="L931" t="s">
        <v>4883</v>
      </c>
      <c r="M931" t="s">
        <v>4884</v>
      </c>
      <c r="N931" t="s">
        <v>4554</v>
      </c>
      <c r="O931" t="s">
        <v>4555</v>
      </c>
      <c r="P931" t="s">
        <v>223</v>
      </c>
      <c r="Q931" t="s">
        <v>4556</v>
      </c>
      <c r="S931">
        <v>38</v>
      </c>
      <c r="T931" t="s">
        <v>4885</v>
      </c>
      <c r="U931">
        <v>223</v>
      </c>
      <c r="V931">
        <v>3524</v>
      </c>
      <c r="W931">
        <v>6.3299999999999995E-2</v>
      </c>
      <c r="X931" t="s">
        <v>56</v>
      </c>
      <c r="Y931" t="s">
        <v>4558</v>
      </c>
      <c r="Z931">
        <v>529.17999999999995</v>
      </c>
      <c r="AA931">
        <v>0.43</v>
      </c>
      <c r="AB931">
        <v>228</v>
      </c>
      <c r="AC931" t="b">
        <v>0</v>
      </c>
      <c r="AD931" t="b">
        <v>0</v>
      </c>
      <c r="AE931" t="b">
        <v>0</v>
      </c>
      <c r="AF931" t="b">
        <v>0</v>
      </c>
      <c r="AG931" t="s">
        <v>58</v>
      </c>
      <c r="AH931">
        <v>8</v>
      </c>
      <c r="AI931" t="s">
        <v>169</v>
      </c>
      <c r="AJ931" t="s">
        <v>60</v>
      </c>
      <c r="AL931" t="s">
        <v>380</v>
      </c>
      <c r="AM931" t="s">
        <v>245</v>
      </c>
      <c r="AN931" t="s">
        <v>63</v>
      </c>
      <c r="AO931" t="s">
        <v>4561</v>
      </c>
      <c r="AP931" t="s">
        <v>4882</v>
      </c>
    </row>
    <row r="932" spans="1:42" x14ac:dyDescent="0.45">
      <c r="A932" t="s">
        <v>4547</v>
      </c>
      <c r="B932" t="s">
        <v>4548</v>
      </c>
      <c r="C932" t="s">
        <v>4549</v>
      </c>
      <c r="D932">
        <v>2025</v>
      </c>
      <c r="E932" t="s">
        <v>45</v>
      </c>
      <c r="F932" t="s">
        <v>2020</v>
      </c>
      <c r="G932">
        <v>1</v>
      </c>
      <c r="J932" t="s">
        <v>4886</v>
      </c>
      <c r="K932" t="s">
        <v>4887</v>
      </c>
      <c r="L932" t="s">
        <v>4888</v>
      </c>
      <c r="M932" t="s">
        <v>4889</v>
      </c>
      <c r="N932" t="s">
        <v>4554</v>
      </c>
      <c r="O932" t="s">
        <v>4555</v>
      </c>
      <c r="P932" t="s">
        <v>223</v>
      </c>
      <c r="Q932" t="s">
        <v>4556</v>
      </c>
      <c r="S932">
        <v>45</v>
      </c>
      <c r="T932" t="s">
        <v>4890</v>
      </c>
      <c r="U932">
        <v>71</v>
      </c>
      <c r="V932">
        <v>3524</v>
      </c>
      <c r="W932">
        <v>2.01E-2</v>
      </c>
      <c r="X932" t="s">
        <v>56</v>
      </c>
      <c r="Y932" t="s">
        <v>4558</v>
      </c>
      <c r="Z932">
        <v>501.71</v>
      </c>
      <c r="AA932">
        <v>0.52</v>
      </c>
      <c r="AB932">
        <v>259</v>
      </c>
      <c r="AC932" t="b">
        <v>0</v>
      </c>
      <c r="AD932" t="b">
        <v>0</v>
      </c>
      <c r="AE932" t="b">
        <v>0</v>
      </c>
      <c r="AF932" t="b">
        <v>0</v>
      </c>
      <c r="AG932" t="s">
        <v>58</v>
      </c>
      <c r="AH932">
        <v>-15</v>
      </c>
      <c r="AI932" t="s">
        <v>59</v>
      </c>
      <c r="AJ932" t="s">
        <v>60</v>
      </c>
      <c r="AK932" t="s">
        <v>4559</v>
      </c>
      <c r="AL932" t="s">
        <v>4560</v>
      </c>
      <c r="AM932" t="s">
        <v>245</v>
      </c>
      <c r="AN932" t="s">
        <v>63</v>
      </c>
      <c r="AO932" t="s">
        <v>4561</v>
      </c>
      <c r="AP932" t="s">
        <v>4887</v>
      </c>
    </row>
    <row r="933" spans="1:42" x14ac:dyDescent="0.45">
      <c r="A933" t="s">
        <v>4547</v>
      </c>
      <c r="B933" t="s">
        <v>4548</v>
      </c>
      <c r="C933" t="s">
        <v>4549</v>
      </c>
      <c r="D933">
        <v>2025</v>
      </c>
      <c r="E933" t="s">
        <v>45</v>
      </c>
      <c r="F933" t="s">
        <v>2020</v>
      </c>
      <c r="J933" t="s">
        <v>4891</v>
      </c>
      <c r="K933" t="s">
        <v>4892</v>
      </c>
      <c r="L933" t="s">
        <v>4893</v>
      </c>
      <c r="M933" t="s">
        <v>4894</v>
      </c>
      <c r="N933" t="s">
        <v>4554</v>
      </c>
      <c r="O933" t="s">
        <v>4555</v>
      </c>
      <c r="P933" t="s">
        <v>223</v>
      </c>
      <c r="Q933" t="s">
        <v>4556</v>
      </c>
      <c r="S933">
        <v>34</v>
      </c>
      <c r="T933" t="s">
        <v>4895</v>
      </c>
      <c r="U933">
        <v>146</v>
      </c>
      <c r="V933">
        <v>3524</v>
      </c>
      <c r="W933">
        <v>4.1399999999999999E-2</v>
      </c>
      <c r="X933" t="s">
        <v>56</v>
      </c>
      <c r="Y933" t="s">
        <v>4558</v>
      </c>
      <c r="Z933">
        <v>525.94000000000005</v>
      </c>
      <c r="AA933">
        <v>0.94</v>
      </c>
      <c r="AB933">
        <v>492</v>
      </c>
      <c r="AC933" t="b">
        <v>0</v>
      </c>
      <c r="AD933" t="b">
        <v>0</v>
      </c>
      <c r="AE933" t="b">
        <v>0</v>
      </c>
      <c r="AF933" t="b">
        <v>0</v>
      </c>
      <c r="AG933" t="s">
        <v>58</v>
      </c>
      <c r="AH933">
        <v>8</v>
      </c>
      <c r="AI933" t="s">
        <v>169</v>
      </c>
      <c r="AJ933" t="s">
        <v>60</v>
      </c>
      <c r="AL933" t="s">
        <v>380</v>
      </c>
      <c r="AM933" t="s">
        <v>245</v>
      </c>
      <c r="AN933" t="s">
        <v>63</v>
      </c>
      <c r="AO933" t="s">
        <v>4561</v>
      </c>
      <c r="AP933" t="s">
        <v>4892</v>
      </c>
    </row>
    <row r="934" spans="1:42" x14ac:dyDescent="0.45">
      <c r="A934" t="s">
        <v>4547</v>
      </c>
      <c r="B934" t="s">
        <v>4548</v>
      </c>
      <c r="C934" t="s">
        <v>4549</v>
      </c>
      <c r="D934">
        <v>2025</v>
      </c>
      <c r="E934" t="s">
        <v>45</v>
      </c>
      <c r="F934" t="s">
        <v>2020</v>
      </c>
      <c r="G934">
        <v>2</v>
      </c>
      <c r="J934" t="s">
        <v>4896</v>
      </c>
      <c r="K934" t="s">
        <v>4897</v>
      </c>
      <c r="L934" t="s">
        <v>4898</v>
      </c>
      <c r="M934" t="s">
        <v>4899</v>
      </c>
      <c r="N934" t="s">
        <v>4554</v>
      </c>
      <c r="O934" t="s">
        <v>4555</v>
      </c>
      <c r="P934" t="s">
        <v>223</v>
      </c>
      <c r="Q934" t="s">
        <v>4556</v>
      </c>
      <c r="S934">
        <v>51</v>
      </c>
      <c r="T934" t="s">
        <v>4900</v>
      </c>
      <c r="U934">
        <v>68</v>
      </c>
      <c r="V934">
        <v>3524</v>
      </c>
      <c r="W934">
        <v>1.9300000000000001E-2</v>
      </c>
      <c r="X934" t="s">
        <v>56</v>
      </c>
      <c r="Y934" t="s">
        <v>4558</v>
      </c>
      <c r="Z934">
        <v>490.04</v>
      </c>
      <c r="AA934">
        <v>0.52</v>
      </c>
      <c r="AB934">
        <v>257</v>
      </c>
      <c r="AC934" t="b">
        <v>0</v>
      </c>
      <c r="AD934" t="b">
        <v>0</v>
      </c>
      <c r="AE934" t="b">
        <v>0</v>
      </c>
      <c r="AF934" t="b">
        <v>0</v>
      </c>
      <c r="AG934" t="s">
        <v>58</v>
      </c>
      <c r="AH934">
        <v>-15</v>
      </c>
      <c r="AI934" t="s">
        <v>59</v>
      </c>
      <c r="AJ934" t="s">
        <v>60</v>
      </c>
      <c r="AK934" t="s">
        <v>4559</v>
      </c>
      <c r="AL934" t="s">
        <v>4560</v>
      </c>
      <c r="AM934" t="s">
        <v>245</v>
      </c>
      <c r="AN934" t="s">
        <v>63</v>
      </c>
      <c r="AO934" t="s">
        <v>4561</v>
      </c>
      <c r="AP934" t="s">
        <v>4897</v>
      </c>
    </row>
    <row r="935" spans="1:42" x14ac:dyDescent="0.45">
      <c r="A935" t="s">
        <v>4547</v>
      </c>
      <c r="B935" t="s">
        <v>4548</v>
      </c>
      <c r="C935" t="s">
        <v>4549</v>
      </c>
      <c r="D935">
        <v>2025</v>
      </c>
      <c r="E935" t="s">
        <v>45</v>
      </c>
      <c r="F935" t="s">
        <v>2020</v>
      </c>
      <c r="G935">
        <v>1</v>
      </c>
      <c r="J935" t="s">
        <v>4901</v>
      </c>
      <c r="K935" t="s">
        <v>4902</v>
      </c>
      <c r="L935" t="s">
        <v>4903</v>
      </c>
      <c r="M935" t="s">
        <v>4904</v>
      </c>
      <c r="N935" t="s">
        <v>4554</v>
      </c>
      <c r="O935" t="s">
        <v>4555</v>
      </c>
      <c r="P935" t="s">
        <v>223</v>
      </c>
      <c r="Q935" t="s">
        <v>4556</v>
      </c>
      <c r="S935">
        <v>50</v>
      </c>
      <c r="T935" t="s">
        <v>4905</v>
      </c>
      <c r="U935">
        <v>101</v>
      </c>
      <c r="V935">
        <v>3524</v>
      </c>
      <c r="W935">
        <v>2.87E-2</v>
      </c>
      <c r="X935" t="s">
        <v>56</v>
      </c>
      <c r="Y935" t="s">
        <v>4558</v>
      </c>
      <c r="Z935">
        <v>496.87</v>
      </c>
      <c r="AA935">
        <v>1.62</v>
      </c>
      <c r="AB935">
        <v>806</v>
      </c>
      <c r="AC935" t="b">
        <v>0</v>
      </c>
      <c r="AD935" t="b">
        <v>0</v>
      </c>
      <c r="AE935" t="b">
        <v>0</v>
      </c>
      <c r="AF935" t="b">
        <v>0</v>
      </c>
      <c r="AG935" t="s">
        <v>58</v>
      </c>
      <c r="AH935">
        <v>-15</v>
      </c>
      <c r="AI935" t="s">
        <v>59</v>
      </c>
      <c r="AJ935" t="s">
        <v>60</v>
      </c>
      <c r="AK935" t="s">
        <v>4559</v>
      </c>
      <c r="AL935" t="s">
        <v>4560</v>
      </c>
      <c r="AM935" t="s">
        <v>245</v>
      </c>
      <c r="AN935" t="s">
        <v>63</v>
      </c>
      <c r="AO935" t="s">
        <v>4561</v>
      </c>
      <c r="AP935" t="s">
        <v>4902</v>
      </c>
    </row>
    <row r="936" spans="1:42" x14ac:dyDescent="0.45">
      <c r="A936" t="s">
        <v>4547</v>
      </c>
      <c r="B936" t="s">
        <v>4548</v>
      </c>
      <c r="C936" t="s">
        <v>4549</v>
      </c>
      <c r="D936">
        <v>2025</v>
      </c>
      <c r="E936" t="s">
        <v>45</v>
      </c>
      <c r="F936" t="s">
        <v>2020</v>
      </c>
      <c r="G936">
        <v>3</v>
      </c>
      <c r="J936" t="s">
        <v>4906</v>
      </c>
      <c r="K936" t="s">
        <v>4907</v>
      </c>
      <c r="L936" t="s">
        <v>4908</v>
      </c>
      <c r="M936" t="s">
        <v>4909</v>
      </c>
      <c r="N936" t="s">
        <v>4554</v>
      </c>
      <c r="O936" t="s">
        <v>4555</v>
      </c>
      <c r="P936" t="s">
        <v>223</v>
      </c>
      <c r="Q936" t="s">
        <v>4556</v>
      </c>
      <c r="S936">
        <v>68</v>
      </c>
      <c r="T936" t="s">
        <v>4910</v>
      </c>
      <c r="U936">
        <v>63</v>
      </c>
      <c r="V936">
        <v>3524</v>
      </c>
      <c r="W936">
        <v>1.7899999999999999E-2</v>
      </c>
      <c r="X936" t="s">
        <v>56</v>
      </c>
      <c r="Y936" t="s">
        <v>4558</v>
      </c>
      <c r="Z936">
        <v>484.77</v>
      </c>
      <c r="AA936">
        <v>2.67</v>
      </c>
      <c r="AB936">
        <v>1295</v>
      </c>
      <c r="AC936" t="b">
        <v>1</v>
      </c>
      <c r="AD936" t="b">
        <v>0</v>
      </c>
      <c r="AE936" t="b">
        <v>0</v>
      </c>
      <c r="AF936" t="b">
        <v>0</v>
      </c>
      <c r="AG936" t="s">
        <v>58</v>
      </c>
      <c r="AH936">
        <v>12</v>
      </c>
      <c r="AI936" t="s">
        <v>59</v>
      </c>
      <c r="AJ936" t="s">
        <v>60</v>
      </c>
      <c r="AK936" t="s">
        <v>252</v>
      </c>
      <c r="AL936" t="s">
        <v>415</v>
      </c>
      <c r="AM936" t="s">
        <v>245</v>
      </c>
      <c r="AN936" t="s">
        <v>63</v>
      </c>
      <c r="AO936" t="s">
        <v>4561</v>
      </c>
      <c r="AP936" t="s">
        <v>4907</v>
      </c>
    </row>
    <row r="937" spans="1:42" x14ac:dyDescent="0.45">
      <c r="A937" t="s">
        <v>4547</v>
      </c>
      <c r="B937" t="s">
        <v>4548</v>
      </c>
      <c r="C937" t="s">
        <v>4549</v>
      </c>
      <c r="D937">
        <v>2025</v>
      </c>
      <c r="E937" t="s">
        <v>45</v>
      </c>
      <c r="F937" t="s">
        <v>2020</v>
      </c>
      <c r="G937">
        <v>7</v>
      </c>
      <c r="J937" t="s">
        <v>4911</v>
      </c>
      <c r="K937" t="s">
        <v>4912</v>
      </c>
      <c r="L937" t="s">
        <v>4913</v>
      </c>
      <c r="M937" t="s">
        <v>4914</v>
      </c>
      <c r="N937" t="s">
        <v>4554</v>
      </c>
      <c r="O937" t="s">
        <v>4555</v>
      </c>
      <c r="P937" t="s">
        <v>223</v>
      </c>
      <c r="Q937" t="s">
        <v>4556</v>
      </c>
      <c r="S937">
        <v>6</v>
      </c>
      <c r="T937" t="s">
        <v>4915</v>
      </c>
      <c r="U937">
        <v>3294</v>
      </c>
      <c r="V937">
        <v>3524</v>
      </c>
      <c r="W937">
        <v>0.93469999999999998</v>
      </c>
      <c r="X937" t="s">
        <v>70</v>
      </c>
      <c r="Y937" t="s">
        <v>4558</v>
      </c>
      <c r="Z937">
        <v>458.75</v>
      </c>
      <c r="AA937">
        <v>882.05</v>
      </c>
      <c r="AB937">
        <v>404646</v>
      </c>
      <c r="AC937" t="b">
        <v>1</v>
      </c>
      <c r="AD937" t="b">
        <v>1</v>
      </c>
      <c r="AE937" t="b">
        <v>0</v>
      </c>
      <c r="AF937" t="b">
        <v>0</v>
      </c>
      <c r="AG937" t="s">
        <v>58</v>
      </c>
      <c r="AH937">
        <v>14</v>
      </c>
      <c r="AI937" t="s">
        <v>59</v>
      </c>
      <c r="AJ937" t="s">
        <v>71</v>
      </c>
      <c r="AL937" t="s">
        <v>244</v>
      </c>
      <c r="AM937" t="s">
        <v>245</v>
      </c>
      <c r="AN937" t="s">
        <v>63</v>
      </c>
      <c r="AO937" t="s">
        <v>4561</v>
      </c>
      <c r="AP937" t="s">
        <v>4912</v>
      </c>
    </row>
    <row r="938" spans="1:42" x14ac:dyDescent="0.45">
      <c r="A938" t="s">
        <v>4547</v>
      </c>
      <c r="B938" t="s">
        <v>4548</v>
      </c>
      <c r="C938" t="s">
        <v>4549</v>
      </c>
      <c r="D938">
        <v>2025</v>
      </c>
      <c r="E938" t="s">
        <v>45</v>
      </c>
      <c r="F938" t="s">
        <v>2020</v>
      </c>
      <c r="G938">
        <v>6</v>
      </c>
      <c r="J938" t="s">
        <v>4916</v>
      </c>
      <c r="K938" t="s">
        <v>4917</v>
      </c>
      <c r="L938" t="s">
        <v>4918</v>
      </c>
      <c r="M938" t="s">
        <v>4919</v>
      </c>
      <c r="N938" t="s">
        <v>4554</v>
      </c>
      <c r="O938" t="s">
        <v>4555</v>
      </c>
      <c r="P938" t="s">
        <v>223</v>
      </c>
      <c r="Q938" t="s">
        <v>4556</v>
      </c>
      <c r="S938">
        <v>5</v>
      </c>
      <c r="T938" t="s">
        <v>4920</v>
      </c>
      <c r="U938">
        <v>3907</v>
      </c>
      <c r="V938">
        <v>3524</v>
      </c>
      <c r="W938">
        <v>1.1087</v>
      </c>
      <c r="X938" t="s">
        <v>70</v>
      </c>
      <c r="Y938" t="s">
        <v>4558</v>
      </c>
      <c r="Z938">
        <v>465.75</v>
      </c>
      <c r="AA938">
        <v>93.13</v>
      </c>
      <c r="AB938">
        <v>43377</v>
      </c>
      <c r="AC938" t="b">
        <v>1</v>
      </c>
      <c r="AD938" t="b">
        <v>1</v>
      </c>
      <c r="AE938" t="b">
        <v>0</v>
      </c>
      <c r="AF938" t="b">
        <v>0</v>
      </c>
      <c r="AG938" t="s">
        <v>58</v>
      </c>
      <c r="AH938">
        <v>14</v>
      </c>
      <c r="AI938" t="s">
        <v>59</v>
      </c>
      <c r="AJ938" t="s">
        <v>71</v>
      </c>
      <c r="AL938" t="s">
        <v>244</v>
      </c>
      <c r="AM938" t="s">
        <v>245</v>
      </c>
      <c r="AN938" t="s">
        <v>63</v>
      </c>
      <c r="AO938" t="s">
        <v>4561</v>
      </c>
      <c r="AP938" t="s">
        <v>4917</v>
      </c>
    </row>
    <row r="939" spans="1:42" x14ac:dyDescent="0.45">
      <c r="A939" t="s">
        <v>4547</v>
      </c>
      <c r="B939" t="s">
        <v>4548</v>
      </c>
      <c r="C939" t="s">
        <v>4549</v>
      </c>
      <c r="D939">
        <v>2025</v>
      </c>
      <c r="E939" t="s">
        <v>45</v>
      </c>
      <c r="F939" t="s">
        <v>2020</v>
      </c>
      <c r="J939" t="e">
        <v>#NAME?</v>
      </c>
      <c r="K939" t="s">
        <v>4921</v>
      </c>
      <c r="L939" t="s">
        <v>4922</v>
      </c>
      <c r="M939" t="s">
        <v>4923</v>
      </c>
      <c r="N939" t="s">
        <v>4554</v>
      </c>
      <c r="O939" t="s">
        <v>4555</v>
      </c>
      <c r="P939" t="s">
        <v>223</v>
      </c>
      <c r="Q939" t="s">
        <v>4556</v>
      </c>
      <c r="S939">
        <v>41</v>
      </c>
      <c r="T939" t="s">
        <v>4924</v>
      </c>
      <c r="U939">
        <v>78</v>
      </c>
      <c r="V939">
        <v>3524</v>
      </c>
      <c r="W939">
        <v>2.2100000000000002E-2</v>
      </c>
      <c r="X939" t="s">
        <v>56</v>
      </c>
      <c r="Y939" t="s">
        <v>4558</v>
      </c>
      <c r="Z939">
        <v>532.14</v>
      </c>
      <c r="AA939">
        <v>0.8</v>
      </c>
      <c r="AB939">
        <v>427</v>
      </c>
      <c r="AC939" t="b">
        <v>0</v>
      </c>
      <c r="AD939" t="b">
        <v>0</v>
      </c>
      <c r="AE939" t="b">
        <v>0</v>
      </c>
      <c r="AF939" t="b">
        <v>0</v>
      </c>
      <c r="AG939" t="s">
        <v>58</v>
      </c>
      <c r="AH939">
        <v>8</v>
      </c>
      <c r="AI939" t="s">
        <v>169</v>
      </c>
      <c r="AJ939" t="s">
        <v>60</v>
      </c>
      <c r="AL939" t="s">
        <v>380</v>
      </c>
      <c r="AM939" t="s">
        <v>245</v>
      </c>
      <c r="AN939" t="s">
        <v>63</v>
      </c>
      <c r="AO939" t="s">
        <v>4561</v>
      </c>
      <c r="AP939" t="s">
        <v>4921</v>
      </c>
    </row>
    <row r="940" spans="1:42" x14ac:dyDescent="0.45">
      <c r="A940" t="s">
        <v>4547</v>
      </c>
      <c r="B940" t="s">
        <v>4548</v>
      </c>
      <c r="C940" t="s">
        <v>4549</v>
      </c>
      <c r="D940">
        <v>2025</v>
      </c>
      <c r="E940" t="s">
        <v>45</v>
      </c>
      <c r="F940" t="s">
        <v>2020</v>
      </c>
      <c r="G940">
        <v>8</v>
      </c>
      <c r="J940" t="s">
        <v>4925</v>
      </c>
      <c r="K940" t="s">
        <v>4926</v>
      </c>
      <c r="L940" t="s">
        <v>4927</v>
      </c>
      <c r="M940" t="s">
        <v>4928</v>
      </c>
      <c r="N940" t="s">
        <v>4554</v>
      </c>
      <c r="O940" t="s">
        <v>4555</v>
      </c>
      <c r="P940" t="s">
        <v>223</v>
      </c>
      <c r="Q940" t="s">
        <v>4556</v>
      </c>
      <c r="S940">
        <v>7</v>
      </c>
      <c r="T940" t="s">
        <v>4929</v>
      </c>
      <c r="U940">
        <v>4083</v>
      </c>
      <c r="V940">
        <v>3524</v>
      </c>
      <c r="W940">
        <v>1.1586000000000001</v>
      </c>
      <c r="X940" t="s">
        <v>70</v>
      </c>
      <c r="Y940" t="s">
        <v>4558</v>
      </c>
      <c r="Z940">
        <v>451.75</v>
      </c>
      <c r="AA940">
        <v>677</v>
      </c>
      <c r="AB940">
        <v>305838</v>
      </c>
      <c r="AC940" t="b">
        <v>1</v>
      </c>
      <c r="AD940" t="b">
        <v>1</v>
      </c>
      <c r="AE940" t="b">
        <v>0</v>
      </c>
      <c r="AF940" t="b">
        <v>0</v>
      </c>
      <c r="AG940" t="s">
        <v>58</v>
      </c>
      <c r="AH940">
        <v>14</v>
      </c>
      <c r="AI940" t="s">
        <v>59</v>
      </c>
      <c r="AJ940" t="s">
        <v>71</v>
      </c>
      <c r="AL940" t="s">
        <v>244</v>
      </c>
      <c r="AM940" t="s">
        <v>245</v>
      </c>
      <c r="AN940" t="s">
        <v>63</v>
      </c>
      <c r="AO940" t="s">
        <v>4561</v>
      </c>
      <c r="AP940" t="s">
        <v>4926</v>
      </c>
    </row>
    <row r="941" spans="1:42" x14ac:dyDescent="0.45">
      <c r="A941" t="s">
        <v>4547</v>
      </c>
      <c r="B941" t="s">
        <v>4548</v>
      </c>
      <c r="C941" t="s">
        <v>4549</v>
      </c>
      <c r="D941">
        <v>2025</v>
      </c>
      <c r="E941" t="s">
        <v>45</v>
      </c>
      <c r="F941" t="s">
        <v>2020</v>
      </c>
      <c r="G941">
        <v>10</v>
      </c>
      <c r="J941" t="s">
        <v>4930</v>
      </c>
      <c r="K941" t="s">
        <v>4931</v>
      </c>
      <c r="L941" t="s">
        <v>4932</v>
      </c>
      <c r="M941" t="s">
        <v>4933</v>
      </c>
      <c r="N941" t="s">
        <v>4554</v>
      </c>
      <c r="O941" t="s">
        <v>4555</v>
      </c>
      <c r="P941" t="s">
        <v>223</v>
      </c>
      <c r="Q941" t="s">
        <v>4556</v>
      </c>
      <c r="S941">
        <v>9</v>
      </c>
      <c r="T941" t="s">
        <v>4934</v>
      </c>
      <c r="U941">
        <v>3538</v>
      </c>
      <c r="V941">
        <v>3524</v>
      </c>
      <c r="W941">
        <v>1.004</v>
      </c>
      <c r="X941" t="s">
        <v>70</v>
      </c>
      <c r="Y941" t="s">
        <v>4558</v>
      </c>
      <c r="Z941">
        <v>430.75</v>
      </c>
      <c r="AA941">
        <v>1381.2</v>
      </c>
      <c r="AB941">
        <v>594959</v>
      </c>
      <c r="AC941" t="b">
        <v>1</v>
      </c>
      <c r="AD941" t="b">
        <v>1</v>
      </c>
      <c r="AE941" t="b">
        <v>0</v>
      </c>
      <c r="AF941" t="b">
        <v>0</v>
      </c>
      <c r="AG941" t="s">
        <v>58</v>
      </c>
      <c r="AH941">
        <v>14</v>
      </c>
      <c r="AI941" t="s">
        <v>59</v>
      </c>
      <c r="AJ941" t="s">
        <v>71</v>
      </c>
      <c r="AL941" t="s">
        <v>244</v>
      </c>
      <c r="AM941" t="s">
        <v>245</v>
      </c>
      <c r="AN941" t="s">
        <v>63</v>
      </c>
      <c r="AO941" t="s">
        <v>4561</v>
      </c>
      <c r="AP941" t="s">
        <v>4931</v>
      </c>
    </row>
    <row r="942" spans="1:42" x14ac:dyDescent="0.45">
      <c r="A942" t="s">
        <v>4547</v>
      </c>
      <c r="B942" t="s">
        <v>4548</v>
      </c>
      <c r="C942" t="s">
        <v>4549</v>
      </c>
      <c r="D942">
        <v>2025</v>
      </c>
      <c r="E942" t="s">
        <v>45</v>
      </c>
      <c r="F942" t="s">
        <v>2020</v>
      </c>
      <c r="G942">
        <v>3</v>
      </c>
      <c r="J942" t="s">
        <v>4935</v>
      </c>
      <c r="K942" t="s">
        <v>4936</v>
      </c>
      <c r="L942" t="s">
        <v>4937</v>
      </c>
      <c r="M942" t="s">
        <v>4938</v>
      </c>
      <c r="N942" t="s">
        <v>4554</v>
      </c>
      <c r="O942" t="s">
        <v>4555</v>
      </c>
      <c r="P942" t="s">
        <v>223</v>
      </c>
      <c r="Q942" t="s">
        <v>4556</v>
      </c>
      <c r="S942">
        <v>66</v>
      </c>
      <c r="T942" t="s">
        <v>4939</v>
      </c>
      <c r="U942">
        <v>64</v>
      </c>
      <c r="V942">
        <v>3524</v>
      </c>
      <c r="W942">
        <v>1.8200000000000001E-2</v>
      </c>
      <c r="X942" t="s">
        <v>56</v>
      </c>
      <c r="Y942" t="s">
        <v>4558</v>
      </c>
      <c r="Z942">
        <v>484.94</v>
      </c>
      <c r="AA942">
        <v>2.23</v>
      </c>
      <c r="AB942">
        <v>1079</v>
      </c>
      <c r="AC942" t="b">
        <v>1</v>
      </c>
      <c r="AD942" t="b">
        <v>0</v>
      </c>
      <c r="AE942" t="b">
        <v>0</v>
      </c>
      <c r="AF942" t="b">
        <v>0</v>
      </c>
      <c r="AG942" t="s">
        <v>58</v>
      </c>
      <c r="AH942">
        <v>12</v>
      </c>
      <c r="AI942" t="s">
        <v>59</v>
      </c>
      <c r="AJ942" t="s">
        <v>60</v>
      </c>
      <c r="AK942" t="s">
        <v>252</v>
      </c>
      <c r="AL942" t="s">
        <v>415</v>
      </c>
      <c r="AM942" t="s">
        <v>245</v>
      </c>
      <c r="AN942" t="s">
        <v>63</v>
      </c>
      <c r="AO942" t="s">
        <v>4561</v>
      </c>
      <c r="AP942" t="s">
        <v>4936</v>
      </c>
    </row>
    <row r="943" spans="1:42" x14ac:dyDescent="0.45">
      <c r="A943" t="s">
        <v>4547</v>
      </c>
      <c r="B943" t="s">
        <v>4548</v>
      </c>
      <c r="C943" t="s">
        <v>4549</v>
      </c>
      <c r="D943">
        <v>2025</v>
      </c>
      <c r="E943" t="s">
        <v>45</v>
      </c>
      <c r="F943" t="s">
        <v>2020</v>
      </c>
      <c r="G943">
        <v>4</v>
      </c>
      <c r="J943" t="s">
        <v>4940</v>
      </c>
      <c r="K943" t="s">
        <v>4941</v>
      </c>
      <c r="L943" t="s">
        <v>4942</v>
      </c>
      <c r="M943" t="s">
        <v>4943</v>
      </c>
      <c r="N943" t="s">
        <v>4554</v>
      </c>
      <c r="O943" t="s">
        <v>4555</v>
      </c>
      <c r="P943" t="s">
        <v>223</v>
      </c>
      <c r="Q943" t="s">
        <v>4556</v>
      </c>
      <c r="S943">
        <v>73</v>
      </c>
      <c r="T943" t="s">
        <v>4944</v>
      </c>
      <c r="U943">
        <v>162</v>
      </c>
      <c r="V943">
        <v>3524</v>
      </c>
      <c r="W943">
        <v>4.5999999999999999E-2</v>
      </c>
      <c r="X943" t="s">
        <v>56</v>
      </c>
      <c r="Y943" t="s">
        <v>4558</v>
      </c>
      <c r="Z943">
        <v>480.71</v>
      </c>
      <c r="AA943">
        <v>0.86</v>
      </c>
      <c r="AB943">
        <v>412</v>
      </c>
      <c r="AC943" t="b">
        <v>1</v>
      </c>
      <c r="AD943" t="b">
        <v>0</v>
      </c>
      <c r="AE943" t="b">
        <v>0</v>
      </c>
      <c r="AF943" t="b">
        <v>0</v>
      </c>
      <c r="AG943" t="s">
        <v>58</v>
      </c>
      <c r="AH943">
        <v>12</v>
      </c>
      <c r="AI943" t="s">
        <v>59</v>
      </c>
      <c r="AJ943" t="s">
        <v>60</v>
      </c>
      <c r="AK943" t="s">
        <v>252</v>
      </c>
      <c r="AL943" t="s">
        <v>415</v>
      </c>
      <c r="AM943" t="s">
        <v>245</v>
      </c>
      <c r="AN943" t="s">
        <v>63</v>
      </c>
      <c r="AO943" t="s">
        <v>4561</v>
      </c>
      <c r="AP943" t="s">
        <v>4941</v>
      </c>
    </row>
    <row r="944" spans="1:42" x14ac:dyDescent="0.45">
      <c r="A944" t="s">
        <v>4547</v>
      </c>
      <c r="B944" t="s">
        <v>4548</v>
      </c>
      <c r="C944" t="s">
        <v>4549</v>
      </c>
      <c r="D944">
        <v>2025</v>
      </c>
      <c r="E944" t="s">
        <v>45</v>
      </c>
      <c r="F944" t="s">
        <v>2020</v>
      </c>
      <c r="J944" t="s">
        <v>4945</v>
      </c>
      <c r="K944" t="s">
        <v>4946</v>
      </c>
      <c r="L944" t="s">
        <v>4947</v>
      </c>
      <c r="M944" t="s">
        <v>4948</v>
      </c>
      <c r="N944" t="s">
        <v>4554</v>
      </c>
      <c r="O944" t="s">
        <v>4555</v>
      </c>
      <c r="P944" t="s">
        <v>223</v>
      </c>
      <c r="Q944" t="s">
        <v>4556</v>
      </c>
      <c r="S944">
        <v>33</v>
      </c>
      <c r="T944" t="s">
        <v>4949</v>
      </c>
      <c r="U944">
        <v>126</v>
      </c>
      <c r="V944">
        <v>3524</v>
      </c>
      <c r="W944">
        <v>3.5799999999999998E-2</v>
      </c>
      <c r="X944" t="s">
        <v>56</v>
      </c>
      <c r="Y944" t="s">
        <v>4558</v>
      </c>
      <c r="Z944">
        <v>525.79</v>
      </c>
      <c r="AA944">
        <v>1.07</v>
      </c>
      <c r="AB944">
        <v>561</v>
      </c>
      <c r="AC944" t="b">
        <v>0</v>
      </c>
      <c r="AD944" t="b">
        <v>0</v>
      </c>
      <c r="AE944" t="b">
        <v>0</v>
      </c>
      <c r="AF944" t="b">
        <v>0</v>
      </c>
      <c r="AG944" t="s">
        <v>58</v>
      </c>
      <c r="AH944">
        <v>8</v>
      </c>
      <c r="AI944" t="s">
        <v>169</v>
      </c>
      <c r="AJ944" t="s">
        <v>60</v>
      </c>
      <c r="AL944" t="s">
        <v>380</v>
      </c>
      <c r="AM944" t="s">
        <v>245</v>
      </c>
      <c r="AN944" t="s">
        <v>63</v>
      </c>
      <c r="AO944" t="s">
        <v>4561</v>
      </c>
      <c r="AP944" t="s">
        <v>4946</v>
      </c>
    </row>
    <row r="945" spans="1:42" x14ac:dyDescent="0.45">
      <c r="A945" t="s">
        <v>4547</v>
      </c>
      <c r="B945" t="s">
        <v>4548</v>
      </c>
      <c r="C945" t="s">
        <v>4549</v>
      </c>
      <c r="D945">
        <v>2025</v>
      </c>
      <c r="E945" t="s">
        <v>45</v>
      </c>
      <c r="F945" t="s">
        <v>2020</v>
      </c>
      <c r="G945">
        <v>4</v>
      </c>
      <c r="J945" t="s">
        <v>4950</v>
      </c>
      <c r="K945" t="s">
        <v>4951</v>
      </c>
      <c r="L945" t="s">
        <v>4952</v>
      </c>
      <c r="M945" t="s">
        <v>4953</v>
      </c>
      <c r="N945" t="s">
        <v>4554</v>
      </c>
      <c r="O945" t="s">
        <v>4555</v>
      </c>
      <c r="P945" t="s">
        <v>223</v>
      </c>
      <c r="Q945" t="s">
        <v>4556</v>
      </c>
      <c r="S945">
        <v>79</v>
      </c>
      <c r="T945" t="s">
        <v>4954</v>
      </c>
      <c r="U945">
        <v>110</v>
      </c>
      <c r="V945">
        <v>3524</v>
      </c>
      <c r="W945">
        <v>3.1199999999999999E-2</v>
      </c>
      <c r="X945" t="s">
        <v>56</v>
      </c>
      <c r="Y945" t="s">
        <v>4558</v>
      </c>
      <c r="Z945">
        <v>475.79</v>
      </c>
      <c r="AA945">
        <v>0.76</v>
      </c>
      <c r="AB945">
        <v>362</v>
      </c>
      <c r="AC945" t="b">
        <v>1</v>
      </c>
      <c r="AD945" t="b">
        <v>0</v>
      </c>
      <c r="AE945" t="b">
        <v>0</v>
      </c>
      <c r="AF945" t="b">
        <v>0</v>
      </c>
      <c r="AG945" t="s">
        <v>58</v>
      </c>
      <c r="AH945">
        <v>12</v>
      </c>
      <c r="AI945" t="s">
        <v>59</v>
      </c>
      <c r="AJ945" t="s">
        <v>60</v>
      </c>
      <c r="AK945" t="s">
        <v>252</v>
      </c>
      <c r="AL945" t="s">
        <v>415</v>
      </c>
      <c r="AM945" t="s">
        <v>245</v>
      </c>
      <c r="AN945" t="s">
        <v>63</v>
      </c>
      <c r="AO945" t="s">
        <v>4561</v>
      </c>
      <c r="AP945" t="s">
        <v>4951</v>
      </c>
    </row>
    <row r="946" spans="1:42" x14ac:dyDescent="0.45">
      <c r="A946" t="s">
        <v>4955</v>
      </c>
      <c r="B946" t="s">
        <v>4956</v>
      </c>
      <c r="C946" t="s">
        <v>4957</v>
      </c>
      <c r="D946">
        <v>2025</v>
      </c>
      <c r="E946" t="s">
        <v>45</v>
      </c>
      <c r="F946" t="s">
        <v>2020</v>
      </c>
      <c r="G946">
        <v>13</v>
      </c>
      <c r="J946" t="s">
        <v>4958</v>
      </c>
      <c r="K946" t="s">
        <v>4959</v>
      </c>
      <c r="L946" t="s">
        <v>4960</v>
      </c>
      <c r="M946" t="s">
        <v>4961</v>
      </c>
      <c r="N946" t="s">
        <v>4962</v>
      </c>
      <c r="O946" t="s">
        <v>4963</v>
      </c>
      <c r="P946" t="s">
        <v>2027</v>
      </c>
      <c r="Q946" t="s">
        <v>4964</v>
      </c>
      <c r="S946">
        <v>12</v>
      </c>
      <c r="T946" t="s">
        <v>4965</v>
      </c>
      <c r="U946">
        <v>3994</v>
      </c>
      <c r="V946">
        <v>3443</v>
      </c>
      <c r="W946">
        <v>1.1599999999999999</v>
      </c>
      <c r="X946" t="s">
        <v>70</v>
      </c>
      <c r="Y946" t="s">
        <v>4966</v>
      </c>
      <c r="Z946">
        <v>365.71</v>
      </c>
      <c r="AA946">
        <v>1914.16</v>
      </c>
      <c r="AB946">
        <v>700032</v>
      </c>
      <c r="AC946" t="b">
        <v>1</v>
      </c>
      <c r="AD946" t="b">
        <v>1</v>
      </c>
      <c r="AE946" t="b">
        <v>0</v>
      </c>
      <c r="AF946" t="b">
        <v>0</v>
      </c>
      <c r="AG946" t="s">
        <v>58</v>
      </c>
      <c r="AH946">
        <v>14</v>
      </c>
      <c r="AI946" t="s">
        <v>59</v>
      </c>
      <c r="AJ946" t="s">
        <v>71</v>
      </c>
      <c r="AL946" t="s">
        <v>244</v>
      </c>
      <c r="AM946" t="s">
        <v>245</v>
      </c>
      <c r="AN946" t="s">
        <v>63</v>
      </c>
      <c r="AO946" t="s">
        <v>4967</v>
      </c>
      <c r="AP946" t="s">
        <v>4959</v>
      </c>
    </row>
    <row r="947" spans="1:42" x14ac:dyDescent="0.45">
      <c r="A947" t="s">
        <v>4955</v>
      </c>
      <c r="B947" t="s">
        <v>4956</v>
      </c>
      <c r="C947" t="s">
        <v>4957</v>
      </c>
      <c r="D947">
        <v>2025</v>
      </c>
      <c r="E947" t="s">
        <v>45</v>
      </c>
      <c r="F947" t="s">
        <v>2020</v>
      </c>
      <c r="G947">
        <v>5</v>
      </c>
      <c r="J947" t="s">
        <v>4968</v>
      </c>
      <c r="K947" t="s">
        <v>4969</v>
      </c>
      <c r="L947" t="s">
        <v>4970</v>
      </c>
      <c r="M947" t="s">
        <v>4971</v>
      </c>
      <c r="N947" t="s">
        <v>4962</v>
      </c>
      <c r="O947" t="s">
        <v>4963</v>
      </c>
      <c r="P947" t="s">
        <v>2027</v>
      </c>
      <c r="Q947" t="s">
        <v>4964</v>
      </c>
      <c r="S947">
        <v>4</v>
      </c>
      <c r="T947" t="s">
        <v>4972</v>
      </c>
      <c r="U947">
        <v>3036</v>
      </c>
      <c r="V947">
        <v>3443</v>
      </c>
      <c r="W947">
        <v>0.88180000000000003</v>
      </c>
      <c r="X947" t="s">
        <v>70</v>
      </c>
      <c r="Y947" t="s">
        <v>4966</v>
      </c>
      <c r="Z947">
        <v>421.71</v>
      </c>
      <c r="AA947">
        <v>1322.75</v>
      </c>
      <c r="AB947">
        <v>557820</v>
      </c>
      <c r="AC947" t="b">
        <v>1</v>
      </c>
      <c r="AD947" t="b">
        <v>1</v>
      </c>
      <c r="AE947" t="b">
        <v>0</v>
      </c>
      <c r="AF947" t="b">
        <v>0</v>
      </c>
      <c r="AG947" t="s">
        <v>58</v>
      </c>
      <c r="AH947">
        <v>14</v>
      </c>
      <c r="AI947" t="s">
        <v>59</v>
      </c>
      <c r="AJ947" t="s">
        <v>71</v>
      </c>
      <c r="AL947" t="s">
        <v>244</v>
      </c>
      <c r="AM947" t="s">
        <v>245</v>
      </c>
      <c r="AN947" t="s">
        <v>63</v>
      </c>
      <c r="AO947" t="s">
        <v>4967</v>
      </c>
      <c r="AP947" t="s">
        <v>4969</v>
      </c>
    </row>
    <row r="948" spans="1:42" x14ac:dyDescent="0.45">
      <c r="A948" t="s">
        <v>4955</v>
      </c>
      <c r="B948" t="s">
        <v>4956</v>
      </c>
      <c r="C948" t="s">
        <v>4957</v>
      </c>
      <c r="D948">
        <v>2025</v>
      </c>
      <c r="E948" t="s">
        <v>45</v>
      </c>
      <c r="F948" t="s">
        <v>2020</v>
      </c>
      <c r="G948">
        <v>6</v>
      </c>
      <c r="J948" t="s">
        <v>4973</v>
      </c>
      <c r="K948" t="s">
        <v>4974</v>
      </c>
      <c r="L948" t="s">
        <v>4975</v>
      </c>
      <c r="M948" t="s">
        <v>4976</v>
      </c>
      <c r="N948" t="s">
        <v>4962</v>
      </c>
      <c r="O948" t="s">
        <v>4963</v>
      </c>
      <c r="P948" t="s">
        <v>2027</v>
      </c>
      <c r="Q948" t="s">
        <v>4964</v>
      </c>
      <c r="S948">
        <v>5</v>
      </c>
      <c r="T948" t="s">
        <v>4977</v>
      </c>
      <c r="U948">
        <v>3036</v>
      </c>
      <c r="V948">
        <v>3443</v>
      </c>
      <c r="W948">
        <v>0.88180000000000003</v>
      </c>
      <c r="X948" t="s">
        <v>70</v>
      </c>
      <c r="Y948" t="s">
        <v>4966</v>
      </c>
      <c r="Z948">
        <v>414.71</v>
      </c>
      <c r="AA948">
        <v>1459.01</v>
      </c>
      <c r="AB948">
        <v>605068</v>
      </c>
      <c r="AC948" t="b">
        <v>1</v>
      </c>
      <c r="AD948" t="b">
        <v>1</v>
      </c>
      <c r="AE948" t="b">
        <v>0</v>
      </c>
      <c r="AF948" t="b">
        <v>0</v>
      </c>
      <c r="AG948" t="s">
        <v>58</v>
      </c>
      <c r="AH948">
        <v>14</v>
      </c>
      <c r="AI948" t="s">
        <v>59</v>
      </c>
      <c r="AJ948" t="s">
        <v>71</v>
      </c>
      <c r="AL948" t="s">
        <v>244</v>
      </c>
      <c r="AM948" t="s">
        <v>245</v>
      </c>
      <c r="AN948" t="s">
        <v>63</v>
      </c>
      <c r="AO948" t="s">
        <v>4967</v>
      </c>
      <c r="AP948" t="s">
        <v>4974</v>
      </c>
    </row>
    <row r="949" spans="1:42" x14ac:dyDescent="0.45">
      <c r="A949" t="s">
        <v>4955</v>
      </c>
      <c r="B949" t="s">
        <v>4956</v>
      </c>
      <c r="C949" t="s">
        <v>4957</v>
      </c>
      <c r="D949">
        <v>2025</v>
      </c>
      <c r="E949" t="s">
        <v>45</v>
      </c>
      <c r="F949" t="s">
        <v>2020</v>
      </c>
      <c r="G949">
        <v>10</v>
      </c>
      <c r="J949" t="s">
        <v>4978</v>
      </c>
      <c r="K949" t="s">
        <v>4979</v>
      </c>
      <c r="L949" t="s">
        <v>4980</v>
      </c>
      <c r="M949" t="s">
        <v>4981</v>
      </c>
      <c r="N949" t="s">
        <v>4962</v>
      </c>
      <c r="O949" t="s">
        <v>4963</v>
      </c>
      <c r="P949" t="s">
        <v>2027</v>
      </c>
      <c r="Q949" t="s">
        <v>4964</v>
      </c>
      <c r="S949">
        <v>9</v>
      </c>
      <c r="T949" t="s">
        <v>4982</v>
      </c>
      <c r="U949">
        <v>3792</v>
      </c>
      <c r="V949">
        <v>3443</v>
      </c>
      <c r="W949">
        <v>1.1013999999999999</v>
      </c>
      <c r="X949" t="s">
        <v>70</v>
      </c>
      <c r="Y949" t="s">
        <v>4966</v>
      </c>
      <c r="Z949">
        <v>386.71</v>
      </c>
      <c r="AA949">
        <v>2074.5</v>
      </c>
      <c r="AB949">
        <v>802236</v>
      </c>
      <c r="AC949" t="b">
        <v>1</v>
      </c>
      <c r="AD949" t="b">
        <v>1</v>
      </c>
      <c r="AE949" t="b">
        <v>0</v>
      </c>
      <c r="AF949" t="b">
        <v>0</v>
      </c>
      <c r="AG949" t="s">
        <v>58</v>
      </c>
      <c r="AH949">
        <v>14</v>
      </c>
      <c r="AI949" t="s">
        <v>59</v>
      </c>
      <c r="AJ949" t="s">
        <v>71</v>
      </c>
      <c r="AL949" t="s">
        <v>244</v>
      </c>
      <c r="AM949" t="s">
        <v>245</v>
      </c>
      <c r="AN949" t="s">
        <v>63</v>
      </c>
      <c r="AO949" t="s">
        <v>4967</v>
      </c>
      <c r="AP949" t="s">
        <v>4979</v>
      </c>
    </row>
    <row r="950" spans="1:42" x14ac:dyDescent="0.45">
      <c r="A950" t="s">
        <v>4955</v>
      </c>
      <c r="B950" t="s">
        <v>4956</v>
      </c>
      <c r="C950" t="s">
        <v>4957</v>
      </c>
      <c r="D950">
        <v>2025</v>
      </c>
      <c r="E950" t="s">
        <v>45</v>
      </c>
      <c r="F950" t="s">
        <v>2020</v>
      </c>
      <c r="G950">
        <v>9</v>
      </c>
      <c r="J950" t="s">
        <v>4983</v>
      </c>
      <c r="K950" t="s">
        <v>4984</v>
      </c>
      <c r="L950" t="s">
        <v>4985</v>
      </c>
      <c r="M950" t="s">
        <v>4986</v>
      </c>
      <c r="N950" t="s">
        <v>4962</v>
      </c>
      <c r="O950" t="s">
        <v>4963</v>
      </c>
      <c r="P950" t="s">
        <v>2027</v>
      </c>
      <c r="Q950" t="s">
        <v>4964</v>
      </c>
      <c r="S950">
        <v>8</v>
      </c>
      <c r="T950" t="s">
        <v>4987</v>
      </c>
      <c r="U950">
        <v>3444</v>
      </c>
      <c r="V950">
        <v>3443</v>
      </c>
      <c r="W950">
        <v>1.0003</v>
      </c>
      <c r="X950" t="s">
        <v>70</v>
      </c>
      <c r="Y950" t="s">
        <v>4966</v>
      </c>
      <c r="Z950">
        <v>393.71</v>
      </c>
      <c r="AA950">
        <v>1251.71</v>
      </c>
      <c r="AB950">
        <v>492814</v>
      </c>
      <c r="AC950" t="b">
        <v>1</v>
      </c>
      <c r="AD950" t="b">
        <v>1</v>
      </c>
      <c r="AE950" t="b">
        <v>0</v>
      </c>
      <c r="AF950" t="b">
        <v>0</v>
      </c>
      <c r="AG950" t="s">
        <v>58</v>
      </c>
      <c r="AH950">
        <v>14</v>
      </c>
      <c r="AI950" t="s">
        <v>59</v>
      </c>
      <c r="AJ950" t="s">
        <v>71</v>
      </c>
      <c r="AL950" t="s">
        <v>244</v>
      </c>
      <c r="AM950" t="s">
        <v>245</v>
      </c>
      <c r="AN950" t="s">
        <v>63</v>
      </c>
      <c r="AO950" t="s">
        <v>4967</v>
      </c>
      <c r="AP950" t="s">
        <v>4984</v>
      </c>
    </row>
    <row r="951" spans="1:42" x14ac:dyDescent="0.45">
      <c r="A951" t="s">
        <v>4955</v>
      </c>
      <c r="B951" t="s">
        <v>4956</v>
      </c>
      <c r="C951" t="s">
        <v>4957</v>
      </c>
      <c r="D951">
        <v>2025</v>
      </c>
      <c r="E951" t="s">
        <v>45</v>
      </c>
      <c r="F951" t="s">
        <v>2020</v>
      </c>
      <c r="G951">
        <v>15</v>
      </c>
      <c r="J951" t="s">
        <v>4988</v>
      </c>
      <c r="K951" t="s">
        <v>4989</v>
      </c>
      <c r="L951" t="s">
        <v>4990</v>
      </c>
      <c r="M951" t="s">
        <v>4991</v>
      </c>
      <c r="N951" t="s">
        <v>4962</v>
      </c>
      <c r="O951" t="s">
        <v>4963</v>
      </c>
      <c r="P951" t="s">
        <v>2027</v>
      </c>
      <c r="Q951" t="s">
        <v>4964</v>
      </c>
      <c r="S951">
        <v>14</v>
      </c>
      <c r="T951" t="s">
        <v>4992</v>
      </c>
      <c r="U951">
        <v>4031</v>
      </c>
      <c r="V951">
        <v>3443</v>
      </c>
      <c r="W951">
        <v>1.1708000000000001</v>
      </c>
      <c r="X951" t="s">
        <v>70</v>
      </c>
      <c r="Y951" t="s">
        <v>4966</v>
      </c>
      <c r="Z951">
        <v>351.73</v>
      </c>
      <c r="AA951">
        <v>2331.52</v>
      </c>
      <c r="AB951">
        <v>820072</v>
      </c>
      <c r="AC951" t="b">
        <v>1</v>
      </c>
      <c r="AD951" t="b">
        <v>1</v>
      </c>
      <c r="AE951" t="b">
        <v>0</v>
      </c>
      <c r="AF951" t="b">
        <v>0</v>
      </c>
      <c r="AG951" t="s">
        <v>58</v>
      </c>
      <c r="AH951">
        <v>14</v>
      </c>
      <c r="AI951" t="s">
        <v>59</v>
      </c>
      <c r="AJ951" t="s">
        <v>71</v>
      </c>
      <c r="AL951" t="s">
        <v>244</v>
      </c>
      <c r="AM951" t="s">
        <v>245</v>
      </c>
      <c r="AN951" t="s">
        <v>63</v>
      </c>
      <c r="AO951" t="s">
        <v>4967</v>
      </c>
      <c r="AP951" t="s">
        <v>4989</v>
      </c>
    </row>
    <row r="952" spans="1:42" x14ac:dyDescent="0.45">
      <c r="A952" t="s">
        <v>4955</v>
      </c>
      <c r="B952" t="s">
        <v>4956</v>
      </c>
      <c r="C952" t="s">
        <v>4957</v>
      </c>
      <c r="D952">
        <v>2025</v>
      </c>
      <c r="E952" t="s">
        <v>45</v>
      </c>
      <c r="F952" t="s">
        <v>2020</v>
      </c>
      <c r="G952">
        <v>8</v>
      </c>
      <c r="J952" t="s">
        <v>4993</v>
      </c>
      <c r="K952" t="s">
        <v>4994</v>
      </c>
      <c r="L952" t="s">
        <v>4995</v>
      </c>
      <c r="M952" t="s">
        <v>4996</v>
      </c>
      <c r="N952" t="s">
        <v>4962</v>
      </c>
      <c r="O952" t="s">
        <v>4963</v>
      </c>
      <c r="P952" t="s">
        <v>2027</v>
      </c>
      <c r="Q952" t="s">
        <v>4964</v>
      </c>
      <c r="S952">
        <v>7</v>
      </c>
      <c r="T952" t="s">
        <v>4997</v>
      </c>
      <c r="U952">
        <v>3247</v>
      </c>
      <c r="V952">
        <v>3443</v>
      </c>
      <c r="W952">
        <v>0.94310000000000005</v>
      </c>
      <c r="X952" t="s">
        <v>70</v>
      </c>
      <c r="Y952" t="s">
        <v>4966</v>
      </c>
      <c r="Z952">
        <v>400.71</v>
      </c>
      <c r="AA952">
        <v>1266.52</v>
      </c>
      <c r="AB952">
        <v>507509</v>
      </c>
      <c r="AC952" t="b">
        <v>1</v>
      </c>
      <c r="AD952" t="b">
        <v>1</v>
      </c>
      <c r="AE952" t="b">
        <v>0</v>
      </c>
      <c r="AF952" t="b">
        <v>0</v>
      </c>
      <c r="AG952" t="s">
        <v>58</v>
      </c>
      <c r="AH952">
        <v>14</v>
      </c>
      <c r="AI952" t="s">
        <v>59</v>
      </c>
      <c r="AJ952" t="s">
        <v>71</v>
      </c>
      <c r="AL952" t="s">
        <v>244</v>
      </c>
      <c r="AM952" t="s">
        <v>245</v>
      </c>
      <c r="AN952" t="s">
        <v>63</v>
      </c>
      <c r="AO952" t="s">
        <v>4967</v>
      </c>
      <c r="AP952" t="s">
        <v>4994</v>
      </c>
    </row>
    <row r="953" spans="1:42" x14ac:dyDescent="0.45">
      <c r="A953" t="s">
        <v>4955</v>
      </c>
      <c r="B953" t="s">
        <v>4956</v>
      </c>
      <c r="C953" t="s">
        <v>4957</v>
      </c>
      <c r="D953">
        <v>2025</v>
      </c>
      <c r="E953" t="s">
        <v>45</v>
      </c>
      <c r="F953" t="s">
        <v>2020</v>
      </c>
      <c r="G953">
        <v>7</v>
      </c>
      <c r="J953" t="e">
        <v>#NAME?</v>
      </c>
      <c r="K953" t="s">
        <v>4998</v>
      </c>
      <c r="L953" t="s">
        <v>4999</v>
      </c>
      <c r="M953" t="s">
        <v>5000</v>
      </c>
      <c r="N953" t="s">
        <v>4962</v>
      </c>
      <c r="O953" t="s">
        <v>4963</v>
      </c>
      <c r="P953" t="s">
        <v>2027</v>
      </c>
      <c r="Q953" t="s">
        <v>4964</v>
      </c>
      <c r="S953">
        <v>6</v>
      </c>
      <c r="T953" t="s">
        <v>5001</v>
      </c>
      <c r="U953">
        <v>2924</v>
      </c>
      <c r="V953">
        <v>3443</v>
      </c>
      <c r="W953">
        <v>0.84930000000000005</v>
      </c>
      <c r="X953" t="s">
        <v>70</v>
      </c>
      <c r="Y953" t="s">
        <v>4966</v>
      </c>
      <c r="Z953">
        <v>407.71</v>
      </c>
      <c r="AA953">
        <v>1383.68</v>
      </c>
      <c r="AB953">
        <v>564144</v>
      </c>
      <c r="AC953" t="b">
        <v>1</v>
      </c>
      <c r="AD953" t="b">
        <v>1</v>
      </c>
      <c r="AE953" t="b">
        <v>0</v>
      </c>
      <c r="AF953" t="b">
        <v>0</v>
      </c>
      <c r="AG953" t="s">
        <v>58</v>
      </c>
      <c r="AH953">
        <v>14</v>
      </c>
      <c r="AI953" t="s">
        <v>59</v>
      </c>
      <c r="AJ953" t="s">
        <v>71</v>
      </c>
      <c r="AL953" t="s">
        <v>244</v>
      </c>
      <c r="AM953" t="s">
        <v>245</v>
      </c>
      <c r="AN953" t="s">
        <v>63</v>
      </c>
      <c r="AO953" t="s">
        <v>4967</v>
      </c>
      <c r="AP953" t="s">
        <v>4998</v>
      </c>
    </row>
    <row r="954" spans="1:42" x14ac:dyDescent="0.45">
      <c r="A954" t="s">
        <v>4955</v>
      </c>
      <c r="B954" t="s">
        <v>4956</v>
      </c>
      <c r="C954" t="s">
        <v>4957</v>
      </c>
      <c r="D954">
        <v>2025</v>
      </c>
      <c r="E954" t="s">
        <v>45</v>
      </c>
      <c r="F954" t="s">
        <v>2020</v>
      </c>
      <c r="G954">
        <v>11</v>
      </c>
      <c r="J954" t="s">
        <v>5002</v>
      </c>
      <c r="K954" t="s">
        <v>5003</v>
      </c>
      <c r="L954" t="s">
        <v>5004</v>
      </c>
      <c r="M954" t="s">
        <v>5005</v>
      </c>
      <c r="N954" t="s">
        <v>4962</v>
      </c>
      <c r="O954" t="s">
        <v>4963</v>
      </c>
      <c r="P954" t="s">
        <v>2027</v>
      </c>
      <c r="Q954" t="s">
        <v>4964</v>
      </c>
      <c r="S954">
        <v>10</v>
      </c>
      <c r="T954" t="s">
        <v>5006</v>
      </c>
      <c r="U954">
        <v>3690</v>
      </c>
      <c r="V954">
        <v>3443</v>
      </c>
      <c r="W954">
        <v>1.0717000000000001</v>
      </c>
      <c r="X954" t="s">
        <v>70</v>
      </c>
      <c r="Y954" t="s">
        <v>4966</v>
      </c>
      <c r="Z954">
        <v>379.71</v>
      </c>
      <c r="AA954">
        <v>1453.37</v>
      </c>
      <c r="AB954">
        <v>551861</v>
      </c>
      <c r="AC954" t="b">
        <v>1</v>
      </c>
      <c r="AD954" t="b">
        <v>1</v>
      </c>
      <c r="AE954" t="b">
        <v>0</v>
      </c>
      <c r="AF954" t="b">
        <v>0</v>
      </c>
      <c r="AG954" t="s">
        <v>58</v>
      </c>
      <c r="AH954">
        <v>14</v>
      </c>
      <c r="AI954" t="s">
        <v>59</v>
      </c>
      <c r="AJ954" t="s">
        <v>71</v>
      </c>
      <c r="AL954" t="s">
        <v>244</v>
      </c>
      <c r="AM954" t="s">
        <v>245</v>
      </c>
      <c r="AN954" t="s">
        <v>63</v>
      </c>
      <c r="AO954" t="s">
        <v>4967</v>
      </c>
      <c r="AP954" t="s">
        <v>5003</v>
      </c>
    </row>
    <row r="955" spans="1:42" x14ac:dyDescent="0.45">
      <c r="A955" t="s">
        <v>4955</v>
      </c>
      <c r="B955" t="s">
        <v>4956</v>
      </c>
      <c r="C955" t="s">
        <v>4957</v>
      </c>
      <c r="D955">
        <v>2025</v>
      </c>
      <c r="E955" t="s">
        <v>45</v>
      </c>
      <c r="F955" t="s">
        <v>2020</v>
      </c>
      <c r="G955">
        <v>1</v>
      </c>
      <c r="J955" t="s">
        <v>5007</v>
      </c>
      <c r="K955" t="s">
        <v>5008</v>
      </c>
      <c r="L955" t="s">
        <v>5009</v>
      </c>
      <c r="M955" t="s">
        <v>5010</v>
      </c>
      <c r="N955" t="s">
        <v>4962</v>
      </c>
      <c r="O955" t="s">
        <v>4963</v>
      </c>
      <c r="P955" t="s">
        <v>2027</v>
      </c>
      <c r="Q955" t="s">
        <v>4964</v>
      </c>
      <c r="S955">
        <v>0</v>
      </c>
      <c r="T955" t="s">
        <v>5011</v>
      </c>
      <c r="U955">
        <v>3022</v>
      </c>
      <c r="V955">
        <v>3443</v>
      </c>
      <c r="W955">
        <v>0.87770000000000004</v>
      </c>
      <c r="X955" t="s">
        <v>70</v>
      </c>
      <c r="Y955" t="s">
        <v>4966</v>
      </c>
      <c r="Z955">
        <v>449.71</v>
      </c>
      <c r="AA955">
        <v>3289.14</v>
      </c>
      <c r="AB955">
        <v>1479168</v>
      </c>
      <c r="AC955" t="b">
        <v>1</v>
      </c>
      <c r="AD955" t="b">
        <v>1</v>
      </c>
      <c r="AE955" t="b">
        <v>0</v>
      </c>
      <c r="AF955" t="b">
        <v>0</v>
      </c>
      <c r="AG955" t="s">
        <v>58</v>
      </c>
      <c r="AH955">
        <v>14</v>
      </c>
      <c r="AI955" t="s">
        <v>59</v>
      </c>
      <c r="AJ955" t="s">
        <v>71</v>
      </c>
      <c r="AL955" t="s">
        <v>244</v>
      </c>
      <c r="AM955" t="s">
        <v>245</v>
      </c>
      <c r="AN955" t="s">
        <v>63</v>
      </c>
      <c r="AO955" t="s">
        <v>4967</v>
      </c>
      <c r="AP955" t="s">
        <v>5008</v>
      </c>
    </row>
    <row r="956" spans="1:42" x14ac:dyDescent="0.45">
      <c r="A956" t="s">
        <v>4955</v>
      </c>
      <c r="B956" t="s">
        <v>4956</v>
      </c>
      <c r="C956" t="s">
        <v>4957</v>
      </c>
      <c r="D956">
        <v>2025</v>
      </c>
      <c r="E956" t="s">
        <v>45</v>
      </c>
      <c r="F956" t="s">
        <v>2020</v>
      </c>
      <c r="G956">
        <v>14</v>
      </c>
      <c r="J956" t="s">
        <v>5012</v>
      </c>
      <c r="K956" t="s">
        <v>5013</v>
      </c>
      <c r="L956" t="s">
        <v>5014</v>
      </c>
      <c r="M956" t="s">
        <v>5015</v>
      </c>
      <c r="N956" t="s">
        <v>4962</v>
      </c>
      <c r="O956" t="s">
        <v>4963</v>
      </c>
      <c r="P956" t="s">
        <v>2027</v>
      </c>
      <c r="Q956" t="s">
        <v>4964</v>
      </c>
      <c r="S956">
        <v>13</v>
      </c>
      <c r="T956" t="s">
        <v>5016</v>
      </c>
      <c r="U956">
        <v>3977</v>
      </c>
      <c r="V956">
        <v>3443</v>
      </c>
      <c r="W956">
        <v>1.1551</v>
      </c>
      <c r="X956" t="s">
        <v>70</v>
      </c>
      <c r="Y956" t="s">
        <v>4966</v>
      </c>
      <c r="Z956">
        <v>358.71</v>
      </c>
      <c r="AA956">
        <v>2273.3200000000002</v>
      </c>
      <c r="AB956">
        <v>815468</v>
      </c>
      <c r="AC956" t="b">
        <v>1</v>
      </c>
      <c r="AD956" t="b">
        <v>1</v>
      </c>
      <c r="AE956" t="b">
        <v>0</v>
      </c>
      <c r="AF956" t="b">
        <v>0</v>
      </c>
      <c r="AG956" t="s">
        <v>58</v>
      </c>
      <c r="AH956">
        <v>14</v>
      </c>
      <c r="AI956" t="s">
        <v>59</v>
      </c>
      <c r="AJ956" t="s">
        <v>71</v>
      </c>
      <c r="AL956" t="s">
        <v>244</v>
      </c>
      <c r="AM956" t="s">
        <v>245</v>
      </c>
      <c r="AN956" t="s">
        <v>63</v>
      </c>
      <c r="AO956" t="s">
        <v>4967</v>
      </c>
      <c r="AP956" t="s">
        <v>5013</v>
      </c>
    </row>
    <row r="957" spans="1:42" x14ac:dyDescent="0.45">
      <c r="A957" t="s">
        <v>4955</v>
      </c>
      <c r="B957" t="s">
        <v>4956</v>
      </c>
      <c r="C957" t="s">
        <v>4957</v>
      </c>
      <c r="D957">
        <v>2025</v>
      </c>
      <c r="E957" t="s">
        <v>45</v>
      </c>
      <c r="F957" t="s">
        <v>2020</v>
      </c>
      <c r="G957">
        <v>12</v>
      </c>
      <c r="J957" t="s">
        <v>5017</v>
      </c>
      <c r="K957" t="s">
        <v>5018</v>
      </c>
      <c r="L957" t="s">
        <v>5019</v>
      </c>
      <c r="M957" t="s">
        <v>5020</v>
      </c>
      <c r="N957" t="s">
        <v>4962</v>
      </c>
      <c r="O957" t="s">
        <v>4963</v>
      </c>
      <c r="P957" t="s">
        <v>2027</v>
      </c>
      <c r="Q957" t="s">
        <v>4964</v>
      </c>
      <c r="S957">
        <v>11</v>
      </c>
      <c r="T957" t="s">
        <v>5021</v>
      </c>
      <c r="U957">
        <v>3443</v>
      </c>
      <c r="V957">
        <v>3443</v>
      </c>
      <c r="W957">
        <v>1</v>
      </c>
      <c r="X957" t="s">
        <v>70</v>
      </c>
      <c r="Y957" t="s">
        <v>4966</v>
      </c>
      <c r="Z957">
        <v>372.71</v>
      </c>
      <c r="AA957">
        <v>1804.18</v>
      </c>
      <c r="AB957">
        <v>672442</v>
      </c>
      <c r="AC957" t="b">
        <v>1</v>
      </c>
      <c r="AD957" t="b">
        <v>1</v>
      </c>
      <c r="AE957" t="b">
        <v>0</v>
      </c>
      <c r="AF957" t="b">
        <v>0</v>
      </c>
      <c r="AG957" t="s">
        <v>58</v>
      </c>
      <c r="AH957">
        <v>14</v>
      </c>
      <c r="AI957" t="s">
        <v>59</v>
      </c>
      <c r="AJ957" t="s">
        <v>71</v>
      </c>
      <c r="AL957" t="s">
        <v>244</v>
      </c>
      <c r="AM957" t="s">
        <v>245</v>
      </c>
      <c r="AN957" t="s">
        <v>63</v>
      </c>
      <c r="AO957" t="s">
        <v>4967</v>
      </c>
      <c r="AP957" t="s">
        <v>5018</v>
      </c>
    </row>
    <row r="958" spans="1:42" x14ac:dyDescent="0.45">
      <c r="A958" t="s">
        <v>4955</v>
      </c>
      <c r="B958" t="s">
        <v>4956</v>
      </c>
      <c r="C958" t="s">
        <v>4957</v>
      </c>
      <c r="D958">
        <v>2025</v>
      </c>
      <c r="E958" t="s">
        <v>45</v>
      </c>
      <c r="F958" t="s">
        <v>2020</v>
      </c>
      <c r="G958">
        <v>3</v>
      </c>
      <c r="J958" t="s">
        <v>5022</v>
      </c>
      <c r="K958" t="s">
        <v>5023</v>
      </c>
      <c r="L958" t="s">
        <v>5024</v>
      </c>
      <c r="M958" t="s">
        <v>5025</v>
      </c>
      <c r="N958" t="s">
        <v>4962</v>
      </c>
      <c r="O958" t="s">
        <v>4963</v>
      </c>
      <c r="P958" t="s">
        <v>2027</v>
      </c>
      <c r="Q958" t="s">
        <v>4964</v>
      </c>
      <c r="S958">
        <v>2</v>
      </c>
      <c r="T958" t="s">
        <v>5026</v>
      </c>
      <c r="U958">
        <v>4580</v>
      </c>
      <c r="V958">
        <v>3443</v>
      </c>
      <c r="W958">
        <v>1.3302</v>
      </c>
      <c r="X958" t="s">
        <v>70</v>
      </c>
      <c r="Y958" t="s">
        <v>4966</v>
      </c>
      <c r="Z958">
        <v>435.69</v>
      </c>
      <c r="AA958">
        <v>2420.12</v>
      </c>
      <c r="AB958">
        <v>1054426</v>
      </c>
      <c r="AC958" t="b">
        <v>1</v>
      </c>
      <c r="AD958" t="b">
        <v>1</v>
      </c>
      <c r="AE958" t="b">
        <v>0</v>
      </c>
      <c r="AF958" t="b">
        <v>0</v>
      </c>
      <c r="AG958" t="s">
        <v>58</v>
      </c>
      <c r="AH958">
        <v>14</v>
      </c>
      <c r="AI958" t="s">
        <v>59</v>
      </c>
      <c r="AJ958" t="s">
        <v>71</v>
      </c>
      <c r="AL958" t="s">
        <v>244</v>
      </c>
      <c r="AM958" t="s">
        <v>245</v>
      </c>
      <c r="AN958" t="s">
        <v>63</v>
      </c>
      <c r="AO958" t="s">
        <v>4967</v>
      </c>
      <c r="AP958" t="s">
        <v>5023</v>
      </c>
    </row>
    <row r="959" spans="1:42" x14ac:dyDescent="0.45">
      <c r="A959" t="s">
        <v>4955</v>
      </c>
      <c r="B959" t="s">
        <v>4956</v>
      </c>
      <c r="C959" t="s">
        <v>4957</v>
      </c>
      <c r="D959">
        <v>2025</v>
      </c>
      <c r="E959" t="s">
        <v>45</v>
      </c>
      <c r="F959" t="s">
        <v>2020</v>
      </c>
      <c r="G959">
        <v>4</v>
      </c>
      <c r="J959" t="s">
        <v>5027</v>
      </c>
      <c r="K959" t="s">
        <v>5028</v>
      </c>
      <c r="L959" t="s">
        <v>5029</v>
      </c>
      <c r="M959" t="s">
        <v>5030</v>
      </c>
      <c r="N959" t="s">
        <v>4962</v>
      </c>
      <c r="O959" t="s">
        <v>4963</v>
      </c>
      <c r="P959" t="s">
        <v>2027</v>
      </c>
      <c r="Q959" t="s">
        <v>4964</v>
      </c>
      <c r="S959">
        <v>3</v>
      </c>
      <c r="T959" t="s">
        <v>5031</v>
      </c>
      <c r="U959">
        <v>3281</v>
      </c>
      <c r="V959">
        <v>3443</v>
      </c>
      <c r="W959">
        <v>0.95289999999999997</v>
      </c>
      <c r="X959" t="s">
        <v>70</v>
      </c>
      <c r="Y959" t="s">
        <v>4966</v>
      </c>
      <c r="Z959">
        <v>428.72</v>
      </c>
      <c r="AA959">
        <v>1284.51</v>
      </c>
      <c r="AB959">
        <v>550698</v>
      </c>
      <c r="AC959" t="b">
        <v>1</v>
      </c>
      <c r="AD959" t="b">
        <v>1</v>
      </c>
      <c r="AE959" t="b">
        <v>0</v>
      </c>
      <c r="AF959" t="b">
        <v>0</v>
      </c>
      <c r="AG959" t="s">
        <v>58</v>
      </c>
      <c r="AH959">
        <v>14</v>
      </c>
      <c r="AI959" t="s">
        <v>59</v>
      </c>
      <c r="AJ959" t="s">
        <v>71</v>
      </c>
      <c r="AL959" t="s">
        <v>244</v>
      </c>
      <c r="AM959" t="s">
        <v>245</v>
      </c>
      <c r="AN959" t="s">
        <v>63</v>
      </c>
      <c r="AO959" t="s">
        <v>4967</v>
      </c>
      <c r="AP959" t="s">
        <v>5028</v>
      </c>
    </row>
    <row r="960" spans="1:42" x14ac:dyDescent="0.45">
      <c r="A960" t="s">
        <v>4955</v>
      </c>
      <c r="B960" t="s">
        <v>4956</v>
      </c>
      <c r="C960" t="s">
        <v>4957</v>
      </c>
      <c r="D960">
        <v>2025</v>
      </c>
      <c r="E960" t="s">
        <v>45</v>
      </c>
      <c r="F960" t="s">
        <v>2020</v>
      </c>
      <c r="G960">
        <v>2</v>
      </c>
      <c r="J960" t="s">
        <v>5032</v>
      </c>
      <c r="K960" t="s">
        <v>5033</v>
      </c>
      <c r="L960" t="s">
        <v>5034</v>
      </c>
      <c r="M960" t="s">
        <v>5035</v>
      </c>
      <c r="N960" t="s">
        <v>4962</v>
      </c>
      <c r="O960" t="s">
        <v>4963</v>
      </c>
      <c r="P960" t="s">
        <v>2027</v>
      </c>
      <c r="Q960" t="s">
        <v>4964</v>
      </c>
      <c r="S960">
        <v>1</v>
      </c>
      <c r="T960" t="s">
        <v>5036</v>
      </c>
      <c r="U960">
        <v>3142</v>
      </c>
      <c r="V960">
        <v>3443</v>
      </c>
      <c r="W960">
        <v>0.91259999999999997</v>
      </c>
      <c r="X960" t="s">
        <v>70</v>
      </c>
      <c r="Y960" t="s">
        <v>4966</v>
      </c>
      <c r="Z960">
        <v>442.71</v>
      </c>
      <c r="AA960">
        <v>2420.3000000000002</v>
      </c>
      <c r="AB960">
        <v>1071499</v>
      </c>
      <c r="AC960" t="b">
        <v>1</v>
      </c>
      <c r="AD960" t="b">
        <v>1</v>
      </c>
      <c r="AE960" t="b">
        <v>0</v>
      </c>
      <c r="AF960" t="b">
        <v>0</v>
      </c>
      <c r="AG960" t="s">
        <v>58</v>
      </c>
      <c r="AH960">
        <v>14</v>
      </c>
      <c r="AI960" t="s">
        <v>59</v>
      </c>
      <c r="AJ960" t="s">
        <v>71</v>
      </c>
      <c r="AL960" t="s">
        <v>244</v>
      </c>
      <c r="AM960" t="s">
        <v>245</v>
      </c>
      <c r="AN960" t="s">
        <v>63</v>
      </c>
      <c r="AO960" t="s">
        <v>4967</v>
      </c>
      <c r="AP960" t="s">
        <v>5033</v>
      </c>
    </row>
    <row r="961" spans="1:42" x14ac:dyDescent="0.45">
      <c r="A961" t="s">
        <v>5037</v>
      </c>
      <c r="B961" t="s">
        <v>5038</v>
      </c>
      <c r="C961" t="s">
        <v>5039</v>
      </c>
      <c r="D961">
        <v>2024</v>
      </c>
      <c r="E961" t="s">
        <v>45</v>
      </c>
      <c r="F961" t="s">
        <v>46</v>
      </c>
      <c r="G961">
        <v>7</v>
      </c>
      <c r="J961" t="s">
        <v>5040</v>
      </c>
      <c r="K961" t="s">
        <v>5041</v>
      </c>
      <c r="L961" t="s">
        <v>5042</v>
      </c>
      <c r="M961" t="s">
        <v>5043</v>
      </c>
      <c r="N961" t="s">
        <v>1795</v>
      </c>
      <c r="O961" t="s">
        <v>1796</v>
      </c>
      <c r="P961" t="s">
        <v>53</v>
      </c>
      <c r="Q961" t="s">
        <v>5044</v>
      </c>
      <c r="S961">
        <v>7</v>
      </c>
      <c r="T961" t="s">
        <v>5045</v>
      </c>
      <c r="U961">
        <v>234</v>
      </c>
      <c r="V961">
        <v>3512.5</v>
      </c>
      <c r="W961">
        <v>6.6600000000000006E-2</v>
      </c>
      <c r="X961" t="s">
        <v>56</v>
      </c>
      <c r="Y961" t="s">
        <v>5046</v>
      </c>
      <c r="Z961">
        <v>579.91999999999996</v>
      </c>
      <c r="AA961">
        <v>6.34</v>
      </c>
      <c r="AB961">
        <v>3676</v>
      </c>
      <c r="AC961" t="b">
        <v>1</v>
      </c>
      <c r="AD961" t="b">
        <v>1</v>
      </c>
      <c r="AE961" t="b">
        <v>0</v>
      </c>
      <c r="AF961" t="b">
        <v>0</v>
      </c>
      <c r="AG961" t="s">
        <v>58</v>
      </c>
      <c r="AH961">
        <v>12</v>
      </c>
      <c r="AI961" t="s">
        <v>59</v>
      </c>
      <c r="AJ961" t="s">
        <v>71</v>
      </c>
      <c r="AL961" t="s">
        <v>1988</v>
      </c>
      <c r="AM961" t="s">
        <v>245</v>
      </c>
      <c r="AN961" t="s">
        <v>63</v>
      </c>
      <c r="AO961" t="s">
        <v>5047</v>
      </c>
      <c r="AP961" t="s">
        <v>5041</v>
      </c>
    </row>
    <row r="962" spans="1:42" x14ac:dyDescent="0.45">
      <c r="A962" t="s">
        <v>5037</v>
      </c>
      <c r="B962" t="s">
        <v>5038</v>
      </c>
      <c r="C962" t="s">
        <v>5039</v>
      </c>
      <c r="D962">
        <v>2024</v>
      </c>
      <c r="E962" t="s">
        <v>45</v>
      </c>
      <c r="F962" t="s">
        <v>46</v>
      </c>
      <c r="G962">
        <v>3</v>
      </c>
      <c r="J962" t="s">
        <v>5048</v>
      </c>
      <c r="K962" t="s">
        <v>5049</v>
      </c>
      <c r="L962" t="s">
        <v>5050</v>
      </c>
      <c r="M962" t="s">
        <v>5051</v>
      </c>
      <c r="N962" t="s">
        <v>1795</v>
      </c>
      <c r="O962" t="s">
        <v>1796</v>
      </c>
      <c r="P962" t="s">
        <v>53</v>
      </c>
      <c r="Q962" t="s">
        <v>5044</v>
      </c>
      <c r="S962">
        <v>10</v>
      </c>
      <c r="T962" t="s">
        <v>5052</v>
      </c>
      <c r="U962">
        <v>186</v>
      </c>
      <c r="V962">
        <v>3512.5</v>
      </c>
      <c r="W962">
        <v>5.2999999999999999E-2</v>
      </c>
      <c r="X962" t="s">
        <v>56</v>
      </c>
      <c r="Y962" t="s">
        <v>5046</v>
      </c>
      <c r="Z962">
        <v>587.11</v>
      </c>
      <c r="AA962">
        <v>1.78</v>
      </c>
      <c r="AB962">
        <v>1046</v>
      </c>
      <c r="AC962" t="b">
        <v>1</v>
      </c>
      <c r="AD962" t="b">
        <v>0</v>
      </c>
      <c r="AE962" t="b">
        <v>0</v>
      </c>
      <c r="AF962" t="b">
        <v>0</v>
      </c>
      <c r="AG962" t="s">
        <v>58</v>
      </c>
      <c r="AH962">
        <v>12</v>
      </c>
      <c r="AI962" t="s">
        <v>59</v>
      </c>
      <c r="AJ962" t="s">
        <v>60</v>
      </c>
      <c r="AK962" t="s">
        <v>252</v>
      </c>
      <c r="AL962" t="s">
        <v>415</v>
      </c>
      <c r="AM962" t="s">
        <v>245</v>
      </c>
      <c r="AN962" t="s">
        <v>63</v>
      </c>
      <c r="AO962" t="s">
        <v>5047</v>
      </c>
      <c r="AP962" t="s">
        <v>5049</v>
      </c>
    </row>
    <row r="963" spans="1:42" x14ac:dyDescent="0.45">
      <c r="A963" t="s">
        <v>5037</v>
      </c>
      <c r="B963" t="s">
        <v>5038</v>
      </c>
      <c r="C963" t="s">
        <v>5039</v>
      </c>
      <c r="D963">
        <v>2024</v>
      </c>
      <c r="E963" t="s">
        <v>45</v>
      </c>
      <c r="F963" t="s">
        <v>46</v>
      </c>
      <c r="G963">
        <v>8</v>
      </c>
      <c r="J963" t="s">
        <v>5053</v>
      </c>
      <c r="K963" t="s">
        <v>5054</v>
      </c>
      <c r="L963" t="s">
        <v>5055</v>
      </c>
      <c r="M963" t="s">
        <v>5056</v>
      </c>
      <c r="N963" t="s">
        <v>1795</v>
      </c>
      <c r="O963" t="s">
        <v>1796</v>
      </c>
      <c r="P963" t="s">
        <v>53</v>
      </c>
      <c r="Q963" t="s">
        <v>5044</v>
      </c>
      <c r="S963">
        <v>6</v>
      </c>
      <c r="T963" t="s">
        <v>5057</v>
      </c>
      <c r="U963">
        <v>3495</v>
      </c>
      <c r="V963">
        <v>3512.5</v>
      </c>
      <c r="W963">
        <v>0.995</v>
      </c>
      <c r="X963" t="s">
        <v>70</v>
      </c>
      <c r="Y963" t="s">
        <v>5046</v>
      </c>
      <c r="Z963">
        <v>577.66999999999996</v>
      </c>
      <c r="AA963">
        <v>206.36</v>
      </c>
      <c r="AB963">
        <v>119211</v>
      </c>
      <c r="AC963" t="b">
        <v>1</v>
      </c>
      <c r="AD963" t="b">
        <v>1</v>
      </c>
      <c r="AE963" t="b">
        <v>0</v>
      </c>
      <c r="AF963" t="b">
        <v>0</v>
      </c>
      <c r="AG963" t="s">
        <v>58</v>
      </c>
      <c r="AH963">
        <v>14</v>
      </c>
      <c r="AI963" t="s">
        <v>59</v>
      </c>
      <c r="AJ963" t="s">
        <v>71</v>
      </c>
      <c r="AL963" t="s">
        <v>244</v>
      </c>
      <c r="AM963" t="s">
        <v>245</v>
      </c>
      <c r="AN963" t="s">
        <v>63</v>
      </c>
      <c r="AO963" t="s">
        <v>5047</v>
      </c>
      <c r="AP963" t="s">
        <v>5054</v>
      </c>
    </row>
    <row r="964" spans="1:42" x14ac:dyDescent="0.45">
      <c r="A964" t="s">
        <v>5037</v>
      </c>
      <c r="B964" t="s">
        <v>5038</v>
      </c>
      <c r="C964" t="s">
        <v>5039</v>
      </c>
      <c r="D964">
        <v>2024</v>
      </c>
      <c r="E964" t="s">
        <v>45</v>
      </c>
      <c r="F964" t="s">
        <v>46</v>
      </c>
      <c r="G964">
        <v>3</v>
      </c>
      <c r="J964" t="s">
        <v>5058</v>
      </c>
      <c r="K964" t="s">
        <v>5059</v>
      </c>
      <c r="L964" t="s">
        <v>5060</v>
      </c>
      <c r="M964" t="s">
        <v>5061</v>
      </c>
      <c r="N964" t="s">
        <v>1795</v>
      </c>
      <c r="O964" t="s">
        <v>1796</v>
      </c>
      <c r="P964" t="s">
        <v>53</v>
      </c>
      <c r="Q964" t="s">
        <v>5044</v>
      </c>
      <c r="S964">
        <v>16</v>
      </c>
      <c r="T964" t="s">
        <v>5062</v>
      </c>
      <c r="U964">
        <v>3548</v>
      </c>
      <c r="V964">
        <v>3512.5</v>
      </c>
      <c r="W964">
        <v>1.0101</v>
      </c>
      <c r="X964" t="s">
        <v>70</v>
      </c>
      <c r="Y964" t="s">
        <v>5046</v>
      </c>
      <c r="Z964">
        <v>612.66999999999996</v>
      </c>
      <c r="AA964">
        <v>402.57</v>
      </c>
      <c r="AB964">
        <v>246641</v>
      </c>
      <c r="AC964" t="b">
        <v>1</v>
      </c>
      <c r="AD964" t="b">
        <v>1</v>
      </c>
      <c r="AE964" t="b">
        <v>0</v>
      </c>
      <c r="AF964" t="b">
        <v>0</v>
      </c>
      <c r="AG964" t="s">
        <v>58</v>
      </c>
      <c r="AH964">
        <v>14</v>
      </c>
      <c r="AI964" t="s">
        <v>59</v>
      </c>
      <c r="AJ964" t="s">
        <v>71</v>
      </c>
      <c r="AL964" t="s">
        <v>244</v>
      </c>
      <c r="AM964" t="s">
        <v>245</v>
      </c>
      <c r="AN964" t="s">
        <v>63</v>
      </c>
      <c r="AO964" t="s">
        <v>5047</v>
      </c>
      <c r="AP964" t="s">
        <v>5059</v>
      </c>
    </row>
    <row r="965" spans="1:42" x14ac:dyDescent="0.45">
      <c r="A965" t="s">
        <v>5037</v>
      </c>
      <c r="B965" t="s">
        <v>5038</v>
      </c>
      <c r="C965" t="s">
        <v>5039</v>
      </c>
      <c r="D965">
        <v>2024</v>
      </c>
      <c r="E965" t="s">
        <v>45</v>
      </c>
      <c r="F965" t="s">
        <v>46</v>
      </c>
      <c r="G965">
        <v>6</v>
      </c>
      <c r="J965" t="s">
        <v>5063</v>
      </c>
      <c r="K965" t="s">
        <v>5064</v>
      </c>
      <c r="L965" t="s">
        <v>5065</v>
      </c>
      <c r="M965" t="s">
        <v>5066</v>
      </c>
      <c r="N965" t="s">
        <v>1795</v>
      </c>
      <c r="O965" t="s">
        <v>1796</v>
      </c>
      <c r="P965" t="s">
        <v>53</v>
      </c>
      <c r="Q965" t="s">
        <v>5044</v>
      </c>
      <c r="S965">
        <v>5</v>
      </c>
      <c r="T965" t="s">
        <v>5067</v>
      </c>
      <c r="U965">
        <v>480</v>
      </c>
      <c r="V965">
        <v>3512.5</v>
      </c>
      <c r="W965">
        <v>0.13669999999999999</v>
      </c>
      <c r="X965" t="s">
        <v>56</v>
      </c>
      <c r="Y965" t="s">
        <v>5046</v>
      </c>
      <c r="Z965">
        <v>575.01</v>
      </c>
      <c r="AA965">
        <v>13.91</v>
      </c>
      <c r="AB965">
        <v>7996</v>
      </c>
      <c r="AC965" t="b">
        <v>1</v>
      </c>
      <c r="AD965" t="b">
        <v>0</v>
      </c>
      <c r="AE965" t="b">
        <v>0</v>
      </c>
      <c r="AF965" t="b">
        <v>0</v>
      </c>
      <c r="AG965" t="s">
        <v>58</v>
      </c>
      <c r="AH965">
        <v>12</v>
      </c>
      <c r="AI965" t="s">
        <v>59</v>
      </c>
      <c r="AJ965" t="s">
        <v>60</v>
      </c>
      <c r="AK965" t="s">
        <v>252</v>
      </c>
      <c r="AL965" t="s">
        <v>415</v>
      </c>
      <c r="AM965" t="s">
        <v>245</v>
      </c>
      <c r="AN965" t="s">
        <v>63</v>
      </c>
      <c r="AO965" t="s">
        <v>5047</v>
      </c>
      <c r="AP965" t="s">
        <v>5064</v>
      </c>
    </row>
    <row r="966" spans="1:42" x14ac:dyDescent="0.45">
      <c r="A966" t="s">
        <v>5037</v>
      </c>
      <c r="B966" t="s">
        <v>5038</v>
      </c>
      <c r="C966" t="s">
        <v>5039</v>
      </c>
      <c r="D966">
        <v>2024</v>
      </c>
      <c r="E966" t="s">
        <v>45</v>
      </c>
      <c r="F966" t="s">
        <v>46</v>
      </c>
      <c r="G966">
        <v>3</v>
      </c>
      <c r="J966" t="s">
        <v>5068</v>
      </c>
      <c r="K966" t="s">
        <v>5069</v>
      </c>
      <c r="L966" t="s">
        <v>5070</v>
      </c>
      <c r="M966" t="s">
        <v>5071</v>
      </c>
      <c r="N966" t="s">
        <v>1795</v>
      </c>
      <c r="O966" t="s">
        <v>1796</v>
      </c>
      <c r="P966" t="s">
        <v>53</v>
      </c>
      <c r="Q966" t="s">
        <v>5044</v>
      </c>
      <c r="S966">
        <v>15</v>
      </c>
      <c r="T966" t="s">
        <v>5072</v>
      </c>
      <c r="U966">
        <v>61</v>
      </c>
      <c r="V966">
        <v>3512.5</v>
      </c>
      <c r="W966">
        <v>1.7399999999999999E-2</v>
      </c>
      <c r="X966" t="s">
        <v>56</v>
      </c>
      <c r="Y966" t="s">
        <v>5046</v>
      </c>
      <c r="Z966">
        <v>611.74</v>
      </c>
      <c r="AA966">
        <v>3.11</v>
      </c>
      <c r="AB966">
        <v>1902</v>
      </c>
      <c r="AC966" t="b">
        <v>1</v>
      </c>
      <c r="AD966" t="b">
        <v>0</v>
      </c>
      <c r="AE966" t="b">
        <v>0</v>
      </c>
      <c r="AF966" t="b">
        <v>0</v>
      </c>
      <c r="AG966" t="s">
        <v>58</v>
      </c>
      <c r="AH966">
        <v>12</v>
      </c>
      <c r="AI966" t="s">
        <v>59</v>
      </c>
      <c r="AJ966" t="s">
        <v>60</v>
      </c>
      <c r="AK966" t="s">
        <v>252</v>
      </c>
      <c r="AL966" t="s">
        <v>415</v>
      </c>
      <c r="AM966" t="s">
        <v>245</v>
      </c>
      <c r="AN966" t="s">
        <v>63</v>
      </c>
      <c r="AO966" t="s">
        <v>5047</v>
      </c>
      <c r="AP966" t="s">
        <v>5069</v>
      </c>
    </row>
    <row r="967" spans="1:42" x14ac:dyDescent="0.45">
      <c r="A967" t="s">
        <v>5037</v>
      </c>
      <c r="B967" t="s">
        <v>5038</v>
      </c>
      <c r="C967" t="s">
        <v>5039</v>
      </c>
      <c r="D967">
        <v>2024</v>
      </c>
      <c r="E967" t="s">
        <v>45</v>
      </c>
      <c r="F967" t="s">
        <v>46</v>
      </c>
      <c r="G967">
        <v>2</v>
      </c>
      <c r="J967" t="s">
        <v>5073</v>
      </c>
      <c r="K967" t="s">
        <v>5074</v>
      </c>
      <c r="L967" t="s">
        <v>5075</v>
      </c>
      <c r="M967" t="s">
        <v>5076</v>
      </c>
      <c r="N967" t="s">
        <v>1795</v>
      </c>
      <c r="O967" t="s">
        <v>1796</v>
      </c>
      <c r="P967" t="s">
        <v>53</v>
      </c>
      <c r="Q967" t="s">
        <v>5044</v>
      </c>
      <c r="S967">
        <v>21</v>
      </c>
      <c r="T967" t="s">
        <v>5077</v>
      </c>
      <c r="U967">
        <v>3509</v>
      </c>
      <c r="V967">
        <v>3512.5</v>
      </c>
      <c r="W967">
        <v>0.999</v>
      </c>
      <c r="X967" t="s">
        <v>70</v>
      </c>
      <c r="Y967" t="s">
        <v>5046</v>
      </c>
      <c r="Z967">
        <v>619.66999999999996</v>
      </c>
      <c r="AA967">
        <v>341.82</v>
      </c>
      <c r="AB967">
        <v>211814</v>
      </c>
      <c r="AC967" t="b">
        <v>1</v>
      </c>
      <c r="AD967" t="b">
        <v>1</v>
      </c>
      <c r="AE967" t="b">
        <v>0</v>
      </c>
      <c r="AF967" t="b">
        <v>0</v>
      </c>
      <c r="AG967" t="s">
        <v>58</v>
      </c>
      <c r="AH967">
        <v>14</v>
      </c>
      <c r="AI967" t="s">
        <v>59</v>
      </c>
      <c r="AJ967" t="s">
        <v>71</v>
      </c>
      <c r="AL967" t="s">
        <v>244</v>
      </c>
      <c r="AM967" t="s">
        <v>245</v>
      </c>
      <c r="AN967" t="s">
        <v>63</v>
      </c>
      <c r="AO967" t="s">
        <v>5047</v>
      </c>
      <c r="AP967" t="s">
        <v>5074</v>
      </c>
    </row>
    <row r="968" spans="1:42" x14ac:dyDescent="0.45">
      <c r="A968" t="s">
        <v>5037</v>
      </c>
      <c r="B968" t="s">
        <v>5038</v>
      </c>
      <c r="C968" t="s">
        <v>5039</v>
      </c>
      <c r="D968">
        <v>2024</v>
      </c>
      <c r="E968" t="s">
        <v>45</v>
      </c>
      <c r="F968" t="s">
        <v>46</v>
      </c>
      <c r="G968">
        <v>2</v>
      </c>
      <c r="J968" t="s">
        <v>5078</v>
      </c>
      <c r="K968" t="s">
        <v>5079</v>
      </c>
      <c r="L968" t="s">
        <v>5080</v>
      </c>
      <c r="M968" t="s">
        <v>5081</v>
      </c>
      <c r="N968" t="s">
        <v>1795</v>
      </c>
      <c r="O968" t="s">
        <v>1796</v>
      </c>
      <c r="P968" t="s">
        <v>53</v>
      </c>
      <c r="Q968" t="s">
        <v>5044</v>
      </c>
      <c r="S968">
        <v>18</v>
      </c>
      <c r="T968" t="s">
        <v>5082</v>
      </c>
      <c r="U968">
        <v>83</v>
      </c>
      <c r="V968">
        <v>3512.5</v>
      </c>
      <c r="W968">
        <v>2.3599999999999999E-2</v>
      </c>
      <c r="X968" t="s">
        <v>56</v>
      </c>
      <c r="Y968" t="s">
        <v>5046</v>
      </c>
      <c r="Z968">
        <v>617.13</v>
      </c>
      <c r="AA968">
        <v>3.99</v>
      </c>
      <c r="AB968">
        <v>2460</v>
      </c>
      <c r="AC968" t="b">
        <v>1</v>
      </c>
      <c r="AD968" t="b">
        <v>0</v>
      </c>
      <c r="AE968" t="b">
        <v>0</v>
      </c>
      <c r="AF968" t="b">
        <v>0</v>
      </c>
      <c r="AG968" t="s">
        <v>58</v>
      </c>
      <c r="AH968">
        <v>12</v>
      </c>
      <c r="AI968" t="s">
        <v>59</v>
      </c>
      <c r="AJ968" t="s">
        <v>60</v>
      </c>
      <c r="AK968" t="s">
        <v>252</v>
      </c>
      <c r="AL968" t="s">
        <v>415</v>
      </c>
      <c r="AM968" t="s">
        <v>245</v>
      </c>
      <c r="AN968" t="s">
        <v>63</v>
      </c>
      <c r="AO968" t="s">
        <v>5047</v>
      </c>
      <c r="AP968" t="s">
        <v>5079</v>
      </c>
    </row>
    <row r="969" spans="1:42" x14ac:dyDescent="0.45">
      <c r="A969" t="s">
        <v>5037</v>
      </c>
      <c r="B969" t="s">
        <v>5038</v>
      </c>
      <c r="C969" t="s">
        <v>5039</v>
      </c>
      <c r="D969">
        <v>2024</v>
      </c>
      <c r="E969" t="s">
        <v>45</v>
      </c>
      <c r="F969" t="s">
        <v>46</v>
      </c>
      <c r="G969">
        <v>2</v>
      </c>
      <c r="J969" t="s">
        <v>5083</v>
      </c>
      <c r="K969" t="s">
        <v>5084</v>
      </c>
      <c r="L969" t="s">
        <v>5085</v>
      </c>
      <c r="M969" t="s">
        <v>5086</v>
      </c>
      <c r="N969" t="s">
        <v>1795</v>
      </c>
      <c r="O969" t="s">
        <v>1796</v>
      </c>
      <c r="P969" t="s">
        <v>53</v>
      </c>
      <c r="Q969" t="s">
        <v>5044</v>
      </c>
      <c r="S969">
        <v>17</v>
      </c>
      <c r="T969" t="s">
        <v>5087</v>
      </c>
      <c r="U969">
        <v>176</v>
      </c>
      <c r="V969">
        <v>3512.5</v>
      </c>
      <c r="W969">
        <v>5.0099999999999999E-2</v>
      </c>
      <c r="X969" t="s">
        <v>56</v>
      </c>
      <c r="Y969" t="s">
        <v>5046</v>
      </c>
      <c r="Z969">
        <v>614.91999999999996</v>
      </c>
      <c r="AA969">
        <v>3.98</v>
      </c>
      <c r="AB969">
        <v>2450</v>
      </c>
      <c r="AC969" t="b">
        <v>1</v>
      </c>
      <c r="AD969" t="b">
        <v>0</v>
      </c>
      <c r="AE969" t="b">
        <v>0</v>
      </c>
      <c r="AF969" t="b">
        <v>0</v>
      </c>
      <c r="AG969" t="s">
        <v>58</v>
      </c>
      <c r="AH969">
        <v>12</v>
      </c>
      <c r="AI969" t="s">
        <v>59</v>
      </c>
      <c r="AJ969" t="s">
        <v>60</v>
      </c>
      <c r="AK969" t="s">
        <v>252</v>
      </c>
      <c r="AL969" t="s">
        <v>415</v>
      </c>
      <c r="AM969" t="s">
        <v>245</v>
      </c>
      <c r="AN969" t="s">
        <v>63</v>
      </c>
      <c r="AO969" t="s">
        <v>5047</v>
      </c>
      <c r="AP969" t="s">
        <v>5084</v>
      </c>
    </row>
    <row r="970" spans="1:42" x14ac:dyDescent="0.45">
      <c r="A970" t="s">
        <v>5037</v>
      </c>
      <c r="B970" t="s">
        <v>5038</v>
      </c>
      <c r="C970" t="s">
        <v>5039</v>
      </c>
      <c r="D970">
        <v>2024</v>
      </c>
      <c r="E970" t="s">
        <v>45</v>
      </c>
      <c r="F970" t="s">
        <v>46</v>
      </c>
      <c r="G970">
        <v>4</v>
      </c>
      <c r="J970" t="s">
        <v>5088</v>
      </c>
      <c r="K970" t="s">
        <v>5089</v>
      </c>
      <c r="L970" t="s">
        <v>5090</v>
      </c>
      <c r="M970" t="s">
        <v>5091</v>
      </c>
      <c r="N970" t="s">
        <v>1795</v>
      </c>
      <c r="O970" t="s">
        <v>1796</v>
      </c>
      <c r="P970" t="s">
        <v>53</v>
      </c>
      <c r="Q970" t="s">
        <v>5044</v>
      </c>
      <c r="S970">
        <v>13</v>
      </c>
      <c r="T970" t="s">
        <v>5092</v>
      </c>
      <c r="U970">
        <v>3528</v>
      </c>
      <c r="V970">
        <v>3512.5</v>
      </c>
      <c r="W970">
        <v>1.0044</v>
      </c>
      <c r="X970" t="s">
        <v>70</v>
      </c>
      <c r="Y970" t="s">
        <v>5046</v>
      </c>
      <c r="Z970">
        <v>605.66999999999996</v>
      </c>
      <c r="AA970">
        <v>168.64</v>
      </c>
      <c r="AB970">
        <v>102140</v>
      </c>
      <c r="AC970" t="b">
        <v>1</v>
      </c>
      <c r="AD970" t="b">
        <v>1</v>
      </c>
      <c r="AE970" t="b">
        <v>0</v>
      </c>
      <c r="AF970" t="b">
        <v>0</v>
      </c>
      <c r="AG970" t="s">
        <v>58</v>
      </c>
      <c r="AH970">
        <v>14</v>
      </c>
      <c r="AI970" t="s">
        <v>59</v>
      </c>
      <c r="AJ970" t="s">
        <v>71</v>
      </c>
      <c r="AL970" t="s">
        <v>244</v>
      </c>
      <c r="AM970" t="s">
        <v>245</v>
      </c>
      <c r="AN970" t="s">
        <v>63</v>
      </c>
      <c r="AO970" t="s">
        <v>5047</v>
      </c>
      <c r="AP970" t="s">
        <v>5089</v>
      </c>
    </row>
    <row r="971" spans="1:42" x14ac:dyDescent="0.45">
      <c r="A971" t="s">
        <v>5037</v>
      </c>
      <c r="B971" t="s">
        <v>5038</v>
      </c>
      <c r="C971" t="s">
        <v>5039</v>
      </c>
      <c r="D971">
        <v>2024</v>
      </c>
      <c r="E971" t="s">
        <v>45</v>
      </c>
      <c r="F971" t="s">
        <v>46</v>
      </c>
      <c r="G971">
        <v>1</v>
      </c>
      <c r="J971" t="s">
        <v>5093</v>
      </c>
      <c r="K971" t="s">
        <v>5094</v>
      </c>
      <c r="L971" t="s">
        <v>5095</v>
      </c>
      <c r="M971" t="s">
        <v>5096</v>
      </c>
      <c r="N971" t="s">
        <v>1795</v>
      </c>
      <c r="O971" t="s">
        <v>1796</v>
      </c>
      <c r="P971" t="s">
        <v>53</v>
      </c>
      <c r="Q971" t="s">
        <v>5044</v>
      </c>
      <c r="S971">
        <v>23</v>
      </c>
      <c r="T971" t="s">
        <v>5097</v>
      </c>
      <c r="U971">
        <v>3576</v>
      </c>
      <c r="V971">
        <v>3512.5</v>
      </c>
      <c r="W971">
        <v>1.0181</v>
      </c>
      <c r="X971" t="s">
        <v>70</v>
      </c>
      <c r="Y971" t="s">
        <v>5046</v>
      </c>
      <c r="Z971">
        <v>626.66999999999996</v>
      </c>
      <c r="AA971">
        <v>658.85</v>
      </c>
      <c r="AB971">
        <v>412881</v>
      </c>
      <c r="AC971" t="b">
        <v>1</v>
      </c>
      <c r="AD971" t="b">
        <v>1</v>
      </c>
      <c r="AE971" t="b">
        <v>0</v>
      </c>
      <c r="AF971" t="b">
        <v>0</v>
      </c>
      <c r="AG971" t="s">
        <v>58</v>
      </c>
      <c r="AH971">
        <v>14</v>
      </c>
      <c r="AI971" t="s">
        <v>59</v>
      </c>
      <c r="AJ971" t="s">
        <v>71</v>
      </c>
      <c r="AL971" t="s">
        <v>244</v>
      </c>
      <c r="AM971" t="s">
        <v>245</v>
      </c>
      <c r="AN971" t="s">
        <v>63</v>
      </c>
      <c r="AO971" t="s">
        <v>5047</v>
      </c>
      <c r="AP971" t="s">
        <v>5094</v>
      </c>
    </row>
    <row r="972" spans="1:42" x14ac:dyDescent="0.45">
      <c r="A972" t="s">
        <v>5037</v>
      </c>
      <c r="B972" t="s">
        <v>5038</v>
      </c>
      <c r="C972" t="s">
        <v>5039</v>
      </c>
      <c r="D972">
        <v>2024</v>
      </c>
      <c r="E972" t="s">
        <v>45</v>
      </c>
      <c r="F972" t="s">
        <v>46</v>
      </c>
      <c r="G972">
        <v>5</v>
      </c>
      <c r="J972" t="s">
        <v>5098</v>
      </c>
      <c r="K972" t="s">
        <v>5099</v>
      </c>
      <c r="L972" t="s">
        <v>5100</v>
      </c>
      <c r="M972" t="s">
        <v>5101</v>
      </c>
      <c r="N972" t="s">
        <v>1795</v>
      </c>
      <c r="O972" t="s">
        <v>1796</v>
      </c>
      <c r="P972" t="s">
        <v>53</v>
      </c>
      <c r="Q972" t="s">
        <v>5044</v>
      </c>
      <c r="S972">
        <v>12</v>
      </c>
      <c r="T972" t="s">
        <v>5102</v>
      </c>
      <c r="U972">
        <v>3560</v>
      </c>
      <c r="V972">
        <v>3512.5</v>
      </c>
      <c r="W972">
        <v>1.0135000000000001</v>
      </c>
      <c r="X972" t="s">
        <v>70</v>
      </c>
      <c r="Y972" t="s">
        <v>5046</v>
      </c>
      <c r="Z972">
        <v>598.65</v>
      </c>
      <c r="AA972">
        <v>199.65</v>
      </c>
      <c r="AB972">
        <v>119522</v>
      </c>
      <c r="AC972" t="b">
        <v>1</v>
      </c>
      <c r="AD972" t="b">
        <v>1</v>
      </c>
      <c r="AE972" t="b">
        <v>0</v>
      </c>
      <c r="AF972" t="b">
        <v>0</v>
      </c>
      <c r="AG972" t="s">
        <v>58</v>
      </c>
      <c r="AH972">
        <v>14</v>
      </c>
      <c r="AI972" t="s">
        <v>59</v>
      </c>
      <c r="AJ972" t="s">
        <v>71</v>
      </c>
      <c r="AL972" t="s">
        <v>244</v>
      </c>
      <c r="AM972" t="s">
        <v>245</v>
      </c>
      <c r="AN972" t="s">
        <v>63</v>
      </c>
      <c r="AO972" t="s">
        <v>5047</v>
      </c>
      <c r="AP972" t="s">
        <v>5099</v>
      </c>
    </row>
    <row r="973" spans="1:42" x14ac:dyDescent="0.45">
      <c r="A973" t="s">
        <v>5037</v>
      </c>
      <c r="B973" t="s">
        <v>5038</v>
      </c>
      <c r="C973" t="s">
        <v>5039</v>
      </c>
      <c r="D973">
        <v>2024</v>
      </c>
      <c r="E973" t="s">
        <v>45</v>
      </c>
      <c r="F973" t="s">
        <v>46</v>
      </c>
      <c r="G973">
        <v>2</v>
      </c>
      <c r="J973" t="s">
        <v>5103</v>
      </c>
      <c r="K973" t="s">
        <v>5104</v>
      </c>
      <c r="L973" t="s">
        <v>5105</v>
      </c>
      <c r="M973" t="s">
        <v>5106</v>
      </c>
      <c r="N973" t="s">
        <v>1795</v>
      </c>
      <c r="O973" t="s">
        <v>1796</v>
      </c>
      <c r="P973" t="s">
        <v>53</v>
      </c>
      <c r="Q973" t="s">
        <v>5044</v>
      </c>
      <c r="S973">
        <v>19</v>
      </c>
      <c r="T973" t="s">
        <v>5107</v>
      </c>
      <c r="U973">
        <v>64</v>
      </c>
      <c r="V973">
        <v>3512.5</v>
      </c>
      <c r="W973">
        <v>1.8200000000000001E-2</v>
      </c>
      <c r="X973" t="s">
        <v>56</v>
      </c>
      <c r="Y973" t="s">
        <v>5046</v>
      </c>
      <c r="Z973">
        <v>617.99</v>
      </c>
      <c r="AA973">
        <v>11.78</v>
      </c>
      <c r="AB973">
        <v>7281</v>
      </c>
      <c r="AC973" t="b">
        <v>1</v>
      </c>
      <c r="AD973" t="b">
        <v>0</v>
      </c>
      <c r="AE973" t="b">
        <v>0</v>
      </c>
      <c r="AF973" t="b">
        <v>0</v>
      </c>
      <c r="AG973" t="s">
        <v>58</v>
      </c>
      <c r="AH973">
        <v>12</v>
      </c>
      <c r="AI973" t="s">
        <v>59</v>
      </c>
      <c r="AJ973" t="s">
        <v>60</v>
      </c>
      <c r="AK973" t="s">
        <v>252</v>
      </c>
      <c r="AL973" t="s">
        <v>415</v>
      </c>
      <c r="AM973" t="s">
        <v>245</v>
      </c>
      <c r="AN973" t="s">
        <v>63</v>
      </c>
      <c r="AO973" t="s">
        <v>5047</v>
      </c>
      <c r="AP973" t="s">
        <v>5104</v>
      </c>
    </row>
    <row r="974" spans="1:42" x14ac:dyDescent="0.45">
      <c r="A974" t="s">
        <v>5037</v>
      </c>
      <c r="B974" t="s">
        <v>5038</v>
      </c>
      <c r="C974" t="s">
        <v>5039</v>
      </c>
      <c r="D974">
        <v>2024</v>
      </c>
      <c r="E974" t="s">
        <v>45</v>
      </c>
      <c r="F974" t="s">
        <v>46</v>
      </c>
      <c r="G974">
        <v>11</v>
      </c>
      <c r="J974" t="s">
        <v>5108</v>
      </c>
      <c r="K974" t="s">
        <v>5109</v>
      </c>
      <c r="L974" t="s">
        <v>5110</v>
      </c>
      <c r="M974" t="s">
        <v>5111</v>
      </c>
      <c r="N974" t="s">
        <v>1795</v>
      </c>
      <c r="O974" t="s">
        <v>1796</v>
      </c>
      <c r="P974" t="s">
        <v>53</v>
      </c>
      <c r="Q974" t="s">
        <v>5044</v>
      </c>
      <c r="S974">
        <v>27</v>
      </c>
      <c r="T974" t="s">
        <v>5112</v>
      </c>
      <c r="U974">
        <v>58</v>
      </c>
      <c r="V974">
        <v>3512.5</v>
      </c>
      <c r="W974">
        <v>1.6500000000000001E-2</v>
      </c>
      <c r="X974" t="s">
        <v>56</v>
      </c>
      <c r="Y974" t="s">
        <v>5046</v>
      </c>
      <c r="Z974">
        <v>544.9</v>
      </c>
      <c r="AA974">
        <v>12.24</v>
      </c>
      <c r="AB974">
        <v>6668</v>
      </c>
      <c r="AC974" t="b">
        <v>1</v>
      </c>
      <c r="AD974" t="b">
        <v>0</v>
      </c>
      <c r="AE974" t="b">
        <v>0</v>
      </c>
      <c r="AF974" t="b">
        <v>0</v>
      </c>
      <c r="AG974" t="s">
        <v>58</v>
      </c>
      <c r="AH974">
        <v>12</v>
      </c>
      <c r="AI974" t="s">
        <v>59</v>
      </c>
      <c r="AJ974" t="s">
        <v>60</v>
      </c>
      <c r="AK974" t="s">
        <v>252</v>
      </c>
      <c r="AL974" t="s">
        <v>415</v>
      </c>
      <c r="AM974" t="s">
        <v>245</v>
      </c>
      <c r="AN974" t="s">
        <v>63</v>
      </c>
      <c r="AO974" t="s">
        <v>5047</v>
      </c>
      <c r="AP974" t="s">
        <v>5109</v>
      </c>
    </row>
    <row r="975" spans="1:42" x14ac:dyDescent="0.45">
      <c r="A975" t="s">
        <v>5037</v>
      </c>
      <c r="B975" t="s">
        <v>5038</v>
      </c>
      <c r="C975" t="s">
        <v>5039</v>
      </c>
      <c r="D975">
        <v>2024</v>
      </c>
      <c r="E975" t="s">
        <v>45</v>
      </c>
      <c r="F975" t="s">
        <v>46</v>
      </c>
      <c r="G975">
        <v>10</v>
      </c>
      <c r="J975" t="s">
        <v>5113</v>
      </c>
      <c r="K975" t="s">
        <v>5114</v>
      </c>
      <c r="L975" t="s">
        <v>5115</v>
      </c>
      <c r="M975" t="s">
        <v>5116</v>
      </c>
      <c r="N975" t="s">
        <v>1795</v>
      </c>
      <c r="O975" t="s">
        <v>1796</v>
      </c>
      <c r="P975" t="s">
        <v>53</v>
      </c>
      <c r="Q975" t="s">
        <v>5044</v>
      </c>
      <c r="S975">
        <v>3</v>
      </c>
      <c r="T975" t="s">
        <v>5117</v>
      </c>
      <c r="U975">
        <v>3526</v>
      </c>
      <c r="V975">
        <v>3512.5</v>
      </c>
      <c r="W975">
        <v>1.0038</v>
      </c>
      <c r="X975" t="s">
        <v>70</v>
      </c>
      <c r="Y975" t="s">
        <v>5046</v>
      </c>
      <c r="Z975">
        <v>563.65</v>
      </c>
      <c r="AA975">
        <v>124.52</v>
      </c>
      <c r="AB975">
        <v>70187</v>
      </c>
      <c r="AC975" t="b">
        <v>1</v>
      </c>
      <c r="AD975" t="b">
        <v>1</v>
      </c>
      <c r="AE975" t="b">
        <v>0</v>
      </c>
      <c r="AF975" t="b">
        <v>0</v>
      </c>
      <c r="AG975" t="s">
        <v>58</v>
      </c>
      <c r="AH975">
        <v>14</v>
      </c>
      <c r="AI975" t="s">
        <v>59</v>
      </c>
      <c r="AJ975" t="s">
        <v>71</v>
      </c>
      <c r="AL975" t="s">
        <v>244</v>
      </c>
      <c r="AM975" t="s">
        <v>245</v>
      </c>
      <c r="AN975" t="s">
        <v>63</v>
      </c>
      <c r="AO975" t="s">
        <v>5047</v>
      </c>
      <c r="AP975" t="s">
        <v>5114</v>
      </c>
    </row>
    <row r="976" spans="1:42" x14ac:dyDescent="0.45">
      <c r="A976" t="s">
        <v>5037</v>
      </c>
      <c r="B976" t="s">
        <v>5038</v>
      </c>
      <c r="C976" t="s">
        <v>5039</v>
      </c>
      <c r="D976">
        <v>2024</v>
      </c>
      <c r="E976" t="s">
        <v>45</v>
      </c>
      <c r="F976" t="s">
        <v>46</v>
      </c>
      <c r="G976">
        <v>3</v>
      </c>
      <c r="J976" t="s">
        <v>5118</v>
      </c>
      <c r="K976" t="s">
        <v>5119</v>
      </c>
      <c r="L976" t="s">
        <v>5120</v>
      </c>
      <c r="M976" t="s">
        <v>5121</v>
      </c>
      <c r="N976" t="s">
        <v>1795</v>
      </c>
      <c r="O976" t="s">
        <v>1796</v>
      </c>
      <c r="P976" t="s">
        <v>53</v>
      </c>
      <c r="Q976" t="s">
        <v>5044</v>
      </c>
      <c r="S976">
        <v>14</v>
      </c>
      <c r="T976" t="s">
        <v>5122</v>
      </c>
      <c r="U976">
        <v>48</v>
      </c>
      <c r="V976">
        <v>3512.5</v>
      </c>
      <c r="W976">
        <v>1.37E-2</v>
      </c>
      <c r="X976" t="s">
        <v>56</v>
      </c>
      <c r="Y976" t="s">
        <v>5046</v>
      </c>
      <c r="Z976">
        <v>611.13</v>
      </c>
      <c r="AA976">
        <v>5.91</v>
      </c>
      <c r="AB976">
        <v>3610</v>
      </c>
      <c r="AC976" t="b">
        <v>1</v>
      </c>
      <c r="AD976" t="b">
        <v>0</v>
      </c>
      <c r="AE976" t="b">
        <v>0</v>
      </c>
      <c r="AF976" t="b">
        <v>0</v>
      </c>
      <c r="AG976" t="s">
        <v>58</v>
      </c>
      <c r="AH976">
        <v>12</v>
      </c>
      <c r="AI976" t="s">
        <v>59</v>
      </c>
      <c r="AJ976" t="s">
        <v>60</v>
      </c>
      <c r="AK976" t="s">
        <v>252</v>
      </c>
      <c r="AL976" t="s">
        <v>415</v>
      </c>
      <c r="AM976" t="s">
        <v>245</v>
      </c>
      <c r="AN976" t="s">
        <v>63</v>
      </c>
      <c r="AO976" t="s">
        <v>5047</v>
      </c>
      <c r="AP976" t="s">
        <v>5119</v>
      </c>
    </row>
    <row r="977" spans="1:42" x14ac:dyDescent="0.45">
      <c r="A977" t="s">
        <v>5037</v>
      </c>
      <c r="B977" t="s">
        <v>5038</v>
      </c>
      <c r="C977" t="s">
        <v>5039</v>
      </c>
      <c r="D977">
        <v>2024</v>
      </c>
      <c r="E977" t="s">
        <v>45</v>
      </c>
      <c r="F977" t="s">
        <v>46</v>
      </c>
      <c r="G977">
        <v>6</v>
      </c>
      <c r="J977" t="s">
        <v>5123</v>
      </c>
      <c r="K977" t="s">
        <v>5124</v>
      </c>
      <c r="L977" t="s">
        <v>5125</v>
      </c>
      <c r="M977" t="s">
        <v>5126</v>
      </c>
      <c r="N977" t="s">
        <v>1795</v>
      </c>
      <c r="O977" t="s">
        <v>1796</v>
      </c>
      <c r="P977" t="s">
        <v>53</v>
      </c>
      <c r="Q977" t="s">
        <v>5044</v>
      </c>
      <c r="S977">
        <v>11</v>
      </c>
      <c r="T977" t="s">
        <v>5127</v>
      </c>
      <c r="U977">
        <v>3470</v>
      </c>
      <c r="V977">
        <v>3512.5</v>
      </c>
      <c r="W977">
        <v>0.9879</v>
      </c>
      <c r="X977" t="s">
        <v>70</v>
      </c>
      <c r="Y977" t="s">
        <v>5046</v>
      </c>
      <c r="Z977">
        <v>591.65</v>
      </c>
      <c r="AA977">
        <v>187.78</v>
      </c>
      <c r="AB977">
        <v>111099</v>
      </c>
      <c r="AC977" t="b">
        <v>1</v>
      </c>
      <c r="AD977" t="b">
        <v>1</v>
      </c>
      <c r="AE977" t="b">
        <v>0</v>
      </c>
      <c r="AF977" t="b">
        <v>0</v>
      </c>
      <c r="AG977" t="s">
        <v>58</v>
      </c>
      <c r="AH977">
        <v>14</v>
      </c>
      <c r="AI977" t="s">
        <v>59</v>
      </c>
      <c r="AJ977" t="s">
        <v>71</v>
      </c>
      <c r="AL977" t="s">
        <v>244</v>
      </c>
      <c r="AM977" t="s">
        <v>245</v>
      </c>
      <c r="AN977" t="s">
        <v>63</v>
      </c>
      <c r="AO977" t="s">
        <v>5047</v>
      </c>
      <c r="AP977" t="s">
        <v>5124</v>
      </c>
    </row>
    <row r="978" spans="1:42" x14ac:dyDescent="0.45">
      <c r="A978" t="s">
        <v>5037</v>
      </c>
      <c r="B978" t="s">
        <v>5038</v>
      </c>
      <c r="C978" t="s">
        <v>5039</v>
      </c>
      <c r="D978">
        <v>2024</v>
      </c>
      <c r="E978" t="s">
        <v>45</v>
      </c>
      <c r="F978" t="s">
        <v>46</v>
      </c>
      <c r="G978">
        <v>11</v>
      </c>
      <c r="J978" t="s">
        <v>5128</v>
      </c>
      <c r="K978" t="s">
        <v>5129</v>
      </c>
      <c r="L978" t="s">
        <v>5110</v>
      </c>
      <c r="M978" t="s">
        <v>5111</v>
      </c>
      <c r="N978" t="s">
        <v>1795</v>
      </c>
      <c r="O978" t="s">
        <v>1796</v>
      </c>
      <c r="P978" t="s">
        <v>53</v>
      </c>
      <c r="Q978" t="s">
        <v>5044</v>
      </c>
      <c r="S978">
        <v>25</v>
      </c>
      <c r="T978" t="s">
        <v>5130</v>
      </c>
      <c r="U978">
        <v>210</v>
      </c>
      <c r="V978">
        <v>3512.5</v>
      </c>
      <c r="W978">
        <v>5.9799999999999999E-2</v>
      </c>
      <c r="X978" t="s">
        <v>56</v>
      </c>
      <c r="Y978" t="s">
        <v>5046</v>
      </c>
      <c r="Z978">
        <v>545.03</v>
      </c>
      <c r="AA978">
        <v>2.56</v>
      </c>
      <c r="AB978">
        <v>1397</v>
      </c>
      <c r="AC978" t="b">
        <v>1</v>
      </c>
      <c r="AD978" t="b">
        <v>0</v>
      </c>
      <c r="AE978" t="b">
        <v>0</v>
      </c>
      <c r="AF978" t="b">
        <v>0</v>
      </c>
      <c r="AG978" t="s">
        <v>58</v>
      </c>
      <c r="AH978">
        <v>12</v>
      </c>
      <c r="AI978" t="s">
        <v>59</v>
      </c>
      <c r="AJ978" t="s">
        <v>60</v>
      </c>
      <c r="AK978" t="s">
        <v>252</v>
      </c>
      <c r="AL978" t="s">
        <v>415</v>
      </c>
      <c r="AM978" t="s">
        <v>245</v>
      </c>
      <c r="AN978" t="s">
        <v>63</v>
      </c>
      <c r="AO978" t="s">
        <v>5047</v>
      </c>
      <c r="AP978" t="s">
        <v>5129</v>
      </c>
    </row>
    <row r="979" spans="1:42" x14ac:dyDescent="0.45">
      <c r="A979" t="s">
        <v>5037</v>
      </c>
      <c r="B979" t="s">
        <v>5038</v>
      </c>
      <c r="C979" t="s">
        <v>5039</v>
      </c>
      <c r="D979">
        <v>2024</v>
      </c>
      <c r="E979" t="s">
        <v>45</v>
      </c>
      <c r="F979" t="s">
        <v>46</v>
      </c>
      <c r="G979">
        <v>12</v>
      </c>
      <c r="J979" t="s">
        <v>5131</v>
      </c>
      <c r="K979" t="s">
        <v>5132</v>
      </c>
      <c r="L979" t="s">
        <v>5133</v>
      </c>
      <c r="M979" t="s">
        <v>5134</v>
      </c>
      <c r="N979" t="s">
        <v>1795</v>
      </c>
      <c r="O979" t="s">
        <v>1796</v>
      </c>
      <c r="P979" t="s">
        <v>53</v>
      </c>
      <c r="Q979" t="s">
        <v>5044</v>
      </c>
      <c r="S979">
        <v>28</v>
      </c>
      <c r="T979" t="s">
        <v>5135</v>
      </c>
      <c r="U979">
        <v>3516</v>
      </c>
      <c r="V979">
        <v>3512.5</v>
      </c>
      <c r="W979">
        <v>1.0009999999999999</v>
      </c>
      <c r="X979" t="s">
        <v>70</v>
      </c>
      <c r="Y979" t="s">
        <v>5046</v>
      </c>
      <c r="Z979">
        <v>542.65</v>
      </c>
      <c r="AA979">
        <v>100.47</v>
      </c>
      <c r="AB979">
        <v>54518</v>
      </c>
      <c r="AC979" t="b">
        <v>1</v>
      </c>
      <c r="AD979" t="b">
        <v>1</v>
      </c>
      <c r="AE979" t="b">
        <v>0</v>
      </c>
      <c r="AF979" t="b">
        <v>0</v>
      </c>
      <c r="AG979" t="s">
        <v>58</v>
      </c>
      <c r="AH979">
        <v>14</v>
      </c>
      <c r="AI979" t="s">
        <v>59</v>
      </c>
      <c r="AJ979" t="s">
        <v>71</v>
      </c>
      <c r="AL979" t="s">
        <v>244</v>
      </c>
      <c r="AM979" t="s">
        <v>245</v>
      </c>
      <c r="AN979" t="s">
        <v>63</v>
      </c>
      <c r="AO979" t="s">
        <v>5047</v>
      </c>
      <c r="AP979" t="s">
        <v>5132</v>
      </c>
    </row>
    <row r="980" spans="1:42" x14ac:dyDescent="0.45">
      <c r="A980" t="s">
        <v>5037</v>
      </c>
      <c r="B980" t="s">
        <v>5038</v>
      </c>
      <c r="C980" t="s">
        <v>5039</v>
      </c>
      <c r="D980">
        <v>2024</v>
      </c>
      <c r="E980" t="s">
        <v>45</v>
      </c>
      <c r="F980" t="s">
        <v>46</v>
      </c>
      <c r="J980" t="s">
        <v>5136</v>
      </c>
      <c r="K980" t="s">
        <v>5137</v>
      </c>
      <c r="L980" t="s">
        <v>5138</v>
      </c>
      <c r="M980" t="s">
        <v>5139</v>
      </c>
      <c r="N980" t="s">
        <v>1795</v>
      </c>
      <c r="O980" t="s">
        <v>1796</v>
      </c>
      <c r="P980" t="s">
        <v>53</v>
      </c>
      <c r="Q980" t="s">
        <v>5044</v>
      </c>
      <c r="S980">
        <v>2</v>
      </c>
      <c r="T980" t="s">
        <v>5140</v>
      </c>
      <c r="U980">
        <v>55</v>
      </c>
      <c r="V980">
        <v>3512.5</v>
      </c>
      <c r="W980">
        <v>1.5699999999999999E-2</v>
      </c>
      <c r="X980" t="s">
        <v>56</v>
      </c>
      <c r="Y980" t="s">
        <v>5046</v>
      </c>
      <c r="Z980">
        <v>562.07000000000005</v>
      </c>
      <c r="AA980">
        <v>2.82</v>
      </c>
      <c r="AB980">
        <v>1583</v>
      </c>
      <c r="AC980" t="b">
        <v>0</v>
      </c>
      <c r="AD980" t="b">
        <v>0</v>
      </c>
      <c r="AE980" t="b">
        <v>0</v>
      </c>
      <c r="AF980" t="b">
        <v>0</v>
      </c>
      <c r="AG980" t="s">
        <v>58</v>
      </c>
      <c r="AH980">
        <v>4</v>
      </c>
      <c r="AI980" t="s">
        <v>59</v>
      </c>
      <c r="AJ980" t="s">
        <v>60</v>
      </c>
      <c r="AL980" t="s">
        <v>476</v>
      </c>
      <c r="AM980" t="s">
        <v>245</v>
      </c>
      <c r="AN980" t="s">
        <v>63</v>
      </c>
      <c r="AO980" t="s">
        <v>5047</v>
      </c>
      <c r="AP980" t="s">
        <v>5137</v>
      </c>
    </row>
    <row r="981" spans="1:42" x14ac:dyDescent="0.45">
      <c r="A981" t="s">
        <v>5037</v>
      </c>
      <c r="B981" t="s">
        <v>5038</v>
      </c>
      <c r="C981" t="s">
        <v>5039</v>
      </c>
      <c r="D981">
        <v>2024</v>
      </c>
      <c r="E981" t="s">
        <v>45</v>
      </c>
      <c r="F981" t="s">
        <v>46</v>
      </c>
      <c r="G981">
        <v>9</v>
      </c>
      <c r="J981" t="s">
        <v>5141</v>
      </c>
      <c r="K981" t="s">
        <v>5142</v>
      </c>
      <c r="L981" t="s">
        <v>5143</v>
      </c>
      <c r="M981" t="s">
        <v>5144</v>
      </c>
      <c r="N981" t="s">
        <v>1795</v>
      </c>
      <c r="O981" t="s">
        <v>1796</v>
      </c>
      <c r="P981" t="s">
        <v>53</v>
      </c>
      <c r="Q981" t="s">
        <v>5044</v>
      </c>
      <c r="S981">
        <v>4</v>
      </c>
      <c r="T981" t="s">
        <v>5145</v>
      </c>
      <c r="U981">
        <v>3509</v>
      </c>
      <c r="V981">
        <v>3512.5</v>
      </c>
      <c r="W981">
        <v>0.999</v>
      </c>
      <c r="X981" t="s">
        <v>70</v>
      </c>
      <c r="Y981" t="s">
        <v>5046</v>
      </c>
      <c r="Z981">
        <v>570.66999999999996</v>
      </c>
      <c r="AA981">
        <v>98.91</v>
      </c>
      <c r="AB981">
        <v>56448</v>
      </c>
      <c r="AC981" t="b">
        <v>1</v>
      </c>
      <c r="AD981" t="b">
        <v>1</v>
      </c>
      <c r="AE981" t="b">
        <v>0</v>
      </c>
      <c r="AF981" t="b">
        <v>0</v>
      </c>
      <c r="AG981" t="s">
        <v>58</v>
      </c>
      <c r="AH981">
        <v>14</v>
      </c>
      <c r="AI981" t="s">
        <v>59</v>
      </c>
      <c r="AJ981" t="s">
        <v>71</v>
      </c>
      <c r="AL981" t="s">
        <v>244</v>
      </c>
      <c r="AM981" t="s">
        <v>245</v>
      </c>
      <c r="AN981" t="s">
        <v>63</v>
      </c>
      <c r="AO981" t="s">
        <v>5047</v>
      </c>
      <c r="AP981" t="s">
        <v>5142</v>
      </c>
    </row>
    <row r="982" spans="1:42" x14ac:dyDescent="0.45">
      <c r="A982" t="s">
        <v>5037</v>
      </c>
      <c r="B982" t="s">
        <v>5038</v>
      </c>
      <c r="C982" t="s">
        <v>5039</v>
      </c>
      <c r="D982">
        <v>2024</v>
      </c>
      <c r="E982" t="s">
        <v>45</v>
      </c>
      <c r="F982" t="s">
        <v>46</v>
      </c>
      <c r="G982">
        <v>11</v>
      </c>
      <c r="J982" t="s">
        <v>5146</v>
      </c>
      <c r="K982" t="s">
        <v>5147</v>
      </c>
      <c r="L982" t="s">
        <v>5148</v>
      </c>
      <c r="M982" t="s">
        <v>5149</v>
      </c>
      <c r="N982" t="s">
        <v>1795</v>
      </c>
      <c r="O982" t="s">
        <v>1796</v>
      </c>
      <c r="P982" t="s">
        <v>53</v>
      </c>
      <c r="Q982" t="s">
        <v>5044</v>
      </c>
      <c r="S982">
        <v>0</v>
      </c>
      <c r="T982" t="s">
        <v>5150</v>
      </c>
      <c r="U982">
        <v>3486</v>
      </c>
      <c r="V982">
        <v>3512.5</v>
      </c>
      <c r="W982">
        <v>0.99250000000000005</v>
      </c>
      <c r="X982" t="s">
        <v>70</v>
      </c>
      <c r="Y982" t="s">
        <v>5046</v>
      </c>
      <c r="Z982">
        <v>549.65</v>
      </c>
      <c r="AA982">
        <v>156.44999999999999</v>
      </c>
      <c r="AB982">
        <v>85992</v>
      </c>
      <c r="AC982" t="b">
        <v>1</v>
      </c>
      <c r="AD982" t="b">
        <v>1</v>
      </c>
      <c r="AE982" t="b">
        <v>0</v>
      </c>
      <c r="AF982" t="b">
        <v>0</v>
      </c>
      <c r="AG982" t="s">
        <v>58</v>
      </c>
      <c r="AH982">
        <v>14</v>
      </c>
      <c r="AI982" t="s">
        <v>59</v>
      </c>
      <c r="AJ982" t="s">
        <v>71</v>
      </c>
      <c r="AL982" t="s">
        <v>244</v>
      </c>
      <c r="AM982" t="s">
        <v>245</v>
      </c>
      <c r="AN982" t="s">
        <v>63</v>
      </c>
      <c r="AO982" t="s">
        <v>5047</v>
      </c>
      <c r="AP982" t="s">
        <v>5147</v>
      </c>
    </row>
    <row r="983" spans="1:42" x14ac:dyDescent="0.45">
      <c r="A983" t="s">
        <v>5037</v>
      </c>
      <c r="B983" t="s">
        <v>5038</v>
      </c>
      <c r="C983" t="s">
        <v>5039</v>
      </c>
      <c r="D983">
        <v>2024</v>
      </c>
      <c r="E983" t="s">
        <v>45</v>
      </c>
      <c r="F983" t="s">
        <v>46</v>
      </c>
      <c r="G983">
        <v>10</v>
      </c>
      <c r="J983" t="s">
        <v>5151</v>
      </c>
      <c r="K983" t="s">
        <v>5152</v>
      </c>
      <c r="L983" t="s">
        <v>5153</v>
      </c>
      <c r="M983" t="s">
        <v>5154</v>
      </c>
      <c r="N983" t="s">
        <v>1795</v>
      </c>
      <c r="O983" t="s">
        <v>1796</v>
      </c>
      <c r="P983" t="s">
        <v>53</v>
      </c>
      <c r="Q983" t="s">
        <v>5044</v>
      </c>
      <c r="S983">
        <v>1</v>
      </c>
      <c r="T983" t="s">
        <v>5155</v>
      </c>
      <c r="U983">
        <v>301</v>
      </c>
      <c r="V983">
        <v>3512.5</v>
      </c>
      <c r="W983">
        <v>8.5699999999999998E-2</v>
      </c>
      <c r="X983" t="s">
        <v>56</v>
      </c>
      <c r="Y983" t="s">
        <v>5046</v>
      </c>
      <c r="Z983">
        <v>561.82000000000005</v>
      </c>
      <c r="AA983">
        <v>6.22</v>
      </c>
      <c r="AB983">
        <v>3493</v>
      </c>
      <c r="AC983" t="b">
        <v>1</v>
      </c>
      <c r="AD983" t="b">
        <v>0</v>
      </c>
      <c r="AE983" t="b">
        <v>0</v>
      </c>
      <c r="AF983" t="b">
        <v>0</v>
      </c>
      <c r="AG983" t="s">
        <v>58</v>
      </c>
      <c r="AH983">
        <v>12</v>
      </c>
      <c r="AI983" t="s">
        <v>59</v>
      </c>
      <c r="AJ983" t="s">
        <v>60</v>
      </c>
      <c r="AK983" t="s">
        <v>252</v>
      </c>
      <c r="AL983" t="s">
        <v>415</v>
      </c>
      <c r="AM983" t="s">
        <v>245</v>
      </c>
      <c r="AN983" t="s">
        <v>63</v>
      </c>
      <c r="AO983" t="s">
        <v>5047</v>
      </c>
      <c r="AP983" t="s">
        <v>5152</v>
      </c>
    </row>
    <row r="984" spans="1:42" x14ac:dyDescent="0.45">
      <c r="A984" t="s">
        <v>5037</v>
      </c>
      <c r="B984" t="s">
        <v>5038</v>
      </c>
      <c r="C984" t="s">
        <v>5039</v>
      </c>
      <c r="D984">
        <v>2024</v>
      </c>
      <c r="E984" t="s">
        <v>45</v>
      </c>
      <c r="F984" t="s">
        <v>46</v>
      </c>
      <c r="G984">
        <v>7</v>
      </c>
      <c r="J984" t="s">
        <v>5156</v>
      </c>
      <c r="K984" t="s">
        <v>5157</v>
      </c>
      <c r="L984" t="s">
        <v>5158</v>
      </c>
      <c r="M984" t="s">
        <v>5159</v>
      </c>
      <c r="N984" t="s">
        <v>1795</v>
      </c>
      <c r="O984" t="s">
        <v>1796</v>
      </c>
      <c r="P984" t="s">
        <v>53</v>
      </c>
      <c r="Q984" t="s">
        <v>5044</v>
      </c>
      <c r="S984">
        <v>8</v>
      </c>
      <c r="T984" t="s">
        <v>5160</v>
      </c>
      <c r="U984">
        <v>71</v>
      </c>
      <c r="V984">
        <v>3512.5</v>
      </c>
      <c r="W984">
        <v>2.0199999999999999E-2</v>
      </c>
      <c r="X984" t="s">
        <v>56</v>
      </c>
      <c r="Y984" t="s">
        <v>5046</v>
      </c>
      <c r="Z984">
        <v>582.01</v>
      </c>
      <c r="AA984">
        <v>3.68</v>
      </c>
      <c r="AB984">
        <v>2142</v>
      </c>
      <c r="AC984" t="b">
        <v>1</v>
      </c>
      <c r="AD984" t="b">
        <v>0</v>
      </c>
      <c r="AE984" t="b">
        <v>0</v>
      </c>
      <c r="AF984" t="b">
        <v>0</v>
      </c>
      <c r="AG984" t="s">
        <v>58</v>
      </c>
      <c r="AH984">
        <v>12</v>
      </c>
      <c r="AI984" t="s">
        <v>59</v>
      </c>
      <c r="AJ984" t="s">
        <v>60</v>
      </c>
      <c r="AK984" t="s">
        <v>252</v>
      </c>
      <c r="AL984" t="s">
        <v>415</v>
      </c>
      <c r="AM984" t="s">
        <v>245</v>
      </c>
      <c r="AN984" t="s">
        <v>63</v>
      </c>
      <c r="AO984" t="s">
        <v>5047</v>
      </c>
      <c r="AP984" t="s">
        <v>5157</v>
      </c>
    </row>
    <row r="985" spans="1:42" x14ac:dyDescent="0.45">
      <c r="A985" t="s">
        <v>5037</v>
      </c>
      <c r="B985" t="s">
        <v>5038</v>
      </c>
      <c r="C985" t="s">
        <v>5039</v>
      </c>
      <c r="D985">
        <v>2024</v>
      </c>
      <c r="E985" t="s">
        <v>45</v>
      </c>
      <c r="F985" t="s">
        <v>46</v>
      </c>
      <c r="G985">
        <v>11</v>
      </c>
      <c r="J985" t="s">
        <v>5161</v>
      </c>
      <c r="K985" t="s">
        <v>5162</v>
      </c>
      <c r="L985" t="s">
        <v>5163</v>
      </c>
      <c r="M985" t="s">
        <v>5164</v>
      </c>
      <c r="N985" t="s">
        <v>1795</v>
      </c>
      <c r="O985" t="s">
        <v>1796</v>
      </c>
      <c r="P985" t="s">
        <v>53</v>
      </c>
      <c r="Q985" t="s">
        <v>5044</v>
      </c>
      <c r="S985">
        <v>29</v>
      </c>
      <c r="T985" t="s">
        <v>5165</v>
      </c>
      <c r="U985">
        <v>343</v>
      </c>
      <c r="V985">
        <v>3512.5</v>
      </c>
      <c r="W985">
        <v>9.7699999999999995E-2</v>
      </c>
      <c r="X985" t="s">
        <v>56</v>
      </c>
      <c r="Y985" t="s">
        <v>5046</v>
      </c>
      <c r="Z985">
        <v>541.28</v>
      </c>
      <c r="AA985">
        <v>2.12</v>
      </c>
      <c r="AB985">
        <v>1149</v>
      </c>
      <c r="AC985" t="b">
        <v>1</v>
      </c>
      <c r="AD985" t="b">
        <v>0</v>
      </c>
      <c r="AE985" t="b">
        <v>0</v>
      </c>
      <c r="AF985" t="b">
        <v>0</v>
      </c>
      <c r="AG985" t="s">
        <v>58</v>
      </c>
      <c r="AH985">
        <v>12</v>
      </c>
      <c r="AI985" t="s">
        <v>59</v>
      </c>
      <c r="AJ985" t="s">
        <v>60</v>
      </c>
      <c r="AK985" t="s">
        <v>252</v>
      </c>
      <c r="AL985" t="s">
        <v>415</v>
      </c>
      <c r="AM985" t="s">
        <v>245</v>
      </c>
      <c r="AN985" t="s">
        <v>63</v>
      </c>
      <c r="AO985" t="s">
        <v>5047</v>
      </c>
      <c r="AP985" t="s">
        <v>5162</v>
      </c>
    </row>
    <row r="986" spans="1:42" x14ac:dyDescent="0.45">
      <c r="A986" t="s">
        <v>5037</v>
      </c>
      <c r="B986" t="s">
        <v>5038</v>
      </c>
      <c r="C986" t="s">
        <v>5039</v>
      </c>
      <c r="D986">
        <v>2024</v>
      </c>
      <c r="E986" t="s">
        <v>45</v>
      </c>
      <c r="F986" t="s">
        <v>46</v>
      </c>
      <c r="G986">
        <v>2</v>
      </c>
      <c r="J986" t="s">
        <v>5166</v>
      </c>
      <c r="K986" t="s">
        <v>5167</v>
      </c>
      <c r="L986" t="s">
        <v>5168</v>
      </c>
      <c r="M986" t="s">
        <v>5169</v>
      </c>
      <c r="N986" t="s">
        <v>1795</v>
      </c>
      <c r="O986" t="s">
        <v>1796</v>
      </c>
      <c r="P986" t="s">
        <v>53</v>
      </c>
      <c r="Q986" t="s">
        <v>5044</v>
      </c>
      <c r="S986">
        <v>20</v>
      </c>
      <c r="T986" t="s">
        <v>5170</v>
      </c>
      <c r="U986">
        <v>90</v>
      </c>
      <c r="V986">
        <v>3512.5</v>
      </c>
      <c r="W986">
        <v>2.5600000000000001E-2</v>
      </c>
      <c r="X986" t="s">
        <v>56</v>
      </c>
      <c r="Y986" t="s">
        <v>5046</v>
      </c>
      <c r="Z986">
        <v>618.88</v>
      </c>
      <c r="AA986">
        <v>4.3</v>
      </c>
      <c r="AB986">
        <v>2661</v>
      </c>
      <c r="AC986" t="b">
        <v>1</v>
      </c>
      <c r="AD986" t="b">
        <v>0</v>
      </c>
      <c r="AE986" t="b">
        <v>0</v>
      </c>
      <c r="AF986" t="b">
        <v>0</v>
      </c>
      <c r="AG986" t="s">
        <v>58</v>
      </c>
      <c r="AH986">
        <v>12</v>
      </c>
      <c r="AI986" t="s">
        <v>59</v>
      </c>
      <c r="AJ986" t="s">
        <v>60</v>
      </c>
      <c r="AK986" t="s">
        <v>252</v>
      </c>
      <c r="AL986" t="s">
        <v>415</v>
      </c>
      <c r="AM986" t="s">
        <v>245</v>
      </c>
      <c r="AN986" t="s">
        <v>63</v>
      </c>
      <c r="AO986" t="s">
        <v>5047</v>
      </c>
      <c r="AP986" t="s">
        <v>5167</v>
      </c>
    </row>
    <row r="987" spans="1:42" x14ac:dyDescent="0.45">
      <c r="A987" t="s">
        <v>5037</v>
      </c>
      <c r="B987" t="s">
        <v>5038</v>
      </c>
      <c r="C987" t="s">
        <v>5039</v>
      </c>
      <c r="D987">
        <v>2024</v>
      </c>
      <c r="E987" t="s">
        <v>45</v>
      </c>
      <c r="F987" t="s">
        <v>46</v>
      </c>
      <c r="J987" t="s">
        <v>5171</v>
      </c>
      <c r="K987" t="s">
        <v>5172</v>
      </c>
      <c r="L987" t="s">
        <v>5173</v>
      </c>
      <c r="M987" t="s">
        <v>5174</v>
      </c>
      <c r="N987" t="s">
        <v>1795</v>
      </c>
      <c r="O987" t="s">
        <v>1796</v>
      </c>
      <c r="P987" t="s">
        <v>53</v>
      </c>
      <c r="Q987" t="s">
        <v>5044</v>
      </c>
      <c r="S987">
        <v>26</v>
      </c>
      <c r="T987" t="s">
        <v>5175</v>
      </c>
      <c r="U987">
        <v>47</v>
      </c>
      <c r="V987">
        <v>3512.5</v>
      </c>
      <c r="W987">
        <v>1.34E-2</v>
      </c>
      <c r="X987" t="s">
        <v>56</v>
      </c>
      <c r="Y987" t="s">
        <v>5046</v>
      </c>
      <c r="Z987">
        <v>544.99</v>
      </c>
      <c r="AA987">
        <v>33.86</v>
      </c>
      <c r="AB987">
        <v>18452</v>
      </c>
      <c r="AC987" t="b">
        <v>0</v>
      </c>
      <c r="AD987" t="b">
        <v>0</v>
      </c>
      <c r="AE987" t="b">
        <v>0</v>
      </c>
      <c r="AF987" t="b">
        <v>0</v>
      </c>
      <c r="AG987" t="s">
        <v>58</v>
      </c>
      <c r="AH987">
        <v>8</v>
      </c>
      <c r="AI987" t="s">
        <v>169</v>
      </c>
      <c r="AJ987" t="s">
        <v>60</v>
      </c>
      <c r="AL987" t="s">
        <v>380</v>
      </c>
      <c r="AM987" t="s">
        <v>245</v>
      </c>
      <c r="AN987" t="s">
        <v>63</v>
      </c>
      <c r="AO987" t="s">
        <v>5047</v>
      </c>
      <c r="AP987" t="s">
        <v>5172</v>
      </c>
    </row>
    <row r="988" spans="1:42" x14ac:dyDescent="0.45">
      <c r="A988" t="s">
        <v>5037</v>
      </c>
      <c r="B988" t="s">
        <v>5038</v>
      </c>
      <c r="C988" t="s">
        <v>5039</v>
      </c>
      <c r="D988">
        <v>2024</v>
      </c>
      <c r="E988" t="s">
        <v>45</v>
      </c>
      <c r="F988" t="s">
        <v>46</v>
      </c>
      <c r="G988">
        <v>11</v>
      </c>
      <c r="J988" t="e">
        <v>#NAME?</v>
      </c>
      <c r="K988" t="s">
        <v>5176</v>
      </c>
      <c r="L988" t="s">
        <v>5177</v>
      </c>
      <c r="M988" t="s">
        <v>5178</v>
      </c>
      <c r="N988" t="s">
        <v>1795</v>
      </c>
      <c r="O988" t="s">
        <v>1796</v>
      </c>
      <c r="P988" t="s">
        <v>53</v>
      </c>
      <c r="Q988" t="s">
        <v>5044</v>
      </c>
      <c r="S988">
        <v>24</v>
      </c>
      <c r="T988" t="s">
        <v>5179</v>
      </c>
      <c r="U988">
        <v>420</v>
      </c>
      <c r="V988">
        <v>3512.5</v>
      </c>
      <c r="W988">
        <v>0.1196</v>
      </c>
      <c r="X988" t="s">
        <v>56</v>
      </c>
      <c r="Y988" t="s">
        <v>5046</v>
      </c>
      <c r="Z988">
        <v>545.88</v>
      </c>
      <c r="AA988">
        <v>3.46</v>
      </c>
      <c r="AB988">
        <v>1888</v>
      </c>
      <c r="AC988" t="b">
        <v>1</v>
      </c>
      <c r="AD988" t="b">
        <v>0</v>
      </c>
      <c r="AE988" t="b">
        <v>0</v>
      </c>
      <c r="AF988" t="b">
        <v>0</v>
      </c>
      <c r="AG988" t="s">
        <v>58</v>
      </c>
      <c r="AH988">
        <v>12</v>
      </c>
      <c r="AI988" t="s">
        <v>59</v>
      </c>
      <c r="AJ988" t="s">
        <v>60</v>
      </c>
      <c r="AK988" t="s">
        <v>252</v>
      </c>
      <c r="AL988" t="s">
        <v>415</v>
      </c>
      <c r="AM988" t="s">
        <v>245</v>
      </c>
      <c r="AN988" t="s">
        <v>63</v>
      </c>
      <c r="AO988" t="s">
        <v>5047</v>
      </c>
      <c r="AP988" t="s">
        <v>5176</v>
      </c>
    </row>
    <row r="989" spans="1:42" x14ac:dyDescent="0.45">
      <c r="A989" t="s">
        <v>5037</v>
      </c>
      <c r="B989" t="s">
        <v>5038</v>
      </c>
      <c r="C989" t="s">
        <v>5039</v>
      </c>
      <c r="D989">
        <v>2024</v>
      </c>
      <c r="E989" t="s">
        <v>45</v>
      </c>
      <c r="F989" t="s">
        <v>46</v>
      </c>
      <c r="J989" t="s">
        <v>5180</v>
      </c>
      <c r="K989" t="s">
        <v>5181</v>
      </c>
      <c r="L989" t="s">
        <v>5182</v>
      </c>
      <c r="M989" t="s">
        <v>5183</v>
      </c>
      <c r="N989" t="s">
        <v>1795</v>
      </c>
      <c r="O989" t="s">
        <v>1796</v>
      </c>
      <c r="P989" t="s">
        <v>53</v>
      </c>
      <c r="Q989" t="s">
        <v>5044</v>
      </c>
      <c r="S989">
        <v>22</v>
      </c>
      <c r="T989" t="s">
        <v>5184</v>
      </c>
      <c r="U989">
        <v>199</v>
      </c>
      <c r="V989">
        <v>3512.5</v>
      </c>
      <c r="W989">
        <v>5.67E-2</v>
      </c>
      <c r="X989" t="s">
        <v>56</v>
      </c>
      <c r="Y989" t="s">
        <v>5046</v>
      </c>
      <c r="Z989">
        <v>625.95000000000005</v>
      </c>
      <c r="AA989">
        <v>12.68</v>
      </c>
      <c r="AB989">
        <v>7935</v>
      </c>
      <c r="AC989" t="b">
        <v>0</v>
      </c>
      <c r="AD989" t="b">
        <v>0</v>
      </c>
      <c r="AE989" t="b">
        <v>0</v>
      </c>
      <c r="AF989" t="b">
        <v>0</v>
      </c>
      <c r="AG989" t="s">
        <v>58</v>
      </c>
      <c r="AH989">
        <v>8</v>
      </c>
      <c r="AI989" t="s">
        <v>169</v>
      </c>
      <c r="AJ989" t="s">
        <v>60</v>
      </c>
      <c r="AL989" t="s">
        <v>380</v>
      </c>
      <c r="AM989" t="s">
        <v>245</v>
      </c>
      <c r="AN989" t="s">
        <v>63</v>
      </c>
      <c r="AO989" t="s">
        <v>5047</v>
      </c>
      <c r="AP989" t="s">
        <v>5181</v>
      </c>
    </row>
    <row r="990" spans="1:42" x14ac:dyDescent="0.45">
      <c r="A990" t="s">
        <v>5037</v>
      </c>
      <c r="B990" t="s">
        <v>5038</v>
      </c>
      <c r="C990" t="s">
        <v>5039</v>
      </c>
      <c r="D990">
        <v>2024</v>
      </c>
      <c r="E990" t="s">
        <v>45</v>
      </c>
      <c r="F990" t="s">
        <v>46</v>
      </c>
      <c r="G990">
        <v>4</v>
      </c>
      <c r="J990" t="s">
        <v>5185</v>
      </c>
      <c r="K990" t="s">
        <v>5186</v>
      </c>
      <c r="L990" t="s">
        <v>5187</v>
      </c>
      <c r="M990" t="s">
        <v>5188</v>
      </c>
      <c r="N990" t="s">
        <v>1795</v>
      </c>
      <c r="O990" t="s">
        <v>1796</v>
      </c>
      <c r="P990" t="s">
        <v>53</v>
      </c>
      <c r="Q990" t="s">
        <v>5044</v>
      </c>
      <c r="S990">
        <v>9</v>
      </c>
      <c r="T990" t="s">
        <v>5189</v>
      </c>
      <c r="U990">
        <v>225</v>
      </c>
      <c r="V990">
        <v>3512.5</v>
      </c>
      <c r="W990">
        <v>6.4100000000000004E-2</v>
      </c>
      <c r="X990" t="s">
        <v>56</v>
      </c>
      <c r="Y990" t="s">
        <v>5046</v>
      </c>
      <c r="Z990">
        <v>587.11</v>
      </c>
      <c r="AA990">
        <v>3.85</v>
      </c>
      <c r="AB990">
        <v>2259</v>
      </c>
      <c r="AC990" t="b">
        <v>1</v>
      </c>
      <c r="AD990" t="b">
        <v>0</v>
      </c>
      <c r="AE990" t="b">
        <v>0</v>
      </c>
      <c r="AF990" t="b">
        <v>0</v>
      </c>
      <c r="AG990" t="s">
        <v>58</v>
      </c>
      <c r="AH990">
        <v>12</v>
      </c>
      <c r="AI990" t="s">
        <v>59</v>
      </c>
      <c r="AJ990" t="s">
        <v>60</v>
      </c>
      <c r="AK990" t="s">
        <v>252</v>
      </c>
      <c r="AL990" t="s">
        <v>415</v>
      </c>
      <c r="AM990" t="s">
        <v>245</v>
      </c>
      <c r="AN990" t="s">
        <v>63</v>
      </c>
      <c r="AO990" t="s">
        <v>5047</v>
      </c>
      <c r="AP990" t="s">
        <v>5186</v>
      </c>
    </row>
    <row r="991" spans="1:42" x14ac:dyDescent="0.45">
      <c r="A991" t="s">
        <v>5190</v>
      </c>
      <c r="B991" t="s">
        <v>5191</v>
      </c>
      <c r="C991" t="s">
        <v>5192</v>
      </c>
      <c r="D991">
        <v>2023</v>
      </c>
      <c r="E991" t="s">
        <v>45</v>
      </c>
      <c r="F991" t="s">
        <v>2020</v>
      </c>
      <c r="G991">
        <v>4</v>
      </c>
      <c r="J991" t="s">
        <v>5193</v>
      </c>
      <c r="K991" t="s">
        <v>5194</v>
      </c>
      <c r="L991" t="s">
        <v>5195</v>
      </c>
      <c r="M991" t="s">
        <v>5196</v>
      </c>
      <c r="N991" t="s">
        <v>1795</v>
      </c>
      <c r="O991" t="s">
        <v>1796</v>
      </c>
      <c r="P991" t="s">
        <v>53</v>
      </c>
      <c r="Q991" t="s">
        <v>5197</v>
      </c>
      <c r="S991">
        <v>20</v>
      </c>
      <c r="T991" t="s">
        <v>5198</v>
      </c>
      <c r="U991">
        <v>328</v>
      </c>
      <c r="V991">
        <v>4791.5</v>
      </c>
      <c r="W991">
        <v>6.8500000000000005E-2</v>
      </c>
      <c r="X991" t="s">
        <v>56</v>
      </c>
      <c r="Y991" t="s">
        <v>5199</v>
      </c>
      <c r="Z991">
        <v>1120.74</v>
      </c>
      <c r="AA991">
        <v>4.84</v>
      </c>
      <c r="AB991">
        <v>5429</v>
      </c>
      <c r="AC991" t="b">
        <v>1</v>
      </c>
      <c r="AD991" t="b">
        <v>0</v>
      </c>
      <c r="AE991" t="b">
        <v>0</v>
      </c>
      <c r="AF991" t="b">
        <v>0</v>
      </c>
      <c r="AG991" t="s">
        <v>58</v>
      </c>
      <c r="AH991">
        <v>18</v>
      </c>
      <c r="AI991" t="s">
        <v>59</v>
      </c>
      <c r="AJ991" t="s">
        <v>60</v>
      </c>
      <c r="AK991" t="s">
        <v>252</v>
      </c>
      <c r="AL991" t="s">
        <v>1299</v>
      </c>
      <c r="AM991" t="s">
        <v>62</v>
      </c>
      <c r="AN991" t="s">
        <v>63</v>
      </c>
      <c r="AO991" t="s">
        <v>5200</v>
      </c>
      <c r="AP991" t="s">
        <v>5194</v>
      </c>
    </row>
    <row r="992" spans="1:42" x14ac:dyDescent="0.45">
      <c r="A992" t="s">
        <v>5190</v>
      </c>
      <c r="B992" t="s">
        <v>5191</v>
      </c>
      <c r="C992" t="s">
        <v>5192</v>
      </c>
      <c r="D992">
        <v>2023</v>
      </c>
      <c r="E992" t="s">
        <v>45</v>
      </c>
      <c r="F992" t="s">
        <v>2020</v>
      </c>
      <c r="G992">
        <v>3</v>
      </c>
      <c r="J992" t="s">
        <v>5201</v>
      </c>
      <c r="K992" t="s">
        <v>5202</v>
      </c>
      <c r="L992" t="s">
        <v>5203</v>
      </c>
      <c r="M992" t="s">
        <v>5204</v>
      </c>
      <c r="N992" t="s">
        <v>1795</v>
      </c>
      <c r="O992" t="s">
        <v>1796</v>
      </c>
      <c r="P992" t="s">
        <v>53</v>
      </c>
      <c r="Q992" t="s">
        <v>5197</v>
      </c>
      <c r="S992">
        <v>10</v>
      </c>
      <c r="T992" t="s">
        <v>5205</v>
      </c>
      <c r="U992">
        <v>220</v>
      </c>
      <c r="V992">
        <v>4791.5</v>
      </c>
      <c r="W992">
        <v>4.5900000000000003E-2</v>
      </c>
      <c r="X992" t="s">
        <v>56</v>
      </c>
      <c r="Y992" t="s">
        <v>5199</v>
      </c>
      <c r="Z992">
        <v>1128.94</v>
      </c>
      <c r="AA992">
        <v>1.1599999999999999</v>
      </c>
      <c r="AB992">
        <v>1313</v>
      </c>
      <c r="AC992" t="b">
        <v>1</v>
      </c>
      <c r="AD992" t="b">
        <v>0</v>
      </c>
      <c r="AE992" t="b">
        <v>0</v>
      </c>
      <c r="AF992" t="b">
        <v>0</v>
      </c>
      <c r="AG992" t="s">
        <v>58</v>
      </c>
      <c r="AH992">
        <v>18</v>
      </c>
      <c r="AI992" t="s">
        <v>59</v>
      </c>
      <c r="AJ992" t="s">
        <v>60</v>
      </c>
      <c r="AK992" t="s">
        <v>252</v>
      </c>
      <c r="AL992" t="s">
        <v>1299</v>
      </c>
      <c r="AM992" t="s">
        <v>62</v>
      </c>
      <c r="AN992" t="s">
        <v>63</v>
      </c>
      <c r="AO992" t="s">
        <v>5200</v>
      </c>
      <c r="AP992" t="s">
        <v>5202</v>
      </c>
    </row>
    <row r="993" spans="1:42" x14ac:dyDescent="0.45">
      <c r="A993" t="s">
        <v>5190</v>
      </c>
      <c r="B993" t="s">
        <v>5191</v>
      </c>
      <c r="C993" t="s">
        <v>5192</v>
      </c>
      <c r="D993">
        <v>2023</v>
      </c>
      <c r="E993" t="s">
        <v>45</v>
      </c>
      <c r="F993" t="s">
        <v>2020</v>
      </c>
      <c r="G993">
        <v>5</v>
      </c>
      <c r="J993" t="s">
        <v>5206</v>
      </c>
      <c r="K993" t="s">
        <v>5207</v>
      </c>
      <c r="L993" t="s">
        <v>5208</v>
      </c>
      <c r="M993" t="s">
        <v>5209</v>
      </c>
      <c r="N993" t="s">
        <v>1795</v>
      </c>
      <c r="O993" t="s">
        <v>1796</v>
      </c>
      <c r="P993" t="s">
        <v>53</v>
      </c>
      <c r="Q993" t="s">
        <v>5197</v>
      </c>
      <c r="S993">
        <v>23</v>
      </c>
      <c r="T993" t="s">
        <v>5210</v>
      </c>
      <c r="U993">
        <v>236</v>
      </c>
      <c r="V993">
        <v>4791.5</v>
      </c>
      <c r="W993">
        <v>4.9299999999999997E-2</v>
      </c>
      <c r="X993" t="s">
        <v>56</v>
      </c>
      <c r="Y993" t="s">
        <v>5199</v>
      </c>
      <c r="Z993">
        <v>1110.9100000000001</v>
      </c>
      <c r="AA993">
        <v>3.44</v>
      </c>
      <c r="AB993">
        <v>3826</v>
      </c>
      <c r="AC993" t="b">
        <v>1</v>
      </c>
      <c r="AD993" t="b">
        <v>0</v>
      </c>
      <c r="AE993" t="b">
        <v>0</v>
      </c>
      <c r="AF993" t="b">
        <v>0</v>
      </c>
      <c r="AG993" t="s">
        <v>58</v>
      </c>
      <c r="AH993">
        <v>18</v>
      </c>
      <c r="AI993" t="s">
        <v>59</v>
      </c>
      <c r="AJ993" t="s">
        <v>60</v>
      </c>
      <c r="AK993" t="s">
        <v>252</v>
      </c>
      <c r="AL993" t="s">
        <v>1299</v>
      </c>
      <c r="AM993" t="s">
        <v>62</v>
      </c>
      <c r="AN993" t="s">
        <v>63</v>
      </c>
      <c r="AO993" t="s">
        <v>5200</v>
      </c>
      <c r="AP993" t="s">
        <v>5207</v>
      </c>
    </row>
    <row r="994" spans="1:42" x14ac:dyDescent="0.45">
      <c r="A994" t="s">
        <v>5190</v>
      </c>
      <c r="B994" t="s">
        <v>5191</v>
      </c>
      <c r="C994" t="s">
        <v>5192</v>
      </c>
      <c r="D994">
        <v>2023</v>
      </c>
      <c r="E994" t="s">
        <v>45</v>
      </c>
      <c r="F994" t="s">
        <v>2020</v>
      </c>
      <c r="J994" t="s">
        <v>5211</v>
      </c>
      <c r="K994" t="s">
        <v>5212</v>
      </c>
      <c r="L994" t="s">
        <v>5213</v>
      </c>
      <c r="M994" t="s">
        <v>5214</v>
      </c>
      <c r="N994" t="s">
        <v>1795</v>
      </c>
      <c r="O994" t="s">
        <v>1796</v>
      </c>
      <c r="P994" t="s">
        <v>53</v>
      </c>
      <c r="Q994" t="s">
        <v>5197</v>
      </c>
      <c r="S994">
        <v>17</v>
      </c>
      <c r="T994" t="s">
        <v>5215</v>
      </c>
      <c r="U994">
        <v>60</v>
      </c>
      <c r="V994">
        <v>4791.5</v>
      </c>
      <c r="W994">
        <v>1.2500000000000001E-2</v>
      </c>
      <c r="X994" t="s">
        <v>56</v>
      </c>
      <c r="Y994" t="s">
        <v>5199</v>
      </c>
      <c r="Z994">
        <v>1121.79</v>
      </c>
      <c r="AA994">
        <v>5.64</v>
      </c>
      <c r="AB994">
        <v>6325</v>
      </c>
      <c r="AC994" t="b">
        <v>0</v>
      </c>
      <c r="AD994" t="b">
        <v>0</v>
      </c>
      <c r="AE994" t="b">
        <v>0</v>
      </c>
      <c r="AF994" t="b">
        <v>0</v>
      </c>
      <c r="AG994" t="s">
        <v>58</v>
      </c>
      <c r="AH994">
        <v>10</v>
      </c>
      <c r="AI994" t="s">
        <v>59</v>
      </c>
      <c r="AJ994" t="s">
        <v>60</v>
      </c>
      <c r="AL994" t="s">
        <v>61</v>
      </c>
      <c r="AM994" t="s">
        <v>62</v>
      </c>
      <c r="AN994" t="s">
        <v>63</v>
      </c>
      <c r="AO994" t="s">
        <v>5200</v>
      </c>
      <c r="AP994" t="s">
        <v>5212</v>
      </c>
    </row>
    <row r="995" spans="1:42" x14ac:dyDescent="0.45">
      <c r="A995" t="s">
        <v>5190</v>
      </c>
      <c r="B995" t="s">
        <v>5191</v>
      </c>
      <c r="C995" t="s">
        <v>5192</v>
      </c>
      <c r="D995">
        <v>2023</v>
      </c>
      <c r="E995" t="s">
        <v>45</v>
      </c>
      <c r="F995" t="s">
        <v>2020</v>
      </c>
      <c r="G995">
        <v>2</v>
      </c>
      <c r="J995" t="s">
        <v>5216</v>
      </c>
      <c r="K995" t="s">
        <v>5217</v>
      </c>
      <c r="L995" t="s">
        <v>5218</v>
      </c>
      <c r="M995" t="s">
        <v>5219</v>
      </c>
      <c r="N995" t="s">
        <v>1795</v>
      </c>
      <c r="O995" t="s">
        <v>1796</v>
      </c>
      <c r="P995" t="s">
        <v>53</v>
      </c>
      <c r="Q995" t="s">
        <v>5197</v>
      </c>
      <c r="S995">
        <v>6</v>
      </c>
      <c r="T995" t="s">
        <v>5220</v>
      </c>
      <c r="U995">
        <v>250</v>
      </c>
      <c r="V995">
        <v>4791.5</v>
      </c>
      <c r="W995">
        <v>5.2200000000000003E-2</v>
      </c>
      <c r="X995" t="s">
        <v>56</v>
      </c>
      <c r="Y995" t="s">
        <v>5199</v>
      </c>
      <c r="Z995">
        <v>1134.9100000000001</v>
      </c>
      <c r="AA995">
        <v>2.66</v>
      </c>
      <c r="AB995">
        <v>3024</v>
      </c>
      <c r="AC995" t="b">
        <v>1</v>
      </c>
      <c r="AD995" t="b">
        <v>0</v>
      </c>
      <c r="AE995" t="b">
        <v>0</v>
      </c>
      <c r="AF995" t="b">
        <v>0</v>
      </c>
      <c r="AG995" t="s">
        <v>58</v>
      </c>
      <c r="AH995">
        <v>18</v>
      </c>
      <c r="AI995" t="s">
        <v>59</v>
      </c>
      <c r="AJ995" t="s">
        <v>60</v>
      </c>
      <c r="AK995" t="s">
        <v>252</v>
      </c>
      <c r="AL995" t="s">
        <v>1299</v>
      </c>
      <c r="AM995" t="s">
        <v>62</v>
      </c>
      <c r="AN995" t="s">
        <v>63</v>
      </c>
      <c r="AO995" t="s">
        <v>5200</v>
      </c>
      <c r="AP995" t="s">
        <v>5217</v>
      </c>
    </row>
    <row r="996" spans="1:42" x14ac:dyDescent="0.45">
      <c r="A996" t="s">
        <v>5190</v>
      </c>
      <c r="B996" t="s">
        <v>5191</v>
      </c>
      <c r="C996" t="s">
        <v>5192</v>
      </c>
      <c r="D996">
        <v>2023</v>
      </c>
      <c r="E996" t="s">
        <v>45</v>
      </c>
      <c r="F996" t="s">
        <v>2020</v>
      </c>
      <c r="J996" t="e">
        <v>#NAME?</v>
      </c>
      <c r="K996" t="s">
        <v>5221</v>
      </c>
      <c r="L996" t="s">
        <v>5222</v>
      </c>
      <c r="M996" t="s">
        <v>5223</v>
      </c>
      <c r="N996" t="s">
        <v>1795</v>
      </c>
      <c r="O996" t="s">
        <v>1796</v>
      </c>
      <c r="P996" t="s">
        <v>53</v>
      </c>
      <c r="Q996" t="s">
        <v>5197</v>
      </c>
      <c r="S996">
        <v>18</v>
      </c>
      <c r="T996" t="s">
        <v>5224</v>
      </c>
      <c r="U996">
        <v>56</v>
      </c>
      <c r="V996">
        <v>4791.5</v>
      </c>
      <c r="W996">
        <v>1.17E-2</v>
      </c>
      <c r="X996" t="s">
        <v>56</v>
      </c>
      <c r="Y996" t="s">
        <v>5199</v>
      </c>
      <c r="Z996">
        <v>1121.71</v>
      </c>
      <c r="AA996">
        <v>5.37</v>
      </c>
      <c r="AB996">
        <v>6019</v>
      </c>
      <c r="AC996" t="b">
        <v>0</v>
      </c>
      <c r="AD996" t="b">
        <v>0</v>
      </c>
      <c r="AE996" t="b">
        <v>0</v>
      </c>
      <c r="AF996" t="b">
        <v>0</v>
      </c>
      <c r="AG996" t="s">
        <v>58</v>
      </c>
      <c r="AH996">
        <v>10</v>
      </c>
      <c r="AI996" t="s">
        <v>59</v>
      </c>
      <c r="AJ996" t="s">
        <v>60</v>
      </c>
      <c r="AL996" t="s">
        <v>61</v>
      </c>
      <c r="AM996" t="s">
        <v>62</v>
      </c>
      <c r="AN996" t="s">
        <v>63</v>
      </c>
      <c r="AO996" t="s">
        <v>5200</v>
      </c>
      <c r="AP996" t="s">
        <v>5221</v>
      </c>
    </row>
    <row r="997" spans="1:42" x14ac:dyDescent="0.45">
      <c r="A997" t="s">
        <v>5190</v>
      </c>
      <c r="B997" t="s">
        <v>5191</v>
      </c>
      <c r="C997" t="s">
        <v>5192</v>
      </c>
      <c r="D997">
        <v>2023</v>
      </c>
      <c r="E997" t="s">
        <v>45</v>
      </c>
      <c r="F997" t="s">
        <v>2020</v>
      </c>
      <c r="G997">
        <v>4</v>
      </c>
      <c r="J997" t="s">
        <v>5225</v>
      </c>
      <c r="K997" t="s">
        <v>5226</v>
      </c>
      <c r="L997" t="s">
        <v>5227</v>
      </c>
      <c r="M997" t="s">
        <v>5228</v>
      </c>
      <c r="N997" t="s">
        <v>1795</v>
      </c>
      <c r="O997" t="s">
        <v>1796</v>
      </c>
      <c r="P997" t="s">
        <v>53</v>
      </c>
      <c r="Q997" t="s">
        <v>5197</v>
      </c>
      <c r="S997">
        <v>14</v>
      </c>
      <c r="T997" t="s">
        <v>5229</v>
      </c>
      <c r="U997">
        <v>4796</v>
      </c>
      <c r="V997">
        <v>4791.5</v>
      </c>
      <c r="W997">
        <v>1.0008999999999999</v>
      </c>
      <c r="X997" t="s">
        <v>70</v>
      </c>
      <c r="Y997" t="s">
        <v>5199</v>
      </c>
      <c r="Z997">
        <v>1122.69</v>
      </c>
      <c r="AA997">
        <v>66.47</v>
      </c>
      <c r="AB997">
        <v>74628</v>
      </c>
      <c r="AC997" t="b">
        <v>1</v>
      </c>
      <c r="AD997" t="b">
        <v>1</v>
      </c>
      <c r="AE997" t="b">
        <v>0</v>
      </c>
      <c r="AF997" t="b">
        <v>0</v>
      </c>
      <c r="AG997" t="s">
        <v>58</v>
      </c>
      <c r="AH997">
        <v>20</v>
      </c>
      <c r="AI997" t="s">
        <v>59</v>
      </c>
      <c r="AJ997" t="s">
        <v>71</v>
      </c>
      <c r="AL997" t="s">
        <v>72</v>
      </c>
      <c r="AM997" t="s">
        <v>62</v>
      </c>
      <c r="AN997" t="s">
        <v>63</v>
      </c>
      <c r="AO997" t="s">
        <v>5200</v>
      </c>
      <c r="AP997" t="s">
        <v>5226</v>
      </c>
    </row>
    <row r="998" spans="1:42" x14ac:dyDescent="0.45">
      <c r="A998" t="s">
        <v>5190</v>
      </c>
      <c r="B998" t="s">
        <v>5191</v>
      </c>
      <c r="C998" t="s">
        <v>5192</v>
      </c>
      <c r="D998">
        <v>2023</v>
      </c>
      <c r="E998" t="s">
        <v>45</v>
      </c>
      <c r="F998" t="s">
        <v>2020</v>
      </c>
      <c r="G998">
        <v>2</v>
      </c>
      <c r="J998" t="s">
        <v>5230</v>
      </c>
      <c r="K998" t="s">
        <v>5231</v>
      </c>
      <c r="L998" t="s">
        <v>5232</v>
      </c>
      <c r="M998" t="s">
        <v>5233</v>
      </c>
      <c r="N998" t="s">
        <v>1795</v>
      </c>
      <c r="O998" t="s">
        <v>1796</v>
      </c>
      <c r="P998" t="s">
        <v>53</v>
      </c>
      <c r="Q998" t="s">
        <v>5197</v>
      </c>
      <c r="S998">
        <v>8</v>
      </c>
      <c r="T998" t="s">
        <v>5234</v>
      </c>
      <c r="U998">
        <v>333</v>
      </c>
      <c r="V998">
        <v>4791.5</v>
      </c>
      <c r="W998">
        <v>6.9500000000000006E-2</v>
      </c>
      <c r="X998" t="s">
        <v>56</v>
      </c>
      <c r="Y998" t="s">
        <v>5199</v>
      </c>
      <c r="Z998">
        <v>1133.94</v>
      </c>
      <c r="AA998">
        <v>2</v>
      </c>
      <c r="AB998">
        <v>2266</v>
      </c>
      <c r="AC998" t="b">
        <v>1</v>
      </c>
      <c r="AD998" t="b">
        <v>0</v>
      </c>
      <c r="AE998" t="b">
        <v>0</v>
      </c>
      <c r="AF998" t="b">
        <v>0</v>
      </c>
      <c r="AG998" t="s">
        <v>58</v>
      </c>
      <c r="AH998">
        <v>18</v>
      </c>
      <c r="AI998" t="s">
        <v>59</v>
      </c>
      <c r="AJ998" t="s">
        <v>60</v>
      </c>
      <c r="AK998" t="s">
        <v>252</v>
      </c>
      <c r="AL998" t="s">
        <v>1299</v>
      </c>
      <c r="AM998" t="s">
        <v>62</v>
      </c>
      <c r="AN998" t="s">
        <v>63</v>
      </c>
      <c r="AO998" t="s">
        <v>5200</v>
      </c>
      <c r="AP998" t="s">
        <v>5231</v>
      </c>
    </row>
    <row r="999" spans="1:42" x14ac:dyDescent="0.45">
      <c r="A999" t="s">
        <v>5190</v>
      </c>
      <c r="B999" t="s">
        <v>5191</v>
      </c>
      <c r="C999" t="s">
        <v>5192</v>
      </c>
      <c r="D999">
        <v>2023</v>
      </c>
      <c r="E999" t="s">
        <v>45</v>
      </c>
      <c r="F999" t="s">
        <v>2020</v>
      </c>
      <c r="G999">
        <v>4</v>
      </c>
      <c r="J999" t="s">
        <v>5235</v>
      </c>
      <c r="K999" t="s">
        <v>5236</v>
      </c>
      <c r="L999" t="s">
        <v>5237</v>
      </c>
      <c r="M999" t="s">
        <v>5238</v>
      </c>
      <c r="N999" t="s">
        <v>1795</v>
      </c>
      <c r="O999" t="s">
        <v>1796</v>
      </c>
      <c r="P999" t="s">
        <v>53</v>
      </c>
      <c r="Q999" t="s">
        <v>5197</v>
      </c>
      <c r="S999">
        <v>19</v>
      </c>
      <c r="T999" t="s">
        <v>5239</v>
      </c>
      <c r="U999">
        <v>604</v>
      </c>
      <c r="V999">
        <v>4791.5</v>
      </c>
      <c r="W999">
        <v>0.12609999999999999</v>
      </c>
      <c r="X999" t="s">
        <v>56</v>
      </c>
      <c r="Y999" t="s">
        <v>5199</v>
      </c>
      <c r="Z999">
        <v>1120.9000000000001</v>
      </c>
      <c r="AA999">
        <v>1</v>
      </c>
      <c r="AB999">
        <v>1118</v>
      </c>
      <c r="AC999" t="b">
        <v>1</v>
      </c>
      <c r="AD999" t="b">
        <v>0</v>
      </c>
      <c r="AE999" t="b">
        <v>0</v>
      </c>
      <c r="AF999" t="b">
        <v>0</v>
      </c>
      <c r="AG999" t="s">
        <v>58</v>
      </c>
      <c r="AH999">
        <v>18</v>
      </c>
      <c r="AI999" t="s">
        <v>59</v>
      </c>
      <c r="AJ999" t="s">
        <v>60</v>
      </c>
      <c r="AK999" t="s">
        <v>252</v>
      </c>
      <c r="AL999" t="s">
        <v>1299</v>
      </c>
      <c r="AM999" t="s">
        <v>62</v>
      </c>
      <c r="AN999" t="s">
        <v>63</v>
      </c>
      <c r="AO999" t="s">
        <v>5200</v>
      </c>
      <c r="AP999" t="s">
        <v>5236</v>
      </c>
    </row>
    <row r="1000" spans="1:42" x14ac:dyDescent="0.45">
      <c r="A1000" t="s">
        <v>5190</v>
      </c>
      <c r="B1000" t="s">
        <v>5191</v>
      </c>
      <c r="C1000" t="s">
        <v>5192</v>
      </c>
      <c r="D1000">
        <v>2023</v>
      </c>
      <c r="E1000" t="s">
        <v>45</v>
      </c>
      <c r="F1000" t="s">
        <v>2020</v>
      </c>
      <c r="G1000">
        <v>3</v>
      </c>
      <c r="J1000" t="s">
        <v>5240</v>
      </c>
      <c r="K1000" t="s">
        <v>5241</v>
      </c>
      <c r="L1000" t="s">
        <v>5242</v>
      </c>
      <c r="M1000" t="s">
        <v>5243</v>
      </c>
      <c r="N1000" t="s">
        <v>1795</v>
      </c>
      <c r="O1000" t="s">
        <v>1796</v>
      </c>
      <c r="P1000" t="s">
        <v>53</v>
      </c>
      <c r="Q1000" t="s">
        <v>5197</v>
      </c>
      <c r="S1000">
        <v>13</v>
      </c>
      <c r="T1000" t="s">
        <v>5244</v>
      </c>
      <c r="U1000">
        <v>344</v>
      </c>
      <c r="V1000">
        <v>4791.5</v>
      </c>
      <c r="W1000">
        <v>7.1800000000000003E-2</v>
      </c>
      <c r="X1000" t="s">
        <v>56</v>
      </c>
      <c r="Y1000" t="s">
        <v>5199</v>
      </c>
      <c r="Z1000">
        <v>1127.94</v>
      </c>
      <c r="AA1000">
        <v>1.65</v>
      </c>
      <c r="AB1000">
        <v>1861</v>
      </c>
      <c r="AC1000" t="b">
        <v>1</v>
      </c>
      <c r="AD1000" t="b">
        <v>0</v>
      </c>
      <c r="AE1000" t="b">
        <v>0</v>
      </c>
      <c r="AF1000" t="b">
        <v>0</v>
      </c>
      <c r="AG1000" t="s">
        <v>58</v>
      </c>
      <c r="AH1000">
        <v>18</v>
      </c>
      <c r="AI1000" t="s">
        <v>59</v>
      </c>
      <c r="AJ1000" t="s">
        <v>60</v>
      </c>
      <c r="AK1000" t="s">
        <v>252</v>
      </c>
      <c r="AL1000" t="s">
        <v>1299</v>
      </c>
      <c r="AM1000" t="s">
        <v>62</v>
      </c>
      <c r="AN1000" t="s">
        <v>63</v>
      </c>
      <c r="AO1000" t="s">
        <v>5200</v>
      </c>
      <c r="AP1000" t="s">
        <v>5241</v>
      </c>
    </row>
    <row r="1001" spans="1:42" x14ac:dyDescent="0.45">
      <c r="A1001" t="s">
        <v>5190</v>
      </c>
      <c r="B1001" t="s">
        <v>5191</v>
      </c>
      <c r="C1001" t="s">
        <v>5192</v>
      </c>
      <c r="D1001">
        <v>2023</v>
      </c>
      <c r="E1001" t="s">
        <v>45</v>
      </c>
      <c r="F1001" t="s">
        <v>2020</v>
      </c>
      <c r="G1001">
        <v>2</v>
      </c>
      <c r="J1001" t="s">
        <v>5245</v>
      </c>
      <c r="K1001" t="s">
        <v>5246</v>
      </c>
      <c r="L1001" t="s">
        <v>5247</v>
      </c>
      <c r="M1001" t="s">
        <v>5248</v>
      </c>
      <c r="N1001" t="s">
        <v>1795</v>
      </c>
      <c r="O1001" t="s">
        <v>1796</v>
      </c>
      <c r="P1001" t="s">
        <v>53</v>
      </c>
      <c r="Q1001" t="s">
        <v>5197</v>
      </c>
      <c r="S1001">
        <v>5</v>
      </c>
      <c r="T1001" t="s">
        <v>5249</v>
      </c>
      <c r="U1001">
        <v>5078</v>
      </c>
      <c r="V1001">
        <v>4791.5</v>
      </c>
      <c r="W1001">
        <v>1.0598000000000001</v>
      </c>
      <c r="X1001" t="s">
        <v>70</v>
      </c>
      <c r="Y1001" t="s">
        <v>5199</v>
      </c>
      <c r="Z1001">
        <v>1136.69</v>
      </c>
      <c r="AA1001">
        <v>46.44</v>
      </c>
      <c r="AB1001">
        <v>52793</v>
      </c>
      <c r="AC1001" t="b">
        <v>1</v>
      </c>
      <c r="AD1001" t="b">
        <v>1</v>
      </c>
      <c r="AE1001" t="b">
        <v>0</v>
      </c>
      <c r="AF1001" t="b">
        <v>0</v>
      </c>
      <c r="AG1001" t="s">
        <v>58</v>
      </c>
      <c r="AH1001">
        <v>20</v>
      </c>
      <c r="AI1001" t="s">
        <v>59</v>
      </c>
      <c r="AJ1001" t="s">
        <v>71</v>
      </c>
      <c r="AL1001" t="s">
        <v>72</v>
      </c>
      <c r="AM1001" t="s">
        <v>62</v>
      </c>
      <c r="AN1001" t="s">
        <v>63</v>
      </c>
      <c r="AO1001" t="s">
        <v>5200</v>
      </c>
      <c r="AP1001" t="s">
        <v>5246</v>
      </c>
    </row>
    <row r="1002" spans="1:42" x14ac:dyDescent="0.45">
      <c r="A1002" t="s">
        <v>5190</v>
      </c>
      <c r="B1002" t="s">
        <v>5191</v>
      </c>
      <c r="C1002" t="s">
        <v>5192</v>
      </c>
      <c r="D1002">
        <v>2023</v>
      </c>
      <c r="E1002" t="s">
        <v>45</v>
      </c>
      <c r="F1002" t="s">
        <v>2020</v>
      </c>
      <c r="G1002">
        <v>3</v>
      </c>
      <c r="J1002" t="s">
        <v>5250</v>
      </c>
      <c r="K1002" t="s">
        <v>5251</v>
      </c>
      <c r="L1002" t="s">
        <v>5252</v>
      </c>
      <c r="M1002" t="s">
        <v>5253</v>
      </c>
      <c r="N1002" t="s">
        <v>1795</v>
      </c>
      <c r="O1002" t="s">
        <v>1796</v>
      </c>
      <c r="P1002" t="s">
        <v>53</v>
      </c>
      <c r="Q1002" t="s">
        <v>5197</v>
      </c>
      <c r="S1002">
        <v>9</v>
      </c>
      <c r="T1002" t="s">
        <v>5254</v>
      </c>
      <c r="U1002">
        <v>4666</v>
      </c>
      <c r="V1002">
        <v>4791.5</v>
      </c>
      <c r="W1002">
        <v>0.9738</v>
      </c>
      <c r="X1002" t="s">
        <v>70</v>
      </c>
      <c r="Y1002" t="s">
        <v>5199</v>
      </c>
      <c r="Z1002">
        <v>1129.69</v>
      </c>
      <c r="AA1002">
        <v>19.48</v>
      </c>
      <c r="AB1002">
        <v>22010</v>
      </c>
      <c r="AC1002" t="b">
        <v>1</v>
      </c>
      <c r="AD1002" t="b">
        <v>1</v>
      </c>
      <c r="AE1002" t="b">
        <v>0</v>
      </c>
      <c r="AF1002" t="b">
        <v>0</v>
      </c>
      <c r="AG1002" t="s">
        <v>58</v>
      </c>
      <c r="AH1002">
        <v>20</v>
      </c>
      <c r="AI1002" t="s">
        <v>59</v>
      </c>
      <c r="AJ1002" t="s">
        <v>71</v>
      </c>
      <c r="AL1002" t="s">
        <v>72</v>
      </c>
      <c r="AM1002" t="s">
        <v>62</v>
      </c>
      <c r="AN1002" t="s">
        <v>63</v>
      </c>
      <c r="AO1002" t="s">
        <v>5200</v>
      </c>
      <c r="AP1002" t="s">
        <v>5251</v>
      </c>
    </row>
    <row r="1003" spans="1:42" x14ac:dyDescent="0.45">
      <c r="A1003" t="s">
        <v>5190</v>
      </c>
      <c r="B1003" t="s">
        <v>5191</v>
      </c>
      <c r="C1003" t="s">
        <v>5192</v>
      </c>
      <c r="D1003">
        <v>2023</v>
      </c>
      <c r="E1003" t="s">
        <v>45</v>
      </c>
      <c r="F1003" t="s">
        <v>2020</v>
      </c>
      <c r="G1003">
        <v>6</v>
      </c>
      <c r="J1003" t="s">
        <v>5255</v>
      </c>
      <c r="K1003" t="s">
        <v>5256</v>
      </c>
      <c r="L1003" t="s">
        <v>5257</v>
      </c>
      <c r="M1003" t="s">
        <v>5258</v>
      </c>
      <c r="N1003" t="s">
        <v>1795</v>
      </c>
      <c r="O1003" t="s">
        <v>1796</v>
      </c>
      <c r="P1003" t="s">
        <v>53</v>
      </c>
      <c r="Q1003" t="s">
        <v>5197</v>
      </c>
      <c r="S1003">
        <v>24</v>
      </c>
      <c r="T1003" t="s">
        <v>5259</v>
      </c>
      <c r="U1003">
        <v>4787</v>
      </c>
      <c r="V1003">
        <v>4791.5</v>
      </c>
      <c r="W1003">
        <v>0.99909999999999999</v>
      </c>
      <c r="X1003" t="s">
        <v>70</v>
      </c>
      <c r="Y1003" t="s">
        <v>5199</v>
      </c>
      <c r="Z1003">
        <v>1108.69</v>
      </c>
      <c r="AA1003">
        <v>20.76</v>
      </c>
      <c r="AB1003">
        <v>23020</v>
      </c>
      <c r="AC1003" t="b">
        <v>1</v>
      </c>
      <c r="AD1003" t="b">
        <v>1</v>
      </c>
      <c r="AE1003" t="b">
        <v>0</v>
      </c>
      <c r="AF1003" t="b">
        <v>0</v>
      </c>
      <c r="AG1003" t="s">
        <v>58</v>
      </c>
      <c r="AH1003">
        <v>20</v>
      </c>
      <c r="AI1003" t="s">
        <v>59</v>
      </c>
      <c r="AJ1003" t="s">
        <v>71</v>
      </c>
      <c r="AL1003" t="s">
        <v>72</v>
      </c>
      <c r="AM1003" t="s">
        <v>62</v>
      </c>
      <c r="AN1003" t="s">
        <v>63</v>
      </c>
      <c r="AO1003" t="s">
        <v>5200</v>
      </c>
      <c r="AP1003" t="s">
        <v>5256</v>
      </c>
    </row>
    <row r="1004" spans="1:42" x14ac:dyDescent="0.45">
      <c r="A1004" t="s">
        <v>5190</v>
      </c>
      <c r="B1004" t="s">
        <v>5191</v>
      </c>
      <c r="C1004" t="s">
        <v>5192</v>
      </c>
      <c r="D1004">
        <v>2023</v>
      </c>
      <c r="E1004" t="s">
        <v>45</v>
      </c>
      <c r="F1004" t="s">
        <v>2020</v>
      </c>
      <c r="G1004">
        <v>4</v>
      </c>
      <c r="J1004" t="s">
        <v>5260</v>
      </c>
      <c r="K1004" t="s">
        <v>5261</v>
      </c>
      <c r="L1004" t="s">
        <v>5262</v>
      </c>
      <c r="M1004" t="s">
        <v>5263</v>
      </c>
      <c r="N1004" t="s">
        <v>1795</v>
      </c>
      <c r="O1004" t="s">
        <v>1796</v>
      </c>
      <c r="P1004" t="s">
        <v>53</v>
      </c>
      <c r="Q1004" t="s">
        <v>5197</v>
      </c>
      <c r="S1004">
        <v>16</v>
      </c>
      <c r="T1004" t="s">
        <v>5264</v>
      </c>
      <c r="U1004">
        <v>288</v>
      </c>
      <c r="V1004">
        <v>4791.5</v>
      </c>
      <c r="W1004">
        <v>6.0100000000000001E-2</v>
      </c>
      <c r="X1004" t="s">
        <v>56</v>
      </c>
      <c r="Y1004" t="s">
        <v>5199</v>
      </c>
      <c r="Z1004">
        <v>1121.8399999999999</v>
      </c>
      <c r="AA1004">
        <v>1.97</v>
      </c>
      <c r="AB1004">
        <v>2214</v>
      </c>
      <c r="AC1004" t="b">
        <v>1</v>
      </c>
      <c r="AD1004" t="b">
        <v>0</v>
      </c>
      <c r="AE1004" t="b">
        <v>0</v>
      </c>
      <c r="AF1004" t="b">
        <v>0</v>
      </c>
      <c r="AG1004" t="s">
        <v>58</v>
      </c>
      <c r="AH1004">
        <v>18</v>
      </c>
      <c r="AI1004" t="s">
        <v>59</v>
      </c>
      <c r="AJ1004" t="s">
        <v>60</v>
      </c>
      <c r="AK1004" t="s">
        <v>252</v>
      </c>
      <c r="AL1004" t="s">
        <v>1299</v>
      </c>
      <c r="AM1004" t="s">
        <v>62</v>
      </c>
      <c r="AN1004" t="s">
        <v>63</v>
      </c>
      <c r="AO1004" t="s">
        <v>5200</v>
      </c>
      <c r="AP1004" t="s">
        <v>5261</v>
      </c>
    </row>
    <row r="1005" spans="1:42" x14ac:dyDescent="0.45">
      <c r="A1005" t="s">
        <v>5190</v>
      </c>
      <c r="B1005" t="s">
        <v>5191</v>
      </c>
      <c r="C1005" t="s">
        <v>5192</v>
      </c>
      <c r="D1005">
        <v>2023</v>
      </c>
      <c r="E1005" t="s">
        <v>45</v>
      </c>
      <c r="F1005" t="s">
        <v>2020</v>
      </c>
      <c r="G1005">
        <v>5</v>
      </c>
      <c r="J1005" t="s">
        <v>5265</v>
      </c>
      <c r="K1005" t="s">
        <v>5266</v>
      </c>
      <c r="L1005" t="s">
        <v>5267</v>
      </c>
      <c r="M1005" t="s">
        <v>5268</v>
      </c>
      <c r="N1005" t="s">
        <v>1795</v>
      </c>
      <c r="O1005" t="s">
        <v>1796</v>
      </c>
      <c r="P1005" t="s">
        <v>53</v>
      </c>
      <c r="Q1005" t="s">
        <v>5197</v>
      </c>
      <c r="S1005">
        <v>26</v>
      </c>
      <c r="T1005" t="s">
        <v>5269</v>
      </c>
      <c r="U1005">
        <v>265</v>
      </c>
      <c r="V1005">
        <v>4791.5</v>
      </c>
      <c r="W1005">
        <v>5.5300000000000002E-2</v>
      </c>
      <c r="X1005" t="s">
        <v>56</v>
      </c>
      <c r="Y1005" t="s">
        <v>5199</v>
      </c>
      <c r="Z1005">
        <v>1106.74</v>
      </c>
      <c r="AA1005">
        <v>0.56999999999999995</v>
      </c>
      <c r="AB1005">
        <v>634</v>
      </c>
      <c r="AC1005" t="b">
        <v>1</v>
      </c>
      <c r="AD1005" t="b">
        <v>0</v>
      </c>
      <c r="AE1005" t="b">
        <v>0</v>
      </c>
      <c r="AF1005" t="b">
        <v>0</v>
      </c>
      <c r="AG1005" t="s">
        <v>58</v>
      </c>
      <c r="AH1005">
        <v>18</v>
      </c>
      <c r="AI1005" t="s">
        <v>59</v>
      </c>
      <c r="AJ1005" t="s">
        <v>60</v>
      </c>
      <c r="AK1005" t="s">
        <v>252</v>
      </c>
      <c r="AL1005" t="s">
        <v>1299</v>
      </c>
      <c r="AM1005" t="s">
        <v>62</v>
      </c>
      <c r="AN1005" t="s">
        <v>63</v>
      </c>
      <c r="AO1005" t="s">
        <v>5200</v>
      </c>
      <c r="AP1005" t="s">
        <v>5266</v>
      </c>
    </row>
    <row r="1006" spans="1:42" x14ac:dyDescent="0.45">
      <c r="A1006" t="s">
        <v>5190</v>
      </c>
      <c r="B1006" t="s">
        <v>5191</v>
      </c>
      <c r="C1006" t="s">
        <v>5192</v>
      </c>
      <c r="D1006">
        <v>2023</v>
      </c>
      <c r="E1006" t="s">
        <v>45</v>
      </c>
      <c r="F1006" t="s">
        <v>2020</v>
      </c>
      <c r="G1006">
        <v>1</v>
      </c>
      <c r="J1006" t="s">
        <v>5270</v>
      </c>
      <c r="K1006" t="s">
        <v>5271</v>
      </c>
      <c r="L1006" t="s">
        <v>5272</v>
      </c>
      <c r="M1006" t="s">
        <v>5273</v>
      </c>
      <c r="N1006" t="s">
        <v>1795</v>
      </c>
      <c r="O1006" t="s">
        <v>1796</v>
      </c>
      <c r="P1006" t="s">
        <v>53</v>
      </c>
      <c r="Q1006" t="s">
        <v>5197</v>
      </c>
      <c r="S1006">
        <v>2</v>
      </c>
      <c r="T1006" t="s">
        <v>5274</v>
      </c>
      <c r="U1006">
        <v>131</v>
      </c>
      <c r="V1006">
        <v>4791.5</v>
      </c>
      <c r="W1006">
        <v>2.7300000000000001E-2</v>
      </c>
      <c r="X1006" t="s">
        <v>56</v>
      </c>
      <c r="Y1006" t="s">
        <v>5199</v>
      </c>
      <c r="Z1006">
        <v>1140.94</v>
      </c>
      <c r="AA1006">
        <v>1.87</v>
      </c>
      <c r="AB1006">
        <v>2133</v>
      </c>
      <c r="AC1006" t="b">
        <v>1</v>
      </c>
      <c r="AD1006" t="b">
        <v>0</v>
      </c>
      <c r="AE1006" t="b">
        <v>0</v>
      </c>
      <c r="AF1006" t="b">
        <v>0</v>
      </c>
      <c r="AG1006" t="s">
        <v>58</v>
      </c>
      <c r="AH1006">
        <v>18</v>
      </c>
      <c r="AI1006" t="s">
        <v>59</v>
      </c>
      <c r="AJ1006" t="s">
        <v>60</v>
      </c>
      <c r="AK1006" t="s">
        <v>252</v>
      </c>
      <c r="AL1006" t="s">
        <v>1299</v>
      </c>
      <c r="AM1006" t="s">
        <v>62</v>
      </c>
      <c r="AN1006" t="s">
        <v>63</v>
      </c>
      <c r="AO1006" t="s">
        <v>5200</v>
      </c>
      <c r="AP1006" t="s">
        <v>5271</v>
      </c>
    </row>
    <row r="1007" spans="1:42" x14ac:dyDescent="0.45">
      <c r="A1007" t="s">
        <v>5190</v>
      </c>
      <c r="B1007" t="s">
        <v>5191</v>
      </c>
      <c r="C1007" t="s">
        <v>5192</v>
      </c>
      <c r="D1007">
        <v>2023</v>
      </c>
      <c r="E1007" t="s">
        <v>45</v>
      </c>
      <c r="F1007" t="s">
        <v>2020</v>
      </c>
      <c r="G1007">
        <v>5</v>
      </c>
      <c r="J1007" t="s">
        <v>5275</v>
      </c>
      <c r="K1007" t="s">
        <v>5276</v>
      </c>
      <c r="L1007" t="s">
        <v>5277</v>
      </c>
      <c r="M1007" t="s">
        <v>5278</v>
      </c>
      <c r="N1007" t="s">
        <v>1795</v>
      </c>
      <c r="O1007" t="s">
        <v>1796</v>
      </c>
      <c r="P1007" t="s">
        <v>53</v>
      </c>
      <c r="Q1007" t="s">
        <v>5197</v>
      </c>
      <c r="S1007">
        <v>21</v>
      </c>
      <c r="T1007" t="s">
        <v>5279</v>
      </c>
      <c r="U1007">
        <v>4768</v>
      </c>
      <c r="V1007">
        <v>4791.5</v>
      </c>
      <c r="W1007">
        <v>0.99509999999999998</v>
      </c>
      <c r="X1007" t="s">
        <v>70</v>
      </c>
      <c r="Y1007" t="s">
        <v>5199</v>
      </c>
      <c r="Z1007">
        <v>1115.69</v>
      </c>
      <c r="AA1007">
        <v>60.18</v>
      </c>
      <c r="AB1007">
        <v>67144</v>
      </c>
      <c r="AC1007" t="b">
        <v>1</v>
      </c>
      <c r="AD1007" t="b">
        <v>1</v>
      </c>
      <c r="AE1007" t="b">
        <v>0</v>
      </c>
      <c r="AF1007" t="b">
        <v>0</v>
      </c>
      <c r="AG1007" t="s">
        <v>58</v>
      </c>
      <c r="AH1007">
        <v>20</v>
      </c>
      <c r="AI1007" t="s">
        <v>59</v>
      </c>
      <c r="AJ1007" t="s">
        <v>71</v>
      </c>
      <c r="AL1007" t="s">
        <v>72</v>
      </c>
      <c r="AM1007" t="s">
        <v>62</v>
      </c>
      <c r="AN1007" t="s">
        <v>63</v>
      </c>
      <c r="AO1007" t="s">
        <v>5200</v>
      </c>
      <c r="AP1007" t="s">
        <v>5276</v>
      </c>
    </row>
    <row r="1008" spans="1:42" x14ac:dyDescent="0.45">
      <c r="A1008" t="s">
        <v>5190</v>
      </c>
      <c r="B1008" t="s">
        <v>5191</v>
      </c>
      <c r="C1008" t="s">
        <v>5192</v>
      </c>
      <c r="D1008">
        <v>2023</v>
      </c>
      <c r="E1008" t="s">
        <v>45</v>
      </c>
      <c r="F1008" t="s">
        <v>2020</v>
      </c>
      <c r="G1008">
        <v>1</v>
      </c>
      <c r="J1008" t="s">
        <v>5280</v>
      </c>
      <c r="K1008" t="s">
        <v>5281</v>
      </c>
      <c r="L1008" t="s">
        <v>5282</v>
      </c>
      <c r="M1008" t="s">
        <v>5283</v>
      </c>
      <c r="N1008" t="s">
        <v>1795</v>
      </c>
      <c r="O1008" t="s">
        <v>1796</v>
      </c>
      <c r="P1008" t="s">
        <v>53</v>
      </c>
      <c r="Q1008" t="s">
        <v>5197</v>
      </c>
      <c r="S1008">
        <v>3</v>
      </c>
      <c r="T1008" t="s">
        <v>5284</v>
      </c>
      <c r="U1008">
        <v>201</v>
      </c>
      <c r="V1008">
        <v>4791.5</v>
      </c>
      <c r="W1008">
        <v>4.19E-2</v>
      </c>
      <c r="X1008" t="s">
        <v>56</v>
      </c>
      <c r="Y1008" t="s">
        <v>5199</v>
      </c>
      <c r="Z1008">
        <v>1140.19</v>
      </c>
      <c r="AA1008">
        <v>1.85</v>
      </c>
      <c r="AB1008">
        <v>2104</v>
      </c>
      <c r="AC1008" t="b">
        <v>1</v>
      </c>
      <c r="AD1008" t="b">
        <v>0</v>
      </c>
      <c r="AE1008" t="b">
        <v>0</v>
      </c>
      <c r="AF1008" t="b">
        <v>0</v>
      </c>
      <c r="AG1008" t="s">
        <v>58</v>
      </c>
      <c r="AH1008">
        <v>18</v>
      </c>
      <c r="AI1008" t="s">
        <v>59</v>
      </c>
      <c r="AJ1008" t="s">
        <v>60</v>
      </c>
      <c r="AK1008" t="s">
        <v>252</v>
      </c>
      <c r="AL1008" t="s">
        <v>1299</v>
      </c>
      <c r="AM1008" t="s">
        <v>62</v>
      </c>
      <c r="AN1008" t="s">
        <v>63</v>
      </c>
      <c r="AO1008" t="s">
        <v>5200</v>
      </c>
      <c r="AP1008" t="s">
        <v>5281</v>
      </c>
    </row>
    <row r="1009" spans="1:42" x14ac:dyDescent="0.45">
      <c r="A1009" t="s">
        <v>5190</v>
      </c>
      <c r="B1009" t="s">
        <v>5191</v>
      </c>
      <c r="C1009" t="s">
        <v>5192</v>
      </c>
      <c r="D1009">
        <v>2023</v>
      </c>
      <c r="E1009" t="s">
        <v>45</v>
      </c>
      <c r="F1009" t="s">
        <v>2020</v>
      </c>
      <c r="G1009">
        <v>1</v>
      </c>
      <c r="J1009" t="s">
        <v>5285</v>
      </c>
      <c r="K1009" t="s">
        <v>5286</v>
      </c>
      <c r="L1009" t="s">
        <v>5287</v>
      </c>
      <c r="M1009" t="s">
        <v>5288</v>
      </c>
      <c r="N1009" t="s">
        <v>1795</v>
      </c>
      <c r="O1009" t="s">
        <v>1796</v>
      </c>
      <c r="P1009" t="s">
        <v>53</v>
      </c>
      <c r="Q1009" t="s">
        <v>5197</v>
      </c>
      <c r="S1009">
        <v>0</v>
      </c>
      <c r="T1009" t="s">
        <v>5289</v>
      </c>
      <c r="U1009">
        <v>4850</v>
      </c>
      <c r="V1009">
        <v>4791.5</v>
      </c>
      <c r="W1009">
        <v>1.0122</v>
      </c>
      <c r="X1009" t="s">
        <v>70</v>
      </c>
      <c r="Y1009" t="s">
        <v>5199</v>
      </c>
      <c r="Z1009">
        <v>1143.69</v>
      </c>
      <c r="AA1009">
        <v>74.239999999999995</v>
      </c>
      <c r="AB1009">
        <v>84913</v>
      </c>
      <c r="AC1009" t="b">
        <v>1</v>
      </c>
      <c r="AD1009" t="b">
        <v>1</v>
      </c>
      <c r="AE1009" t="b">
        <v>0</v>
      </c>
      <c r="AF1009" t="b">
        <v>0</v>
      </c>
      <c r="AG1009" t="s">
        <v>58</v>
      </c>
      <c r="AH1009">
        <v>20</v>
      </c>
      <c r="AI1009" t="s">
        <v>59</v>
      </c>
      <c r="AJ1009" t="s">
        <v>71</v>
      </c>
      <c r="AL1009" t="s">
        <v>72</v>
      </c>
      <c r="AM1009" t="s">
        <v>62</v>
      </c>
      <c r="AN1009" t="s">
        <v>63</v>
      </c>
      <c r="AO1009" t="s">
        <v>5200</v>
      </c>
      <c r="AP1009" t="s">
        <v>5286</v>
      </c>
    </row>
    <row r="1010" spans="1:42" x14ac:dyDescent="0.45">
      <c r="A1010" t="s">
        <v>5190</v>
      </c>
      <c r="B1010" t="s">
        <v>5191</v>
      </c>
      <c r="C1010" t="s">
        <v>5192</v>
      </c>
      <c r="D1010">
        <v>2023</v>
      </c>
      <c r="E1010" t="s">
        <v>45</v>
      </c>
      <c r="F1010" t="s">
        <v>2020</v>
      </c>
      <c r="G1010">
        <v>1</v>
      </c>
      <c r="J1010" t="s">
        <v>5290</v>
      </c>
      <c r="K1010" t="s">
        <v>5291</v>
      </c>
      <c r="L1010" t="s">
        <v>5292</v>
      </c>
      <c r="M1010" t="s">
        <v>5293</v>
      </c>
      <c r="N1010" t="s">
        <v>1795</v>
      </c>
      <c r="O1010" t="s">
        <v>1796</v>
      </c>
      <c r="P1010" t="s">
        <v>53</v>
      </c>
      <c r="Q1010" t="s">
        <v>5197</v>
      </c>
      <c r="S1010">
        <v>1</v>
      </c>
      <c r="T1010" t="s">
        <v>5294</v>
      </c>
      <c r="U1010">
        <v>390</v>
      </c>
      <c r="V1010">
        <v>4791.5</v>
      </c>
      <c r="W1010">
        <v>8.14E-2</v>
      </c>
      <c r="X1010" t="s">
        <v>56</v>
      </c>
      <c r="Y1010" t="s">
        <v>5199</v>
      </c>
      <c r="Z1010">
        <v>1140.82</v>
      </c>
      <c r="AA1010">
        <v>16.670000000000002</v>
      </c>
      <c r="AB1010">
        <v>19014</v>
      </c>
      <c r="AC1010" t="b">
        <v>1</v>
      </c>
      <c r="AD1010" t="b">
        <v>0</v>
      </c>
      <c r="AE1010" t="b">
        <v>0</v>
      </c>
      <c r="AF1010" t="b">
        <v>0</v>
      </c>
      <c r="AG1010" t="s">
        <v>58</v>
      </c>
      <c r="AH1010">
        <v>18</v>
      </c>
      <c r="AI1010" t="s">
        <v>59</v>
      </c>
      <c r="AJ1010" t="s">
        <v>60</v>
      </c>
      <c r="AK1010" t="s">
        <v>252</v>
      </c>
      <c r="AL1010" t="s">
        <v>1299</v>
      </c>
      <c r="AM1010" t="s">
        <v>62</v>
      </c>
      <c r="AN1010" t="s">
        <v>63</v>
      </c>
      <c r="AO1010" t="s">
        <v>5200</v>
      </c>
      <c r="AP1010" t="s">
        <v>5291</v>
      </c>
    </row>
    <row r="1011" spans="1:42" x14ac:dyDescent="0.45">
      <c r="A1011" t="s">
        <v>5190</v>
      </c>
      <c r="B1011" t="s">
        <v>5191</v>
      </c>
      <c r="C1011" t="s">
        <v>5192</v>
      </c>
      <c r="D1011">
        <v>2023</v>
      </c>
      <c r="E1011" t="s">
        <v>45</v>
      </c>
      <c r="F1011" t="s">
        <v>2020</v>
      </c>
      <c r="G1011">
        <v>6</v>
      </c>
      <c r="J1011" t="e">
        <v>#NAME?</v>
      </c>
      <c r="K1011" t="s">
        <v>5295</v>
      </c>
      <c r="L1011" t="s">
        <v>5296</v>
      </c>
      <c r="M1011" t="s">
        <v>5297</v>
      </c>
      <c r="N1011" t="s">
        <v>1795</v>
      </c>
      <c r="O1011" t="s">
        <v>1796</v>
      </c>
      <c r="P1011" t="s">
        <v>53</v>
      </c>
      <c r="Q1011" t="s">
        <v>5197</v>
      </c>
      <c r="S1011">
        <v>27</v>
      </c>
      <c r="T1011" t="s">
        <v>5298</v>
      </c>
      <c r="U1011">
        <v>141</v>
      </c>
      <c r="V1011">
        <v>4791.5</v>
      </c>
      <c r="W1011">
        <v>2.9399999999999999E-2</v>
      </c>
      <c r="X1011" t="s">
        <v>56</v>
      </c>
      <c r="Y1011" t="s">
        <v>5199</v>
      </c>
      <c r="Z1011">
        <v>1105.8399999999999</v>
      </c>
      <c r="AA1011">
        <v>11.04</v>
      </c>
      <c r="AB1011">
        <v>12208</v>
      </c>
      <c r="AC1011" t="b">
        <v>1</v>
      </c>
      <c r="AD1011" t="b">
        <v>0</v>
      </c>
      <c r="AE1011" t="b">
        <v>0</v>
      </c>
      <c r="AF1011" t="b">
        <v>0</v>
      </c>
      <c r="AG1011" t="s">
        <v>58</v>
      </c>
      <c r="AH1011">
        <v>18</v>
      </c>
      <c r="AI1011" t="s">
        <v>59</v>
      </c>
      <c r="AJ1011" t="s">
        <v>60</v>
      </c>
      <c r="AK1011" t="s">
        <v>252</v>
      </c>
      <c r="AL1011" t="s">
        <v>1299</v>
      </c>
      <c r="AM1011" t="s">
        <v>62</v>
      </c>
      <c r="AN1011" t="s">
        <v>63</v>
      </c>
      <c r="AO1011" t="s">
        <v>5200</v>
      </c>
      <c r="AP1011" t="s">
        <v>5295</v>
      </c>
    </row>
    <row r="1012" spans="1:42" x14ac:dyDescent="0.45">
      <c r="A1012" t="s">
        <v>5190</v>
      </c>
      <c r="B1012" t="s">
        <v>5191</v>
      </c>
      <c r="C1012" t="s">
        <v>5192</v>
      </c>
      <c r="D1012">
        <v>2023</v>
      </c>
      <c r="E1012" t="s">
        <v>45</v>
      </c>
      <c r="F1012" t="s">
        <v>2020</v>
      </c>
      <c r="G1012">
        <v>1</v>
      </c>
      <c r="J1012" t="s">
        <v>5299</v>
      </c>
      <c r="K1012" t="s">
        <v>5300</v>
      </c>
      <c r="L1012" t="s">
        <v>5301</v>
      </c>
      <c r="M1012" t="s">
        <v>5302</v>
      </c>
      <c r="N1012" t="s">
        <v>1795</v>
      </c>
      <c r="O1012" t="s">
        <v>1796</v>
      </c>
      <c r="P1012" t="s">
        <v>53</v>
      </c>
      <c r="Q1012" t="s">
        <v>5197</v>
      </c>
      <c r="S1012">
        <v>4</v>
      </c>
      <c r="T1012" t="s">
        <v>5303</v>
      </c>
      <c r="U1012">
        <v>158</v>
      </c>
      <c r="V1012">
        <v>4791.5</v>
      </c>
      <c r="W1012">
        <v>3.3000000000000002E-2</v>
      </c>
      <c r="X1012" t="s">
        <v>56</v>
      </c>
      <c r="Y1012" t="s">
        <v>5199</v>
      </c>
      <c r="Z1012">
        <v>1140.67</v>
      </c>
      <c r="AA1012">
        <v>1.71</v>
      </c>
      <c r="AB1012">
        <v>1946</v>
      </c>
      <c r="AC1012" t="b">
        <v>1</v>
      </c>
      <c r="AD1012" t="b">
        <v>0</v>
      </c>
      <c r="AE1012" t="b">
        <v>0</v>
      </c>
      <c r="AF1012" t="b">
        <v>0</v>
      </c>
      <c r="AG1012" t="s">
        <v>58</v>
      </c>
      <c r="AH1012">
        <v>18</v>
      </c>
      <c r="AI1012" t="s">
        <v>59</v>
      </c>
      <c r="AJ1012" t="s">
        <v>60</v>
      </c>
      <c r="AK1012" t="s">
        <v>252</v>
      </c>
      <c r="AL1012" t="s">
        <v>1299</v>
      </c>
      <c r="AM1012" t="s">
        <v>62</v>
      </c>
      <c r="AN1012" t="s">
        <v>63</v>
      </c>
      <c r="AO1012" t="s">
        <v>5200</v>
      </c>
      <c r="AP1012" t="s">
        <v>5300</v>
      </c>
    </row>
    <row r="1013" spans="1:42" x14ac:dyDescent="0.45">
      <c r="A1013" t="s">
        <v>5190</v>
      </c>
      <c r="B1013" t="s">
        <v>5191</v>
      </c>
      <c r="C1013" t="s">
        <v>5192</v>
      </c>
      <c r="D1013">
        <v>2023</v>
      </c>
      <c r="E1013" t="s">
        <v>45</v>
      </c>
      <c r="F1013" t="s">
        <v>2020</v>
      </c>
      <c r="G1013">
        <v>5</v>
      </c>
      <c r="J1013" t="s">
        <v>5304</v>
      </c>
      <c r="K1013" t="s">
        <v>5305</v>
      </c>
      <c r="L1013" t="s">
        <v>5306</v>
      </c>
      <c r="M1013" t="s">
        <v>5307</v>
      </c>
      <c r="N1013" t="s">
        <v>1795</v>
      </c>
      <c r="O1013" t="s">
        <v>1796</v>
      </c>
      <c r="P1013" t="s">
        <v>53</v>
      </c>
      <c r="Q1013" t="s">
        <v>5197</v>
      </c>
      <c r="S1013">
        <v>29</v>
      </c>
      <c r="T1013" t="s">
        <v>5308</v>
      </c>
      <c r="U1013">
        <v>327</v>
      </c>
      <c r="V1013">
        <v>4791.5</v>
      </c>
      <c r="W1013">
        <v>6.8199999999999997E-2</v>
      </c>
      <c r="X1013" t="s">
        <v>56</v>
      </c>
      <c r="Y1013" t="s">
        <v>5199</v>
      </c>
      <c r="Z1013">
        <v>1101.1300000000001</v>
      </c>
      <c r="AA1013">
        <v>1.05</v>
      </c>
      <c r="AB1013">
        <v>1154</v>
      </c>
      <c r="AC1013" t="b">
        <v>1</v>
      </c>
      <c r="AD1013" t="b">
        <v>0</v>
      </c>
      <c r="AE1013" t="b">
        <v>0</v>
      </c>
      <c r="AF1013" t="b">
        <v>0</v>
      </c>
      <c r="AG1013" t="s">
        <v>58</v>
      </c>
      <c r="AH1013">
        <v>18</v>
      </c>
      <c r="AI1013" t="s">
        <v>59</v>
      </c>
      <c r="AJ1013" t="s">
        <v>60</v>
      </c>
      <c r="AK1013" t="s">
        <v>252</v>
      </c>
      <c r="AL1013" t="s">
        <v>1299</v>
      </c>
      <c r="AM1013" t="s">
        <v>62</v>
      </c>
      <c r="AN1013" t="s">
        <v>63</v>
      </c>
      <c r="AO1013" t="s">
        <v>5200</v>
      </c>
      <c r="AP1013" t="s">
        <v>5305</v>
      </c>
    </row>
    <row r="1014" spans="1:42" x14ac:dyDescent="0.45">
      <c r="A1014" t="s">
        <v>5190</v>
      </c>
      <c r="B1014" t="s">
        <v>5191</v>
      </c>
      <c r="C1014" t="s">
        <v>5192</v>
      </c>
      <c r="D1014">
        <v>2023</v>
      </c>
      <c r="E1014" t="s">
        <v>45</v>
      </c>
      <c r="F1014" t="s">
        <v>2020</v>
      </c>
      <c r="J1014" t="s">
        <v>5309</v>
      </c>
      <c r="K1014" t="s">
        <v>5310</v>
      </c>
      <c r="L1014" t="s">
        <v>5311</v>
      </c>
      <c r="M1014" t="s">
        <v>5312</v>
      </c>
      <c r="N1014" t="s">
        <v>1795</v>
      </c>
      <c r="O1014" t="s">
        <v>1796</v>
      </c>
      <c r="P1014" t="s">
        <v>53</v>
      </c>
      <c r="Q1014" t="s">
        <v>5197</v>
      </c>
      <c r="S1014">
        <v>15</v>
      </c>
      <c r="T1014" t="s">
        <v>5313</v>
      </c>
      <c r="U1014">
        <v>57</v>
      </c>
      <c r="V1014">
        <v>4791.5</v>
      </c>
      <c r="W1014">
        <v>1.1900000000000001E-2</v>
      </c>
      <c r="X1014" t="s">
        <v>56</v>
      </c>
      <c r="Y1014" t="s">
        <v>5199</v>
      </c>
      <c r="Z1014">
        <v>1121.97</v>
      </c>
      <c r="AA1014">
        <v>2.88</v>
      </c>
      <c r="AB1014">
        <v>3232</v>
      </c>
      <c r="AC1014" t="b">
        <v>0</v>
      </c>
      <c r="AD1014" t="b">
        <v>0</v>
      </c>
      <c r="AE1014" t="b">
        <v>0</v>
      </c>
      <c r="AF1014" t="b">
        <v>0</v>
      </c>
      <c r="AG1014" t="s">
        <v>58</v>
      </c>
      <c r="AH1014">
        <v>10</v>
      </c>
      <c r="AI1014" t="s">
        <v>59</v>
      </c>
      <c r="AJ1014" t="s">
        <v>60</v>
      </c>
      <c r="AL1014" t="s">
        <v>61</v>
      </c>
      <c r="AM1014" t="s">
        <v>62</v>
      </c>
      <c r="AN1014" t="s">
        <v>63</v>
      </c>
      <c r="AO1014" t="s">
        <v>5200</v>
      </c>
      <c r="AP1014" t="s">
        <v>5310</v>
      </c>
    </row>
    <row r="1015" spans="1:42" x14ac:dyDescent="0.45">
      <c r="A1015" t="s">
        <v>5190</v>
      </c>
      <c r="B1015" t="s">
        <v>5191</v>
      </c>
      <c r="C1015" t="s">
        <v>5192</v>
      </c>
      <c r="D1015">
        <v>2023</v>
      </c>
      <c r="E1015" t="s">
        <v>45</v>
      </c>
      <c r="F1015" t="s">
        <v>2020</v>
      </c>
      <c r="G1015">
        <v>3</v>
      </c>
      <c r="J1015" t="s">
        <v>5314</v>
      </c>
      <c r="K1015" t="s">
        <v>5315</v>
      </c>
      <c r="L1015" t="s">
        <v>5316</v>
      </c>
      <c r="M1015" t="s">
        <v>5317</v>
      </c>
      <c r="N1015" t="s">
        <v>1795</v>
      </c>
      <c r="O1015" t="s">
        <v>1796</v>
      </c>
      <c r="P1015" t="s">
        <v>53</v>
      </c>
      <c r="Q1015" t="s">
        <v>5197</v>
      </c>
      <c r="S1015">
        <v>11</v>
      </c>
      <c r="T1015" t="s">
        <v>5318</v>
      </c>
      <c r="U1015">
        <v>402</v>
      </c>
      <c r="V1015">
        <v>4791.5</v>
      </c>
      <c r="W1015">
        <v>8.3900000000000002E-2</v>
      </c>
      <c r="X1015" t="s">
        <v>56</v>
      </c>
      <c r="Y1015" t="s">
        <v>5199</v>
      </c>
      <c r="Z1015">
        <v>1127.99</v>
      </c>
      <c r="AA1015">
        <v>4.8899999999999997</v>
      </c>
      <c r="AB1015">
        <v>5516</v>
      </c>
      <c r="AC1015" t="b">
        <v>1</v>
      </c>
      <c r="AD1015" t="b">
        <v>0</v>
      </c>
      <c r="AE1015" t="b">
        <v>0</v>
      </c>
      <c r="AF1015" t="b">
        <v>0</v>
      </c>
      <c r="AG1015" t="s">
        <v>58</v>
      </c>
      <c r="AH1015">
        <v>18</v>
      </c>
      <c r="AI1015" t="s">
        <v>59</v>
      </c>
      <c r="AJ1015" t="s">
        <v>60</v>
      </c>
      <c r="AK1015" t="s">
        <v>252</v>
      </c>
      <c r="AL1015" t="s">
        <v>1299</v>
      </c>
      <c r="AM1015" t="s">
        <v>62</v>
      </c>
      <c r="AN1015" t="s">
        <v>63</v>
      </c>
      <c r="AO1015" t="s">
        <v>5200</v>
      </c>
      <c r="AP1015" t="s">
        <v>5315</v>
      </c>
    </row>
    <row r="1016" spans="1:42" x14ac:dyDescent="0.45">
      <c r="A1016" t="s">
        <v>5190</v>
      </c>
      <c r="B1016" t="s">
        <v>5191</v>
      </c>
      <c r="C1016" t="s">
        <v>5192</v>
      </c>
      <c r="D1016">
        <v>2023</v>
      </c>
      <c r="E1016" t="s">
        <v>45</v>
      </c>
      <c r="F1016" t="s">
        <v>2020</v>
      </c>
      <c r="G1016">
        <v>5</v>
      </c>
      <c r="J1016" t="s">
        <v>5319</v>
      </c>
      <c r="K1016" t="s">
        <v>5320</v>
      </c>
      <c r="L1016" t="s">
        <v>5321</v>
      </c>
      <c r="M1016" t="s">
        <v>5322</v>
      </c>
      <c r="N1016" t="s">
        <v>1795</v>
      </c>
      <c r="O1016" t="s">
        <v>1796</v>
      </c>
      <c r="P1016" t="s">
        <v>53</v>
      </c>
      <c r="Q1016" t="s">
        <v>5197</v>
      </c>
      <c r="S1016">
        <v>25</v>
      </c>
      <c r="T1016" t="s">
        <v>5323</v>
      </c>
      <c r="U1016">
        <v>261</v>
      </c>
      <c r="V1016">
        <v>4791.5</v>
      </c>
      <c r="W1016">
        <v>5.45E-2</v>
      </c>
      <c r="X1016" t="s">
        <v>56</v>
      </c>
      <c r="Y1016" t="s">
        <v>5199</v>
      </c>
      <c r="Z1016">
        <v>1107.78</v>
      </c>
      <c r="AA1016">
        <v>1.1000000000000001</v>
      </c>
      <c r="AB1016">
        <v>1216</v>
      </c>
      <c r="AC1016" t="b">
        <v>1</v>
      </c>
      <c r="AD1016" t="b">
        <v>0</v>
      </c>
      <c r="AE1016" t="b">
        <v>0</v>
      </c>
      <c r="AF1016" t="b">
        <v>0</v>
      </c>
      <c r="AG1016" t="s">
        <v>58</v>
      </c>
      <c r="AH1016">
        <v>18</v>
      </c>
      <c r="AI1016" t="s">
        <v>59</v>
      </c>
      <c r="AJ1016" t="s">
        <v>60</v>
      </c>
      <c r="AK1016" t="s">
        <v>252</v>
      </c>
      <c r="AL1016" t="s">
        <v>1299</v>
      </c>
      <c r="AM1016" t="s">
        <v>62</v>
      </c>
      <c r="AN1016" t="s">
        <v>63</v>
      </c>
      <c r="AO1016" t="s">
        <v>5200</v>
      </c>
      <c r="AP1016" t="s">
        <v>5320</v>
      </c>
    </row>
    <row r="1017" spans="1:42" x14ac:dyDescent="0.45">
      <c r="A1017" t="s">
        <v>5190</v>
      </c>
      <c r="B1017" t="s">
        <v>5191</v>
      </c>
      <c r="C1017" t="s">
        <v>5192</v>
      </c>
      <c r="D1017">
        <v>2023</v>
      </c>
      <c r="E1017" t="s">
        <v>45</v>
      </c>
      <c r="F1017" t="s">
        <v>2020</v>
      </c>
      <c r="G1017">
        <v>3</v>
      </c>
      <c r="J1017" t="s">
        <v>5324</v>
      </c>
      <c r="K1017" t="s">
        <v>5325</v>
      </c>
      <c r="L1017" t="s">
        <v>5326</v>
      </c>
      <c r="M1017" t="s">
        <v>5327</v>
      </c>
      <c r="N1017" t="s">
        <v>1795</v>
      </c>
      <c r="O1017" t="s">
        <v>1796</v>
      </c>
      <c r="P1017" t="s">
        <v>53</v>
      </c>
      <c r="Q1017" t="s">
        <v>5197</v>
      </c>
      <c r="S1017">
        <v>12</v>
      </c>
      <c r="T1017" t="s">
        <v>5328</v>
      </c>
      <c r="U1017">
        <v>230</v>
      </c>
      <c r="V1017">
        <v>4791.5</v>
      </c>
      <c r="W1017">
        <v>4.8000000000000001E-2</v>
      </c>
      <c r="X1017" t="s">
        <v>56</v>
      </c>
      <c r="Y1017" t="s">
        <v>5199</v>
      </c>
      <c r="Z1017">
        <v>1127.74</v>
      </c>
      <c r="AA1017">
        <v>1.19</v>
      </c>
      <c r="AB1017">
        <v>1345</v>
      </c>
      <c r="AC1017" t="b">
        <v>1</v>
      </c>
      <c r="AD1017" t="b">
        <v>0</v>
      </c>
      <c r="AE1017" t="b">
        <v>0</v>
      </c>
      <c r="AF1017" t="b">
        <v>0</v>
      </c>
      <c r="AG1017" t="s">
        <v>58</v>
      </c>
      <c r="AH1017">
        <v>18</v>
      </c>
      <c r="AI1017" t="s">
        <v>59</v>
      </c>
      <c r="AJ1017" t="s">
        <v>60</v>
      </c>
      <c r="AK1017" t="s">
        <v>252</v>
      </c>
      <c r="AL1017" t="s">
        <v>1299</v>
      </c>
      <c r="AM1017" t="s">
        <v>62</v>
      </c>
      <c r="AN1017" t="s">
        <v>63</v>
      </c>
      <c r="AO1017" t="s">
        <v>5200</v>
      </c>
      <c r="AP1017" t="s">
        <v>5325</v>
      </c>
    </row>
    <row r="1018" spans="1:42" x14ac:dyDescent="0.45">
      <c r="A1018" t="s">
        <v>5190</v>
      </c>
      <c r="B1018" t="s">
        <v>5191</v>
      </c>
      <c r="C1018" t="s">
        <v>5192</v>
      </c>
      <c r="D1018">
        <v>2023</v>
      </c>
      <c r="E1018" t="s">
        <v>45</v>
      </c>
      <c r="F1018" t="s">
        <v>2020</v>
      </c>
      <c r="G1018">
        <v>2</v>
      </c>
      <c r="J1018" t="s">
        <v>5329</v>
      </c>
      <c r="K1018" t="s">
        <v>5330</v>
      </c>
      <c r="L1018" t="s">
        <v>5331</v>
      </c>
      <c r="M1018" t="s">
        <v>5332</v>
      </c>
      <c r="N1018" t="s">
        <v>1795</v>
      </c>
      <c r="O1018" t="s">
        <v>1796</v>
      </c>
      <c r="P1018" t="s">
        <v>53</v>
      </c>
      <c r="Q1018" t="s">
        <v>5197</v>
      </c>
      <c r="S1018">
        <v>7</v>
      </c>
      <c r="T1018" t="s">
        <v>5333</v>
      </c>
      <c r="U1018">
        <v>246</v>
      </c>
      <c r="V1018">
        <v>4791.5</v>
      </c>
      <c r="W1018">
        <v>5.1299999999999998E-2</v>
      </c>
      <c r="X1018" t="s">
        <v>56</v>
      </c>
      <c r="Y1018" t="s">
        <v>5199</v>
      </c>
      <c r="Z1018">
        <v>1134.28</v>
      </c>
      <c r="AA1018">
        <v>3.36</v>
      </c>
      <c r="AB1018">
        <v>3810</v>
      </c>
      <c r="AC1018" t="b">
        <v>1</v>
      </c>
      <c r="AD1018" t="b">
        <v>0</v>
      </c>
      <c r="AE1018" t="b">
        <v>0</v>
      </c>
      <c r="AF1018" t="b">
        <v>0</v>
      </c>
      <c r="AG1018" t="s">
        <v>58</v>
      </c>
      <c r="AH1018">
        <v>18</v>
      </c>
      <c r="AI1018" t="s">
        <v>59</v>
      </c>
      <c r="AJ1018" t="s">
        <v>60</v>
      </c>
      <c r="AK1018" t="s">
        <v>252</v>
      </c>
      <c r="AL1018" t="s">
        <v>1299</v>
      </c>
      <c r="AM1018" t="s">
        <v>62</v>
      </c>
      <c r="AN1018" t="s">
        <v>63</v>
      </c>
      <c r="AO1018" t="s">
        <v>5200</v>
      </c>
      <c r="AP1018" t="s">
        <v>5330</v>
      </c>
    </row>
    <row r="1019" spans="1:42" x14ac:dyDescent="0.45">
      <c r="A1019" t="s">
        <v>5190</v>
      </c>
      <c r="B1019" t="s">
        <v>5191</v>
      </c>
      <c r="C1019" t="s">
        <v>5192</v>
      </c>
      <c r="D1019">
        <v>2023</v>
      </c>
      <c r="E1019" t="s">
        <v>45</v>
      </c>
      <c r="F1019" t="s">
        <v>2020</v>
      </c>
      <c r="G1019">
        <v>4</v>
      </c>
      <c r="J1019" t="s">
        <v>5334</v>
      </c>
      <c r="K1019" t="s">
        <v>5335</v>
      </c>
      <c r="L1019" t="s">
        <v>5336</v>
      </c>
      <c r="M1019" t="s">
        <v>5337</v>
      </c>
      <c r="N1019" t="s">
        <v>1795</v>
      </c>
      <c r="O1019" t="s">
        <v>1796</v>
      </c>
      <c r="P1019" t="s">
        <v>53</v>
      </c>
      <c r="Q1019" t="s">
        <v>5197</v>
      </c>
      <c r="S1019">
        <v>22</v>
      </c>
      <c r="T1019" t="s">
        <v>5338</v>
      </c>
      <c r="U1019">
        <v>265</v>
      </c>
      <c r="V1019">
        <v>4791.5</v>
      </c>
      <c r="W1019">
        <v>5.5300000000000002E-2</v>
      </c>
      <c r="X1019" t="s">
        <v>56</v>
      </c>
      <c r="Y1019" t="s">
        <v>5199</v>
      </c>
      <c r="Z1019">
        <v>1113.04</v>
      </c>
      <c r="AA1019">
        <v>2.69</v>
      </c>
      <c r="AB1019">
        <v>2991</v>
      </c>
      <c r="AC1019" t="b">
        <v>1</v>
      </c>
      <c r="AD1019" t="b">
        <v>0</v>
      </c>
      <c r="AE1019" t="b">
        <v>0</v>
      </c>
      <c r="AF1019" t="b">
        <v>0</v>
      </c>
      <c r="AG1019" t="s">
        <v>58</v>
      </c>
      <c r="AH1019">
        <v>18</v>
      </c>
      <c r="AI1019" t="s">
        <v>59</v>
      </c>
      <c r="AJ1019" t="s">
        <v>60</v>
      </c>
      <c r="AK1019" t="s">
        <v>252</v>
      </c>
      <c r="AL1019" t="s">
        <v>1299</v>
      </c>
      <c r="AM1019" t="s">
        <v>62</v>
      </c>
      <c r="AN1019" t="s">
        <v>63</v>
      </c>
      <c r="AO1019" t="s">
        <v>5200</v>
      </c>
      <c r="AP1019" t="s">
        <v>5335</v>
      </c>
    </row>
    <row r="1020" spans="1:42" x14ac:dyDescent="0.45">
      <c r="A1020" t="s">
        <v>5190</v>
      </c>
      <c r="B1020" t="s">
        <v>5191</v>
      </c>
      <c r="C1020" t="s">
        <v>5192</v>
      </c>
      <c r="D1020">
        <v>2023</v>
      </c>
      <c r="E1020" t="s">
        <v>45</v>
      </c>
      <c r="F1020" t="s">
        <v>2020</v>
      </c>
      <c r="G1020">
        <v>6</v>
      </c>
      <c r="J1020" t="s">
        <v>5339</v>
      </c>
      <c r="K1020" t="s">
        <v>5340</v>
      </c>
      <c r="L1020" t="s">
        <v>5341</v>
      </c>
      <c r="M1020" t="s">
        <v>5342</v>
      </c>
      <c r="N1020" t="s">
        <v>1795</v>
      </c>
      <c r="O1020" t="s">
        <v>1796</v>
      </c>
      <c r="P1020" t="s">
        <v>53</v>
      </c>
      <c r="Q1020" t="s">
        <v>5197</v>
      </c>
      <c r="S1020">
        <v>28</v>
      </c>
      <c r="T1020" t="s">
        <v>5343</v>
      </c>
      <c r="U1020">
        <v>216</v>
      </c>
      <c r="V1020">
        <v>4791.5</v>
      </c>
      <c r="W1020">
        <v>4.5100000000000001E-2</v>
      </c>
      <c r="X1020" t="s">
        <v>56</v>
      </c>
      <c r="Y1020" t="s">
        <v>5199</v>
      </c>
      <c r="Z1020">
        <v>1101.78</v>
      </c>
      <c r="AA1020">
        <v>2.1800000000000002</v>
      </c>
      <c r="AB1020">
        <v>2400</v>
      </c>
      <c r="AC1020" t="b">
        <v>1</v>
      </c>
      <c r="AD1020" t="b">
        <v>0</v>
      </c>
      <c r="AE1020" t="b">
        <v>0</v>
      </c>
      <c r="AF1020" t="b">
        <v>0</v>
      </c>
      <c r="AG1020" t="s">
        <v>58</v>
      </c>
      <c r="AH1020">
        <v>18</v>
      </c>
      <c r="AI1020" t="s">
        <v>59</v>
      </c>
      <c r="AJ1020" t="s">
        <v>60</v>
      </c>
      <c r="AK1020" t="s">
        <v>252</v>
      </c>
      <c r="AL1020" t="s">
        <v>1299</v>
      </c>
      <c r="AM1020" t="s">
        <v>62</v>
      </c>
      <c r="AN1020" t="s">
        <v>63</v>
      </c>
      <c r="AO1020" t="s">
        <v>5200</v>
      </c>
      <c r="AP1020" t="s">
        <v>5340</v>
      </c>
    </row>
    <row r="1021" spans="1:42" x14ac:dyDescent="0.45">
      <c r="A1021" t="s">
        <v>5344</v>
      </c>
      <c r="B1021" t="s">
        <v>5345</v>
      </c>
      <c r="C1021" t="s">
        <v>5346</v>
      </c>
      <c r="D1021">
        <v>2022</v>
      </c>
      <c r="E1021" t="s">
        <v>783</v>
      </c>
      <c r="F1021" t="s">
        <v>5347</v>
      </c>
      <c r="G1021">
        <v>154</v>
      </c>
      <c r="J1021" t="s">
        <v>5348</v>
      </c>
      <c r="K1021" t="s">
        <v>5349</v>
      </c>
      <c r="L1021" t="s">
        <v>5350</v>
      </c>
      <c r="M1021" t="s">
        <v>5351</v>
      </c>
      <c r="N1021" t="s">
        <v>5352</v>
      </c>
      <c r="O1021" t="s">
        <v>5353</v>
      </c>
      <c r="P1021" t="s">
        <v>223</v>
      </c>
      <c r="Q1021" t="s">
        <v>5354</v>
      </c>
      <c r="S1021">
        <v>42</v>
      </c>
      <c r="T1021" t="s">
        <v>5355</v>
      </c>
      <c r="U1021">
        <v>5082</v>
      </c>
      <c r="V1021">
        <v>4561</v>
      </c>
      <c r="W1021">
        <v>1.1142000000000001</v>
      </c>
      <c r="X1021" t="s">
        <v>70</v>
      </c>
      <c r="Y1021" t="s">
        <v>5356</v>
      </c>
      <c r="Z1021">
        <v>312.75</v>
      </c>
      <c r="AA1021">
        <v>446.98</v>
      </c>
      <c r="AB1021">
        <v>139794</v>
      </c>
      <c r="AC1021" t="b">
        <v>1</v>
      </c>
      <c r="AD1021" t="b">
        <v>1</v>
      </c>
      <c r="AE1021" t="b">
        <v>0</v>
      </c>
      <c r="AF1021" t="b">
        <v>0</v>
      </c>
      <c r="AG1021" t="s">
        <v>58</v>
      </c>
      <c r="AH1021">
        <v>20</v>
      </c>
      <c r="AI1021" t="s">
        <v>59</v>
      </c>
      <c r="AJ1021" t="s">
        <v>71</v>
      </c>
      <c r="AL1021" t="s">
        <v>72</v>
      </c>
      <c r="AM1021" t="s">
        <v>62</v>
      </c>
      <c r="AN1021" t="s">
        <v>63</v>
      </c>
      <c r="AO1021" t="s">
        <v>5357</v>
      </c>
      <c r="AP1021" t="s">
        <v>5349</v>
      </c>
    </row>
    <row r="1022" spans="1:42" x14ac:dyDescent="0.45">
      <c r="A1022" t="s">
        <v>5344</v>
      </c>
      <c r="B1022" t="s">
        <v>5345</v>
      </c>
      <c r="C1022" t="s">
        <v>5346</v>
      </c>
      <c r="D1022">
        <v>2022</v>
      </c>
      <c r="E1022" t="s">
        <v>783</v>
      </c>
      <c r="F1022" t="s">
        <v>5347</v>
      </c>
      <c r="J1022" t="s">
        <v>5358</v>
      </c>
      <c r="K1022" t="s">
        <v>5359</v>
      </c>
      <c r="L1022" t="s">
        <v>5360</v>
      </c>
      <c r="M1022" t="s">
        <v>5361</v>
      </c>
      <c r="N1022" t="s">
        <v>5352</v>
      </c>
      <c r="O1022" t="s">
        <v>5353</v>
      </c>
      <c r="P1022" t="s">
        <v>223</v>
      </c>
      <c r="Q1022" t="s">
        <v>5354</v>
      </c>
      <c r="S1022">
        <v>32</v>
      </c>
      <c r="T1022" t="s">
        <v>5362</v>
      </c>
      <c r="U1022">
        <v>5585</v>
      </c>
      <c r="V1022">
        <v>4561</v>
      </c>
      <c r="W1022">
        <v>1.2244999999999999</v>
      </c>
      <c r="X1022" t="s">
        <v>70</v>
      </c>
      <c r="Y1022" t="s">
        <v>5356</v>
      </c>
      <c r="Z1022">
        <v>242.79</v>
      </c>
      <c r="AA1022">
        <v>958.37</v>
      </c>
      <c r="AB1022">
        <v>232678</v>
      </c>
      <c r="AC1022" t="b">
        <v>0</v>
      </c>
      <c r="AD1022" t="b">
        <v>0</v>
      </c>
      <c r="AE1022" t="b">
        <v>0</v>
      </c>
      <c r="AF1022" t="b">
        <v>0</v>
      </c>
      <c r="AG1022" t="s">
        <v>58</v>
      </c>
      <c r="AH1022">
        <v>16</v>
      </c>
      <c r="AI1022" t="s">
        <v>386</v>
      </c>
      <c r="AJ1022" t="s">
        <v>387</v>
      </c>
      <c r="AL1022" t="s">
        <v>1330</v>
      </c>
      <c r="AM1022" t="s">
        <v>62</v>
      </c>
      <c r="AN1022" t="s">
        <v>63</v>
      </c>
      <c r="AO1022" t="s">
        <v>5357</v>
      </c>
      <c r="AP1022" t="s">
        <v>5359</v>
      </c>
    </row>
    <row r="1023" spans="1:42" x14ac:dyDescent="0.45">
      <c r="A1023" t="s">
        <v>5344</v>
      </c>
      <c r="B1023" t="s">
        <v>5345</v>
      </c>
      <c r="C1023" t="s">
        <v>5346</v>
      </c>
      <c r="D1023">
        <v>2022</v>
      </c>
      <c r="E1023" t="s">
        <v>783</v>
      </c>
      <c r="F1023" t="s">
        <v>5347</v>
      </c>
      <c r="J1023" t="s">
        <v>5363</v>
      </c>
      <c r="K1023" t="s">
        <v>5364</v>
      </c>
      <c r="L1023" t="s">
        <v>5365</v>
      </c>
      <c r="M1023" t="s">
        <v>5366</v>
      </c>
      <c r="N1023" t="s">
        <v>5352</v>
      </c>
      <c r="O1023" t="s">
        <v>5353</v>
      </c>
      <c r="P1023" t="s">
        <v>223</v>
      </c>
      <c r="Q1023" t="s">
        <v>5354</v>
      </c>
      <c r="S1023">
        <v>29</v>
      </c>
      <c r="T1023" t="s">
        <v>5367</v>
      </c>
      <c r="U1023">
        <v>5415</v>
      </c>
      <c r="V1023">
        <v>4561</v>
      </c>
      <c r="W1023">
        <v>1.1872</v>
      </c>
      <c r="X1023" t="s">
        <v>70</v>
      </c>
      <c r="Y1023" t="s">
        <v>5356</v>
      </c>
      <c r="Z1023">
        <v>221.79</v>
      </c>
      <c r="AA1023">
        <v>618.82000000000005</v>
      </c>
      <c r="AB1023">
        <v>137245</v>
      </c>
      <c r="AC1023" t="b">
        <v>0</v>
      </c>
      <c r="AD1023" t="b">
        <v>0</v>
      </c>
      <c r="AE1023" t="b">
        <v>0</v>
      </c>
      <c r="AF1023" t="b">
        <v>0</v>
      </c>
      <c r="AG1023" t="s">
        <v>58</v>
      </c>
      <c r="AH1023">
        <v>16</v>
      </c>
      <c r="AI1023" t="s">
        <v>386</v>
      </c>
      <c r="AJ1023" t="s">
        <v>387</v>
      </c>
      <c r="AL1023" t="s">
        <v>1330</v>
      </c>
      <c r="AM1023" t="s">
        <v>62</v>
      </c>
      <c r="AN1023" t="s">
        <v>63</v>
      </c>
      <c r="AO1023" t="s">
        <v>5357</v>
      </c>
      <c r="AP1023" t="s">
        <v>5364</v>
      </c>
    </row>
    <row r="1024" spans="1:42" x14ac:dyDescent="0.45">
      <c r="A1024" t="s">
        <v>5344</v>
      </c>
      <c r="B1024" t="s">
        <v>5345</v>
      </c>
      <c r="C1024" t="s">
        <v>5346</v>
      </c>
      <c r="D1024">
        <v>2022</v>
      </c>
      <c r="E1024" t="s">
        <v>783</v>
      </c>
      <c r="F1024" t="s">
        <v>5347</v>
      </c>
      <c r="J1024" t="s">
        <v>5368</v>
      </c>
      <c r="K1024" t="s">
        <v>5369</v>
      </c>
      <c r="L1024" t="s">
        <v>5370</v>
      </c>
      <c r="M1024" t="s">
        <v>5371</v>
      </c>
      <c r="N1024" t="s">
        <v>5352</v>
      </c>
      <c r="O1024" t="s">
        <v>5353</v>
      </c>
      <c r="P1024" t="s">
        <v>223</v>
      </c>
      <c r="Q1024" t="s">
        <v>5354</v>
      </c>
      <c r="S1024">
        <v>30</v>
      </c>
      <c r="T1024" t="s">
        <v>5372</v>
      </c>
      <c r="U1024">
        <v>5668</v>
      </c>
      <c r="V1024">
        <v>4561</v>
      </c>
      <c r="W1024">
        <v>1.2426999999999999</v>
      </c>
      <c r="X1024" t="s">
        <v>70</v>
      </c>
      <c r="Y1024" t="s">
        <v>5356</v>
      </c>
      <c r="Z1024">
        <v>228.79</v>
      </c>
      <c r="AA1024">
        <v>582.79999999999995</v>
      </c>
      <c r="AB1024">
        <v>133337</v>
      </c>
      <c r="AC1024" t="b">
        <v>0</v>
      </c>
      <c r="AD1024" t="b">
        <v>0</v>
      </c>
      <c r="AE1024" t="b">
        <v>0</v>
      </c>
      <c r="AF1024" t="b">
        <v>0</v>
      </c>
      <c r="AG1024" t="s">
        <v>58</v>
      </c>
      <c r="AH1024">
        <v>16</v>
      </c>
      <c r="AI1024" t="s">
        <v>386</v>
      </c>
      <c r="AJ1024" t="s">
        <v>387</v>
      </c>
      <c r="AL1024" t="s">
        <v>1330</v>
      </c>
      <c r="AM1024" t="s">
        <v>62</v>
      </c>
      <c r="AN1024" t="s">
        <v>63</v>
      </c>
      <c r="AO1024" t="s">
        <v>5357</v>
      </c>
      <c r="AP1024" t="s">
        <v>5369</v>
      </c>
    </row>
    <row r="1025" spans="1:42" x14ac:dyDescent="0.45">
      <c r="A1025" t="s">
        <v>5344</v>
      </c>
      <c r="B1025" t="s">
        <v>5345</v>
      </c>
      <c r="C1025" t="s">
        <v>5346</v>
      </c>
      <c r="D1025">
        <v>2022</v>
      </c>
      <c r="E1025" t="s">
        <v>783</v>
      </c>
      <c r="F1025" t="s">
        <v>5347</v>
      </c>
      <c r="G1025">
        <v>156</v>
      </c>
      <c r="J1025" t="s">
        <v>5373</v>
      </c>
      <c r="K1025" t="s">
        <v>5374</v>
      </c>
      <c r="L1025" t="s">
        <v>5375</v>
      </c>
      <c r="M1025" t="s">
        <v>5376</v>
      </c>
      <c r="N1025" t="s">
        <v>5352</v>
      </c>
      <c r="O1025" t="s">
        <v>5353</v>
      </c>
      <c r="P1025" t="s">
        <v>223</v>
      </c>
      <c r="Q1025" t="s">
        <v>5354</v>
      </c>
      <c r="S1025">
        <v>40</v>
      </c>
      <c r="T1025" t="s">
        <v>5377</v>
      </c>
      <c r="U1025">
        <v>5257</v>
      </c>
      <c r="V1025">
        <v>4561</v>
      </c>
      <c r="W1025">
        <v>1.1526000000000001</v>
      </c>
      <c r="X1025" t="s">
        <v>70</v>
      </c>
      <c r="Y1025" t="s">
        <v>5356</v>
      </c>
      <c r="Z1025">
        <v>298.75</v>
      </c>
      <c r="AA1025">
        <v>834.99</v>
      </c>
      <c r="AB1025">
        <v>249454</v>
      </c>
      <c r="AC1025" t="b">
        <v>1</v>
      </c>
      <c r="AD1025" t="b">
        <v>1</v>
      </c>
      <c r="AE1025" t="b">
        <v>0</v>
      </c>
      <c r="AF1025" t="b">
        <v>0</v>
      </c>
      <c r="AG1025" t="s">
        <v>58</v>
      </c>
      <c r="AH1025">
        <v>20</v>
      </c>
      <c r="AI1025" t="s">
        <v>59</v>
      </c>
      <c r="AJ1025" t="s">
        <v>71</v>
      </c>
      <c r="AL1025" t="s">
        <v>72</v>
      </c>
      <c r="AM1025" t="s">
        <v>62</v>
      </c>
      <c r="AN1025" t="s">
        <v>63</v>
      </c>
      <c r="AO1025" t="s">
        <v>5357</v>
      </c>
      <c r="AP1025" t="s">
        <v>5374</v>
      </c>
    </row>
    <row r="1026" spans="1:42" x14ac:dyDescent="0.45">
      <c r="A1026" t="s">
        <v>5344</v>
      </c>
      <c r="B1026" t="s">
        <v>5345</v>
      </c>
      <c r="C1026" t="s">
        <v>5346</v>
      </c>
      <c r="D1026">
        <v>2022</v>
      </c>
      <c r="E1026" t="s">
        <v>783</v>
      </c>
      <c r="F1026" t="s">
        <v>5347</v>
      </c>
      <c r="J1026" t="s">
        <v>5378</v>
      </c>
      <c r="K1026" t="s">
        <v>5379</v>
      </c>
      <c r="L1026" t="s">
        <v>5380</v>
      </c>
      <c r="M1026" t="s">
        <v>5381</v>
      </c>
      <c r="N1026" t="s">
        <v>5352</v>
      </c>
      <c r="O1026" t="s">
        <v>5353</v>
      </c>
      <c r="P1026" t="s">
        <v>223</v>
      </c>
      <c r="Q1026" t="s">
        <v>5354</v>
      </c>
      <c r="S1026">
        <v>28</v>
      </c>
      <c r="T1026" t="s">
        <v>5382</v>
      </c>
      <c r="U1026">
        <v>5323</v>
      </c>
      <c r="V1026">
        <v>4561</v>
      </c>
      <c r="W1026">
        <v>1.1671</v>
      </c>
      <c r="X1026" t="s">
        <v>70</v>
      </c>
      <c r="Y1026" t="s">
        <v>5356</v>
      </c>
      <c r="Z1026">
        <v>214.79</v>
      </c>
      <c r="AA1026">
        <v>720.5</v>
      </c>
      <c r="AB1026">
        <v>154754</v>
      </c>
      <c r="AC1026" t="b">
        <v>0</v>
      </c>
      <c r="AD1026" t="b">
        <v>0</v>
      </c>
      <c r="AE1026" t="b">
        <v>0</v>
      </c>
      <c r="AF1026" t="b">
        <v>0</v>
      </c>
      <c r="AG1026" t="s">
        <v>58</v>
      </c>
      <c r="AH1026">
        <v>16</v>
      </c>
      <c r="AI1026" t="s">
        <v>386</v>
      </c>
      <c r="AJ1026" t="s">
        <v>387</v>
      </c>
      <c r="AL1026" t="s">
        <v>1330</v>
      </c>
      <c r="AM1026" t="s">
        <v>62</v>
      </c>
      <c r="AN1026" t="s">
        <v>63</v>
      </c>
      <c r="AO1026" t="s">
        <v>5357</v>
      </c>
      <c r="AP1026" t="s">
        <v>5379</v>
      </c>
    </row>
    <row r="1027" spans="1:42" x14ac:dyDescent="0.45">
      <c r="A1027" t="s">
        <v>5344</v>
      </c>
      <c r="B1027" t="s">
        <v>5345</v>
      </c>
      <c r="C1027" t="s">
        <v>5346</v>
      </c>
      <c r="D1027">
        <v>2022</v>
      </c>
      <c r="E1027" t="s">
        <v>783</v>
      </c>
      <c r="F1027" t="s">
        <v>5347</v>
      </c>
      <c r="J1027" t="s">
        <v>5383</v>
      </c>
      <c r="K1027" t="s">
        <v>5384</v>
      </c>
      <c r="L1027" t="s">
        <v>5385</v>
      </c>
      <c r="M1027" t="s">
        <v>5386</v>
      </c>
      <c r="N1027" t="s">
        <v>5352</v>
      </c>
      <c r="O1027" t="s">
        <v>5353</v>
      </c>
      <c r="P1027" t="s">
        <v>223</v>
      </c>
      <c r="Q1027" t="s">
        <v>5354</v>
      </c>
      <c r="S1027">
        <v>34</v>
      </c>
      <c r="T1027" t="s">
        <v>5387</v>
      </c>
      <c r="U1027">
        <v>5445</v>
      </c>
      <c r="V1027">
        <v>4561</v>
      </c>
      <c r="W1027">
        <v>1.1938</v>
      </c>
      <c r="X1027" t="s">
        <v>70</v>
      </c>
      <c r="Y1027" t="s">
        <v>5356</v>
      </c>
      <c r="Z1027">
        <v>256.79000000000002</v>
      </c>
      <c r="AA1027">
        <v>650.22</v>
      </c>
      <c r="AB1027">
        <v>166966</v>
      </c>
      <c r="AC1027" t="b">
        <v>0</v>
      </c>
      <c r="AD1027" t="b">
        <v>0</v>
      </c>
      <c r="AE1027" t="b">
        <v>0</v>
      </c>
      <c r="AF1027" t="b">
        <v>0</v>
      </c>
      <c r="AG1027" t="s">
        <v>58</v>
      </c>
      <c r="AH1027">
        <v>16</v>
      </c>
      <c r="AI1027" t="s">
        <v>386</v>
      </c>
      <c r="AJ1027" t="s">
        <v>387</v>
      </c>
      <c r="AL1027" t="s">
        <v>1330</v>
      </c>
      <c r="AM1027" t="s">
        <v>62</v>
      </c>
      <c r="AN1027" t="s">
        <v>63</v>
      </c>
      <c r="AO1027" t="s">
        <v>5357</v>
      </c>
      <c r="AP1027" t="s">
        <v>5384</v>
      </c>
    </row>
    <row r="1028" spans="1:42" x14ac:dyDescent="0.45">
      <c r="A1028" t="s">
        <v>5344</v>
      </c>
      <c r="B1028" t="s">
        <v>5345</v>
      </c>
      <c r="C1028" t="s">
        <v>5346</v>
      </c>
      <c r="D1028">
        <v>2022</v>
      </c>
      <c r="E1028" t="s">
        <v>783</v>
      </c>
      <c r="F1028" t="s">
        <v>5347</v>
      </c>
      <c r="J1028" t="s">
        <v>5388</v>
      </c>
      <c r="K1028" t="s">
        <v>5389</v>
      </c>
      <c r="L1028" t="s">
        <v>5390</v>
      </c>
      <c r="M1028" t="s">
        <v>5391</v>
      </c>
      <c r="N1028" t="s">
        <v>5352</v>
      </c>
      <c r="O1028" t="s">
        <v>5353</v>
      </c>
      <c r="P1028" t="s">
        <v>223</v>
      </c>
      <c r="Q1028" t="s">
        <v>5354</v>
      </c>
      <c r="S1028">
        <v>26</v>
      </c>
      <c r="T1028" t="s">
        <v>5392</v>
      </c>
      <c r="U1028">
        <v>5545</v>
      </c>
      <c r="V1028">
        <v>4561</v>
      </c>
      <c r="W1028">
        <v>1.2157</v>
      </c>
      <c r="X1028" t="s">
        <v>70</v>
      </c>
      <c r="Y1028" t="s">
        <v>5356</v>
      </c>
      <c r="Z1028">
        <v>200.79</v>
      </c>
      <c r="AA1028">
        <v>1029.49</v>
      </c>
      <c r="AB1028">
        <v>206706</v>
      </c>
      <c r="AC1028" t="b">
        <v>0</v>
      </c>
      <c r="AD1028" t="b">
        <v>0</v>
      </c>
      <c r="AE1028" t="b">
        <v>0</v>
      </c>
      <c r="AF1028" t="b">
        <v>0</v>
      </c>
      <c r="AG1028" t="s">
        <v>58</v>
      </c>
      <c r="AH1028">
        <v>16</v>
      </c>
      <c r="AI1028" t="s">
        <v>386</v>
      </c>
      <c r="AJ1028" t="s">
        <v>387</v>
      </c>
      <c r="AL1028" t="s">
        <v>1330</v>
      </c>
      <c r="AM1028" t="s">
        <v>62</v>
      </c>
      <c r="AN1028" t="s">
        <v>63</v>
      </c>
      <c r="AO1028" t="s">
        <v>5357</v>
      </c>
      <c r="AP1028" t="s">
        <v>5389</v>
      </c>
    </row>
    <row r="1029" spans="1:42" x14ac:dyDescent="0.45">
      <c r="A1029" t="s">
        <v>5344</v>
      </c>
      <c r="B1029" t="s">
        <v>5345</v>
      </c>
      <c r="C1029" t="s">
        <v>5346</v>
      </c>
      <c r="D1029">
        <v>2022</v>
      </c>
      <c r="E1029" t="s">
        <v>783</v>
      </c>
      <c r="F1029" t="s">
        <v>5347</v>
      </c>
      <c r="J1029" t="s">
        <v>5393</v>
      </c>
      <c r="K1029" t="s">
        <v>5394</v>
      </c>
      <c r="L1029" t="s">
        <v>5395</v>
      </c>
      <c r="M1029" t="s">
        <v>5396</v>
      </c>
      <c r="N1029" t="s">
        <v>5352</v>
      </c>
      <c r="O1029" t="s">
        <v>5353</v>
      </c>
      <c r="P1029" t="s">
        <v>223</v>
      </c>
      <c r="Q1029" t="s">
        <v>5354</v>
      </c>
      <c r="S1029">
        <v>33</v>
      </c>
      <c r="T1029" t="s">
        <v>5397</v>
      </c>
      <c r="U1029">
        <v>5060</v>
      </c>
      <c r="V1029">
        <v>4561</v>
      </c>
      <c r="W1029">
        <v>1.1093999999999999</v>
      </c>
      <c r="X1029" t="s">
        <v>70</v>
      </c>
      <c r="Y1029" t="s">
        <v>5356</v>
      </c>
      <c r="Z1029">
        <v>249.79</v>
      </c>
      <c r="AA1029">
        <v>1208.77</v>
      </c>
      <c r="AB1029">
        <v>301933</v>
      </c>
      <c r="AC1029" t="b">
        <v>0</v>
      </c>
      <c r="AD1029" t="b">
        <v>0</v>
      </c>
      <c r="AE1029" t="b">
        <v>0</v>
      </c>
      <c r="AF1029" t="b">
        <v>0</v>
      </c>
      <c r="AG1029" t="s">
        <v>58</v>
      </c>
      <c r="AH1029">
        <v>16</v>
      </c>
      <c r="AI1029" t="s">
        <v>386</v>
      </c>
      <c r="AJ1029" t="s">
        <v>387</v>
      </c>
      <c r="AL1029" t="s">
        <v>1330</v>
      </c>
      <c r="AM1029" t="s">
        <v>62</v>
      </c>
      <c r="AN1029" t="s">
        <v>63</v>
      </c>
      <c r="AO1029" t="s">
        <v>5357</v>
      </c>
      <c r="AP1029" t="s">
        <v>5394</v>
      </c>
    </row>
    <row r="1030" spans="1:42" x14ac:dyDescent="0.45">
      <c r="A1030" t="s">
        <v>5344</v>
      </c>
      <c r="B1030" t="s">
        <v>5345</v>
      </c>
      <c r="C1030" t="s">
        <v>5346</v>
      </c>
      <c r="D1030">
        <v>2022</v>
      </c>
      <c r="E1030" t="s">
        <v>783</v>
      </c>
      <c r="F1030" t="s">
        <v>5347</v>
      </c>
      <c r="G1030">
        <v>155</v>
      </c>
      <c r="J1030" t="s">
        <v>5398</v>
      </c>
      <c r="K1030" t="s">
        <v>5399</v>
      </c>
      <c r="L1030" t="s">
        <v>5400</v>
      </c>
      <c r="M1030" t="s">
        <v>5401</v>
      </c>
      <c r="N1030" t="s">
        <v>5352</v>
      </c>
      <c r="O1030" t="s">
        <v>5353</v>
      </c>
      <c r="P1030" t="s">
        <v>223</v>
      </c>
      <c r="Q1030" t="s">
        <v>5354</v>
      </c>
      <c r="S1030">
        <v>41</v>
      </c>
      <c r="T1030" t="s">
        <v>5402</v>
      </c>
      <c r="U1030">
        <v>5758</v>
      </c>
      <c r="V1030">
        <v>4561</v>
      </c>
      <c r="W1030">
        <v>1.2624</v>
      </c>
      <c r="X1030" t="s">
        <v>70</v>
      </c>
      <c r="Y1030" t="s">
        <v>5356</v>
      </c>
      <c r="Z1030">
        <v>305.75</v>
      </c>
      <c r="AA1030">
        <v>1117.8800000000001</v>
      </c>
      <c r="AB1030">
        <v>341794</v>
      </c>
      <c r="AC1030" t="b">
        <v>1</v>
      </c>
      <c r="AD1030" t="b">
        <v>1</v>
      </c>
      <c r="AE1030" t="b">
        <v>0</v>
      </c>
      <c r="AF1030" t="b">
        <v>0</v>
      </c>
      <c r="AG1030" t="s">
        <v>58</v>
      </c>
      <c r="AH1030">
        <v>20</v>
      </c>
      <c r="AI1030" t="s">
        <v>59</v>
      </c>
      <c r="AJ1030" t="s">
        <v>71</v>
      </c>
      <c r="AL1030" t="s">
        <v>72</v>
      </c>
      <c r="AM1030" t="s">
        <v>62</v>
      </c>
      <c r="AN1030" t="s">
        <v>63</v>
      </c>
      <c r="AO1030" t="s">
        <v>5357</v>
      </c>
      <c r="AP1030" t="s">
        <v>5399</v>
      </c>
    </row>
    <row r="1031" spans="1:42" x14ac:dyDescent="0.45">
      <c r="A1031" t="s">
        <v>5344</v>
      </c>
      <c r="B1031" t="s">
        <v>5345</v>
      </c>
      <c r="C1031" t="s">
        <v>5346</v>
      </c>
      <c r="D1031">
        <v>2022</v>
      </c>
      <c r="E1031" t="s">
        <v>783</v>
      </c>
      <c r="F1031" t="s">
        <v>5347</v>
      </c>
      <c r="J1031" t="s">
        <v>5403</v>
      </c>
      <c r="K1031" t="s">
        <v>5404</v>
      </c>
      <c r="L1031" t="s">
        <v>5405</v>
      </c>
      <c r="M1031" t="s">
        <v>5406</v>
      </c>
      <c r="N1031" t="s">
        <v>5352</v>
      </c>
      <c r="O1031" t="s">
        <v>5353</v>
      </c>
      <c r="P1031" t="s">
        <v>223</v>
      </c>
      <c r="Q1031" t="s">
        <v>5354</v>
      </c>
      <c r="S1031">
        <v>27</v>
      </c>
      <c r="T1031" t="s">
        <v>5407</v>
      </c>
      <c r="U1031">
        <v>6122</v>
      </c>
      <c r="V1031">
        <v>4561</v>
      </c>
      <c r="W1031">
        <v>1.3422000000000001</v>
      </c>
      <c r="X1031" t="s">
        <v>70</v>
      </c>
      <c r="Y1031" t="s">
        <v>5356</v>
      </c>
      <c r="Z1031">
        <v>207.79</v>
      </c>
      <c r="AA1031">
        <v>1051.07</v>
      </c>
      <c r="AB1031">
        <v>218397</v>
      </c>
      <c r="AC1031" t="b">
        <v>0</v>
      </c>
      <c r="AD1031" t="b">
        <v>0</v>
      </c>
      <c r="AE1031" t="b">
        <v>0</v>
      </c>
      <c r="AF1031" t="b">
        <v>0</v>
      </c>
      <c r="AG1031" t="s">
        <v>58</v>
      </c>
      <c r="AH1031">
        <v>16</v>
      </c>
      <c r="AI1031" t="s">
        <v>386</v>
      </c>
      <c r="AJ1031" t="s">
        <v>387</v>
      </c>
      <c r="AL1031" t="s">
        <v>1330</v>
      </c>
      <c r="AM1031" t="s">
        <v>62</v>
      </c>
      <c r="AN1031" t="s">
        <v>63</v>
      </c>
      <c r="AO1031" t="s">
        <v>5357</v>
      </c>
      <c r="AP1031" t="s">
        <v>5404</v>
      </c>
    </row>
    <row r="1032" spans="1:42" x14ac:dyDescent="0.45">
      <c r="A1032" t="s">
        <v>5344</v>
      </c>
      <c r="B1032" t="s">
        <v>5345</v>
      </c>
      <c r="C1032" t="s">
        <v>5346</v>
      </c>
      <c r="D1032">
        <v>2022</v>
      </c>
      <c r="E1032" t="s">
        <v>783</v>
      </c>
      <c r="F1032" t="s">
        <v>5347</v>
      </c>
      <c r="G1032">
        <v>158</v>
      </c>
      <c r="J1032" t="s">
        <v>5408</v>
      </c>
      <c r="K1032" t="s">
        <v>5409</v>
      </c>
      <c r="L1032" t="s">
        <v>5410</v>
      </c>
      <c r="M1032" t="s">
        <v>5411</v>
      </c>
      <c r="N1032" t="s">
        <v>5352</v>
      </c>
      <c r="O1032" t="s">
        <v>5353</v>
      </c>
      <c r="P1032" t="s">
        <v>223</v>
      </c>
      <c r="Q1032" t="s">
        <v>5354</v>
      </c>
      <c r="S1032">
        <v>38</v>
      </c>
      <c r="T1032" t="s">
        <v>5412</v>
      </c>
      <c r="U1032">
        <v>5518</v>
      </c>
      <c r="V1032">
        <v>4561</v>
      </c>
      <c r="W1032">
        <v>1.2098</v>
      </c>
      <c r="X1032" t="s">
        <v>70</v>
      </c>
      <c r="Y1032" t="s">
        <v>5356</v>
      </c>
      <c r="Z1032">
        <v>284.79000000000002</v>
      </c>
      <c r="AA1032">
        <v>1038.56</v>
      </c>
      <c r="AB1032">
        <v>295766</v>
      </c>
      <c r="AC1032" t="b">
        <v>1</v>
      </c>
      <c r="AD1032" t="b">
        <v>1</v>
      </c>
      <c r="AE1032" t="b">
        <v>0</v>
      </c>
      <c r="AF1032" t="b">
        <v>0</v>
      </c>
      <c r="AG1032" t="s">
        <v>58</v>
      </c>
      <c r="AH1032">
        <v>20</v>
      </c>
      <c r="AI1032" t="s">
        <v>59</v>
      </c>
      <c r="AJ1032" t="s">
        <v>71</v>
      </c>
      <c r="AL1032" t="s">
        <v>72</v>
      </c>
      <c r="AM1032" t="s">
        <v>62</v>
      </c>
      <c r="AN1032" t="s">
        <v>63</v>
      </c>
      <c r="AO1032" t="s">
        <v>5357</v>
      </c>
      <c r="AP1032" t="s">
        <v>5409</v>
      </c>
    </row>
    <row r="1033" spans="1:42" x14ac:dyDescent="0.45">
      <c r="A1033" t="s">
        <v>5344</v>
      </c>
      <c r="B1033" t="s">
        <v>5345</v>
      </c>
      <c r="C1033" t="s">
        <v>5346</v>
      </c>
      <c r="D1033">
        <v>2022</v>
      </c>
      <c r="E1033" t="s">
        <v>783</v>
      </c>
      <c r="F1033" t="s">
        <v>5347</v>
      </c>
      <c r="G1033">
        <v>150</v>
      </c>
      <c r="J1033" t="s">
        <v>5413</v>
      </c>
      <c r="K1033" t="s">
        <v>5414</v>
      </c>
      <c r="L1033" t="s">
        <v>5415</v>
      </c>
      <c r="M1033" t="s">
        <v>5416</v>
      </c>
      <c r="N1033" t="s">
        <v>5352</v>
      </c>
      <c r="O1033" t="s">
        <v>5353</v>
      </c>
      <c r="P1033" t="s">
        <v>223</v>
      </c>
      <c r="Q1033" t="s">
        <v>5354</v>
      </c>
      <c r="S1033">
        <v>46</v>
      </c>
      <c r="T1033" t="s">
        <v>5417</v>
      </c>
      <c r="U1033">
        <v>5089</v>
      </c>
      <c r="V1033">
        <v>4561</v>
      </c>
      <c r="W1033">
        <v>1.1157999999999999</v>
      </c>
      <c r="X1033" t="s">
        <v>70</v>
      </c>
      <c r="Y1033" t="s">
        <v>5356</v>
      </c>
      <c r="Z1033">
        <v>340.75</v>
      </c>
      <c r="AA1033">
        <v>479.46</v>
      </c>
      <c r="AB1033">
        <v>163377</v>
      </c>
      <c r="AC1033" t="b">
        <v>1</v>
      </c>
      <c r="AD1033" t="b">
        <v>1</v>
      </c>
      <c r="AE1033" t="b">
        <v>0</v>
      </c>
      <c r="AF1033" t="b">
        <v>0</v>
      </c>
      <c r="AG1033" t="s">
        <v>58</v>
      </c>
      <c r="AH1033">
        <v>20</v>
      </c>
      <c r="AI1033" t="s">
        <v>59</v>
      </c>
      <c r="AJ1033" t="s">
        <v>71</v>
      </c>
      <c r="AL1033" t="s">
        <v>72</v>
      </c>
      <c r="AM1033" t="s">
        <v>62</v>
      </c>
      <c r="AN1033" t="s">
        <v>63</v>
      </c>
      <c r="AO1033" t="s">
        <v>5357</v>
      </c>
      <c r="AP1033" t="s">
        <v>5414</v>
      </c>
    </row>
    <row r="1034" spans="1:42" x14ac:dyDescent="0.45">
      <c r="A1034" t="s">
        <v>5344</v>
      </c>
      <c r="B1034" t="s">
        <v>5345</v>
      </c>
      <c r="C1034" t="s">
        <v>5346</v>
      </c>
      <c r="D1034">
        <v>2022</v>
      </c>
      <c r="E1034" t="s">
        <v>783</v>
      </c>
      <c r="F1034" t="s">
        <v>5347</v>
      </c>
      <c r="G1034">
        <v>159</v>
      </c>
      <c r="J1034" t="s">
        <v>5418</v>
      </c>
      <c r="K1034" t="s">
        <v>5419</v>
      </c>
      <c r="L1034" t="s">
        <v>5420</v>
      </c>
      <c r="M1034" t="s">
        <v>5421</v>
      </c>
      <c r="N1034" t="s">
        <v>5352</v>
      </c>
      <c r="O1034" t="s">
        <v>5353</v>
      </c>
      <c r="P1034" t="s">
        <v>223</v>
      </c>
      <c r="Q1034" t="s">
        <v>5354</v>
      </c>
      <c r="S1034">
        <v>37</v>
      </c>
      <c r="T1034" t="s">
        <v>5422</v>
      </c>
      <c r="U1034">
        <v>5576</v>
      </c>
      <c r="V1034">
        <v>4561</v>
      </c>
      <c r="W1034">
        <v>1.2224999999999999</v>
      </c>
      <c r="X1034" t="s">
        <v>70</v>
      </c>
      <c r="Y1034" t="s">
        <v>5356</v>
      </c>
      <c r="Z1034">
        <v>277.79000000000002</v>
      </c>
      <c r="AA1034">
        <v>654.63</v>
      </c>
      <c r="AB1034">
        <v>181847</v>
      </c>
      <c r="AC1034" t="b">
        <v>1</v>
      </c>
      <c r="AD1034" t="b">
        <v>1</v>
      </c>
      <c r="AE1034" t="b">
        <v>0</v>
      </c>
      <c r="AF1034" t="b">
        <v>0</v>
      </c>
      <c r="AG1034" t="s">
        <v>58</v>
      </c>
      <c r="AH1034">
        <v>20</v>
      </c>
      <c r="AI1034" t="s">
        <v>59</v>
      </c>
      <c r="AJ1034" t="s">
        <v>71</v>
      </c>
      <c r="AL1034" t="s">
        <v>72</v>
      </c>
      <c r="AM1034" t="s">
        <v>62</v>
      </c>
      <c r="AN1034" t="s">
        <v>63</v>
      </c>
      <c r="AO1034" t="s">
        <v>5357</v>
      </c>
      <c r="AP1034" t="s">
        <v>5419</v>
      </c>
    </row>
    <row r="1035" spans="1:42" x14ac:dyDescent="0.45">
      <c r="A1035" t="s">
        <v>5344</v>
      </c>
      <c r="B1035" t="s">
        <v>5345</v>
      </c>
      <c r="C1035" t="s">
        <v>5346</v>
      </c>
      <c r="D1035">
        <v>2022</v>
      </c>
      <c r="E1035" t="s">
        <v>783</v>
      </c>
      <c r="F1035" t="s">
        <v>5347</v>
      </c>
      <c r="G1035">
        <v>148</v>
      </c>
      <c r="J1035" t="s">
        <v>5423</v>
      </c>
      <c r="K1035" t="s">
        <v>5424</v>
      </c>
      <c r="L1035" t="s">
        <v>5425</v>
      </c>
      <c r="M1035" t="s">
        <v>5426</v>
      </c>
      <c r="N1035" t="s">
        <v>5352</v>
      </c>
      <c r="O1035" t="s">
        <v>5353</v>
      </c>
      <c r="P1035" t="s">
        <v>223</v>
      </c>
      <c r="Q1035" t="s">
        <v>5354</v>
      </c>
      <c r="S1035">
        <v>48</v>
      </c>
      <c r="T1035" t="s">
        <v>5427</v>
      </c>
      <c r="U1035">
        <v>5523</v>
      </c>
      <c r="V1035">
        <v>4561</v>
      </c>
      <c r="W1035">
        <v>1.2109000000000001</v>
      </c>
      <c r="X1035" t="s">
        <v>70</v>
      </c>
      <c r="Y1035" t="s">
        <v>5356</v>
      </c>
      <c r="Z1035">
        <v>354.75</v>
      </c>
      <c r="AA1035">
        <v>497.21</v>
      </c>
      <c r="AB1035">
        <v>176386</v>
      </c>
      <c r="AC1035" t="b">
        <v>1</v>
      </c>
      <c r="AD1035" t="b">
        <v>1</v>
      </c>
      <c r="AE1035" t="b">
        <v>0</v>
      </c>
      <c r="AF1035" t="b">
        <v>0</v>
      </c>
      <c r="AG1035" t="s">
        <v>58</v>
      </c>
      <c r="AH1035">
        <v>20</v>
      </c>
      <c r="AI1035" t="s">
        <v>59</v>
      </c>
      <c r="AJ1035" t="s">
        <v>71</v>
      </c>
      <c r="AL1035" t="s">
        <v>72</v>
      </c>
      <c r="AM1035" t="s">
        <v>62</v>
      </c>
      <c r="AN1035" t="s">
        <v>63</v>
      </c>
      <c r="AO1035" t="s">
        <v>5357</v>
      </c>
      <c r="AP1035" t="s">
        <v>5424</v>
      </c>
    </row>
    <row r="1036" spans="1:42" x14ac:dyDescent="0.45">
      <c r="A1036" t="s">
        <v>5344</v>
      </c>
      <c r="B1036" t="s">
        <v>5345</v>
      </c>
      <c r="C1036" t="s">
        <v>5346</v>
      </c>
      <c r="D1036">
        <v>2022</v>
      </c>
      <c r="E1036" t="s">
        <v>783</v>
      </c>
      <c r="F1036" t="s">
        <v>5347</v>
      </c>
      <c r="G1036">
        <v>160</v>
      </c>
      <c r="J1036" t="s">
        <v>5428</v>
      </c>
      <c r="K1036" t="s">
        <v>5429</v>
      </c>
      <c r="L1036" t="s">
        <v>5430</v>
      </c>
      <c r="M1036" t="s">
        <v>5431</v>
      </c>
      <c r="N1036" t="s">
        <v>5352</v>
      </c>
      <c r="O1036" t="s">
        <v>5353</v>
      </c>
      <c r="P1036" t="s">
        <v>223</v>
      </c>
      <c r="Q1036" t="s">
        <v>5354</v>
      </c>
      <c r="S1036">
        <v>36</v>
      </c>
      <c r="T1036" t="s">
        <v>5432</v>
      </c>
      <c r="U1036">
        <v>5676</v>
      </c>
      <c r="V1036">
        <v>4561</v>
      </c>
      <c r="W1036">
        <v>1.2444999999999999</v>
      </c>
      <c r="X1036" t="s">
        <v>70</v>
      </c>
      <c r="Y1036" t="s">
        <v>5356</v>
      </c>
      <c r="Z1036">
        <v>270.79000000000002</v>
      </c>
      <c r="AA1036">
        <v>511.72</v>
      </c>
      <c r="AB1036">
        <v>138567</v>
      </c>
      <c r="AC1036" t="b">
        <v>1</v>
      </c>
      <c r="AD1036" t="b">
        <v>1</v>
      </c>
      <c r="AE1036" t="b">
        <v>0</v>
      </c>
      <c r="AF1036" t="b">
        <v>0</v>
      </c>
      <c r="AG1036" t="s">
        <v>58</v>
      </c>
      <c r="AH1036">
        <v>20</v>
      </c>
      <c r="AI1036" t="s">
        <v>59</v>
      </c>
      <c r="AJ1036" t="s">
        <v>71</v>
      </c>
      <c r="AL1036" t="s">
        <v>72</v>
      </c>
      <c r="AM1036" t="s">
        <v>62</v>
      </c>
      <c r="AN1036" t="s">
        <v>63</v>
      </c>
      <c r="AO1036" t="s">
        <v>5357</v>
      </c>
      <c r="AP1036" t="s">
        <v>5429</v>
      </c>
    </row>
    <row r="1037" spans="1:42" x14ac:dyDescent="0.45">
      <c r="A1037" t="s">
        <v>5344</v>
      </c>
      <c r="B1037" t="s">
        <v>5345</v>
      </c>
      <c r="C1037" t="s">
        <v>5346</v>
      </c>
      <c r="D1037">
        <v>2022</v>
      </c>
      <c r="E1037" t="s">
        <v>783</v>
      </c>
      <c r="F1037" t="s">
        <v>5347</v>
      </c>
      <c r="G1037">
        <v>146</v>
      </c>
      <c r="J1037" t="s">
        <v>5433</v>
      </c>
      <c r="K1037" t="s">
        <v>5434</v>
      </c>
      <c r="L1037" t="s">
        <v>5435</v>
      </c>
      <c r="M1037" t="s">
        <v>5436</v>
      </c>
      <c r="N1037" t="s">
        <v>5352</v>
      </c>
      <c r="O1037" t="s">
        <v>5353</v>
      </c>
      <c r="P1037" t="s">
        <v>223</v>
      </c>
      <c r="Q1037" t="s">
        <v>5354</v>
      </c>
      <c r="S1037">
        <v>50</v>
      </c>
      <c r="T1037" t="s">
        <v>5437</v>
      </c>
      <c r="U1037">
        <v>5871</v>
      </c>
      <c r="V1037">
        <v>4561</v>
      </c>
      <c r="W1037">
        <v>1.2871999999999999</v>
      </c>
      <c r="X1037" t="s">
        <v>70</v>
      </c>
      <c r="Y1037" t="s">
        <v>5356</v>
      </c>
      <c r="Z1037">
        <v>368.75</v>
      </c>
      <c r="AA1037">
        <v>422.69</v>
      </c>
      <c r="AB1037">
        <v>155866</v>
      </c>
      <c r="AC1037" t="b">
        <v>1</v>
      </c>
      <c r="AD1037" t="b">
        <v>1</v>
      </c>
      <c r="AE1037" t="b">
        <v>0</v>
      </c>
      <c r="AF1037" t="b">
        <v>0</v>
      </c>
      <c r="AG1037" t="s">
        <v>58</v>
      </c>
      <c r="AH1037">
        <v>20</v>
      </c>
      <c r="AI1037" t="s">
        <v>59</v>
      </c>
      <c r="AJ1037" t="s">
        <v>71</v>
      </c>
      <c r="AL1037" t="s">
        <v>72</v>
      </c>
      <c r="AM1037" t="s">
        <v>62</v>
      </c>
      <c r="AN1037" t="s">
        <v>63</v>
      </c>
      <c r="AO1037" t="s">
        <v>5357</v>
      </c>
      <c r="AP1037" t="s">
        <v>5434</v>
      </c>
    </row>
    <row r="1038" spans="1:42" x14ac:dyDescent="0.45">
      <c r="A1038" t="s">
        <v>5344</v>
      </c>
      <c r="B1038" t="s">
        <v>5345</v>
      </c>
      <c r="C1038" t="s">
        <v>5346</v>
      </c>
      <c r="D1038">
        <v>2022</v>
      </c>
      <c r="E1038" t="s">
        <v>783</v>
      </c>
      <c r="F1038" t="s">
        <v>5347</v>
      </c>
      <c r="G1038">
        <v>147</v>
      </c>
      <c r="J1038" t="s">
        <v>5438</v>
      </c>
      <c r="K1038" t="s">
        <v>5439</v>
      </c>
      <c r="L1038" t="s">
        <v>5440</v>
      </c>
      <c r="M1038" t="s">
        <v>5441</v>
      </c>
      <c r="N1038" t="s">
        <v>5352</v>
      </c>
      <c r="O1038" t="s">
        <v>5353</v>
      </c>
      <c r="P1038" t="s">
        <v>223</v>
      </c>
      <c r="Q1038" t="s">
        <v>5354</v>
      </c>
      <c r="S1038">
        <v>49</v>
      </c>
      <c r="T1038" t="s">
        <v>5442</v>
      </c>
      <c r="U1038">
        <v>6003</v>
      </c>
      <c r="V1038">
        <v>4561</v>
      </c>
      <c r="W1038">
        <v>1.3162</v>
      </c>
      <c r="X1038" t="s">
        <v>70</v>
      </c>
      <c r="Y1038" t="s">
        <v>5356</v>
      </c>
      <c r="Z1038">
        <v>361.75</v>
      </c>
      <c r="AA1038">
        <v>582.99</v>
      </c>
      <c r="AB1038">
        <v>210897</v>
      </c>
      <c r="AC1038" t="b">
        <v>1</v>
      </c>
      <c r="AD1038" t="b">
        <v>1</v>
      </c>
      <c r="AE1038" t="b">
        <v>0</v>
      </c>
      <c r="AF1038" t="b">
        <v>0</v>
      </c>
      <c r="AG1038" t="s">
        <v>58</v>
      </c>
      <c r="AH1038">
        <v>20</v>
      </c>
      <c r="AI1038" t="s">
        <v>59</v>
      </c>
      <c r="AJ1038" t="s">
        <v>71</v>
      </c>
      <c r="AL1038" t="s">
        <v>72</v>
      </c>
      <c r="AM1038" t="s">
        <v>62</v>
      </c>
      <c r="AN1038" t="s">
        <v>63</v>
      </c>
      <c r="AO1038" t="s">
        <v>5357</v>
      </c>
      <c r="AP1038" t="s">
        <v>5439</v>
      </c>
    </row>
    <row r="1039" spans="1:42" x14ac:dyDescent="0.45">
      <c r="A1039" t="s">
        <v>5344</v>
      </c>
      <c r="B1039" t="s">
        <v>5345</v>
      </c>
      <c r="C1039" t="s">
        <v>5346</v>
      </c>
      <c r="D1039">
        <v>2022</v>
      </c>
      <c r="E1039" t="s">
        <v>783</v>
      </c>
      <c r="F1039" t="s">
        <v>5347</v>
      </c>
      <c r="G1039">
        <v>142</v>
      </c>
      <c r="J1039" t="s">
        <v>5443</v>
      </c>
      <c r="K1039" t="s">
        <v>5444</v>
      </c>
      <c r="L1039" t="s">
        <v>5445</v>
      </c>
      <c r="M1039" t="s">
        <v>5446</v>
      </c>
      <c r="N1039" t="s">
        <v>5352</v>
      </c>
      <c r="O1039" t="s">
        <v>5353</v>
      </c>
      <c r="P1039" t="s">
        <v>223</v>
      </c>
      <c r="Q1039" t="s">
        <v>5354</v>
      </c>
      <c r="S1039">
        <v>54</v>
      </c>
      <c r="T1039" t="s">
        <v>5447</v>
      </c>
      <c r="U1039">
        <v>5647</v>
      </c>
      <c r="V1039">
        <v>4561</v>
      </c>
      <c r="W1039">
        <v>1.2381</v>
      </c>
      <c r="X1039" t="s">
        <v>70</v>
      </c>
      <c r="Y1039" t="s">
        <v>5356</v>
      </c>
      <c r="Z1039">
        <v>396.75</v>
      </c>
      <c r="AA1039">
        <v>346.81</v>
      </c>
      <c r="AB1039">
        <v>137597</v>
      </c>
      <c r="AC1039" t="b">
        <v>1</v>
      </c>
      <c r="AD1039" t="b">
        <v>1</v>
      </c>
      <c r="AE1039" t="b">
        <v>0</v>
      </c>
      <c r="AF1039" t="b">
        <v>0</v>
      </c>
      <c r="AG1039" t="s">
        <v>58</v>
      </c>
      <c r="AH1039">
        <v>20</v>
      </c>
      <c r="AI1039" t="s">
        <v>59</v>
      </c>
      <c r="AJ1039" t="s">
        <v>71</v>
      </c>
      <c r="AL1039" t="s">
        <v>72</v>
      </c>
      <c r="AM1039" t="s">
        <v>62</v>
      </c>
      <c r="AN1039" t="s">
        <v>63</v>
      </c>
      <c r="AO1039" t="s">
        <v>5357</v>
      </c>
      <c r="AP1039" t="s">
        <v>5444</v>
      </c>
    </row>
    <row r="1040" spans="1:42" x14ac:dyDescent="0.45">
      <c r="A1040" t="s">
        <v>5344</v>
      </c>
      <c r="B1040" t="s">
        <v>5345</v>
      </c>
      <c r="C1040" t="s">
        <v>5346</v>
      </c>
      <c r="D1040">
        <v>2022</v>
      </c>
      <c r="E1040" t="s">
        <v>783</v>
      </c>
      <c r="F1040" t="s">
        <v>5347</v>
      </c>
      <c r="G1040">
        <v>141</v>
      </c>
      <c r="J1040" t="s">
        <v>5448</v>
      </c>
      <c r="K1040" t="s">
        <v>5449</v>
      </c>
      <c r="L1040" t="s">
        <v>5450</v>
      </c>
      <c r="M1040" t="s">
        <v>5451</v>
      </c>
      <c r="N1040" t="s">
        <v>5352</v>
      </c>
      <c r="O1040" t="s">
        <v>5353</v>
      </c>
      <c r="P1040" t="s">
        <v>223</v>
      </c>
      <c r="Q1040" t="s">
        <v>5354</v>
      </c>
      <c r="S1040">
        <v>55</v>
      </c>
      <c r="T1040" t="s">
        <v>5452</v>
      </c>
      <c r="U1040">
        <v>5128</v>
      </c>
      <c r="V1040">
        <v>4561</v>
      </c>
      <c r="W1040">
        <v>1.1243000000000001</v>
      </c>
      <c r="X1040" t="s">
        <v>70</v>
      </c>
      <c r="Y1040" t="s">
        <v>5356</v>
      </c>
      <c r="Z1040">
        <v>403.75</v>
      </c>
      <c r="AA1040">
        <v>408.04</v>
      </c>
      <c r="AB1040">
        <v>164746</v>
      </c>
      <c r="AC1040" t="b">
        <v>1</v>
      </c>
      <c r="AD1040" t="b">
        <v>1</v>
      </c>
      <c r="AE1040" t="b">
        <v>0</v>
      </c>
      <c r="AF1040" t="b">
        <v>0</v>
      </c>
      <c r="AG1040" t="s">
        <v>58</v>
      </c>
      <c r="AH1040">
        <v>20</v>
      </c>
      <c r="AI1040" t="s">
        <v>59</v>
      </c>
      <c r="AJ1040" t="s">
        <v>71</v>
      </c>
      <c r="AL1040" t="s">
        <v>72</v>
      </c>
      <c r="AM1040" t="s">
        <v>62</v>
      </c>
      <c r="AN1040" t="s">
        <v>63</v>
      </c>
      <c r="AO1040" t="s">
        <v>5357</v>
      </c>
      <c r="AP1040" t="s">
        <v>5449</v>
      </c>
    </row>
    <row r="1041" spans="1:42" x14ac:dyDescent="0.45">
      <c r="A1041" t="s">
        <v>5344</v>
      </c>
      <c r="B1041" t="s">
        <v>5345</v>
      </c>
      <c r="C1041" t="s">
        <v>5346</v>
      </c>
      <c r="D1041">
        <v>2022</v>
      </c>
      <c r="E1041" t="s">
        <v>783</v>
      </c>
      <c r="F1041" t="s">
        <v>5347</v>
      </c>
      <c r="G1041">
        <v>139</v>
      </c>
      <c r="J1041" t="s">
        <v>5453</v>
      </c>
      <c r="K1041" t="s">
        <v>5454</v>
      </c>
      <c r="L1041" t="s">
        <v>5455</v>
      </c>
      <c r="M1041" t="s">
        <v>5456</v>
      </c>
      <c r="N1041" t="s">
        <v>5352</v>
      </c>
      <c r="O1041" t="s">
        <v>5353</v>
      </c>
      <c r="P1041" t="s">
        <v>223</v>
      </c>
      <c r="Q1041" t="s">
        <v>5354</v>
      </c>
      <c r="S1041">
        <v>57</v>
      </c>
      <c r="T1041" t="s">
        <v>5457</v>
      </c>
      <c r="U1041">
        <v>6105</v>
      </c>
      <c r="V1041">
        <v>4561</v>
      </c>
      <c r="W1041">
        <v>1.3385</v>
      </c>
      <c r="X1041" t="s">
        <v>70</v>
      </c>
      <c r="Y1041" t="s">
        <v>5356</v>
      </c>
      <c r="Z1041">
        <v>417.75</v>
      </c>
      <c r="AA1041">
        <v>339.05</v>
      </c>
      <c r="AB1041">
        <v>141639</v>
      </c>
      <c r="AC1041" t="b">
        <v>1</v>
      </c>
      <c r="AD1041" t="b">
        <v>1</v>
      </c>
      <c r="AE1041" t="b">
        <v>0</v>
      </c>
      <c r="AF1041" t="b">
        <v>0</v>
      </c>
      <c r="AG1041" t="s">
        <v>58</v>
      </c>
      <c r="AH1041">
        <v>20</v>
      </c>
      <c r="AI1041" t="s">
        <v>59</v>
      </c>
      <c r="AJ1041" t="s">
        <v>71</v>
      </c>
      <c r="AL1041" t="s">
        <v>72</v>
      </c>
      <c r="AM1041" t="s">
        <v>62</v>
      </c>
      <c r="AN1041" t="s">
        <v>63</v>
      </c>
      <c r="AO1041" t="s">
        <v>5357</v>
      </c>
      <c r="AP1041" t="s">
        <v>5454</v>
      </c>
    </row>
    <row r="1042" spans="1:42" x14ac:dyDescent="0.45">
      <c r="A1042" t="s">
        <v>5344</v>
      </c>
      <c r="B1042" t="s">
        <v>5345</v>
      </c>
      <c r="C1042" t="s">
        <v>5346</v>
      </c>
      <c r="D1042">
        <v>2022</v>
      </c>
      <c r="E1042" t="s">
        <v>783</v>
      </c>
      <c r="F1042" t="s">
        <v>5347</v>
      </c>
      <c r="G1042">
        <v>157</v>
      </c>
      <c r="J1042" t="s">
        <v>5458</v>
      </c>
      <c r="K1042" t="s">
        <v>5459</v>
      </c>
      <c r="L1042" t="s">
        <v>5460</v>
      </c>
      <c r="M1042" t="s">
        <v>5461</v>
      </c>
      <c r="N1042" t="s">
        <v>5352</v>
      </c>
      <c r="O1042" t="s">
        <v>5353</v>
      </c>
      <c r="P1042" t="s">
        <v>223</v>
      </c>
      <c r="Q1042" t="s">
        <v>5354</v>
      </c>
      <c r="S1042">
        <v>39</v>
      </c>
      <c r="T1042" t="s">
        <v>5462</v>
      </c>
      <c r="U1042">
        <v>5382</v>
      </c>
      <c r="V1042">
        <v>4561</v>
      </c>
      <c r="W1042">
        <v>1.18</v>
      </c>
      <c r="X1042" t="s">
        <v>70</v>
      </c>
      <c r="Y1042" t="s">
        <v>5356</v>
      </c>
      <c r="Z1042">
        <v>291.79000000000002</v>
      </c>
      <c r="AA1042">
        <v>1432.48</v>
      </c>
      <c r="AB1042">
        <v>417977</v>
      </c>
      <c r="AC1042" t="b">
        <v>1</v>
      </c>
      <c r="AD1042" t="b">
        <v>1</v>
      </c>
      <c r="AE1042" t="b">
        <v>0</v>
      </c>
      <c r="AF1042" t="b">
        <v>0</v>
      </c>
      <c r="AG1042" t="s">
        <v>58</v>
      </c>
      <c r="AH1042">
        <v>20</v>
      </c>
      <c r="AI1042" t="s">
        <v>59</v>
      </c>
      <c r="AJ1042" t="s">
        <v>71</v>
      </c>
      <c r="AL1042" t="s">
        <v>72</v>
      </c>
      <c r="AM1042" t="s">
        <v>62</v>
      </c>
      <c r="AN1042" t="s">
        <v>63</v>
      </c>
      <c r="AO1042" t="s">
        <v>5357</v>
      </c>
      <c r="AP1042" t="s">
        <v>5459</v>
      </c>
    </row>
    <row r="1043" spans="1:42" x14ac:dyDescent="0.45">
      <c r="A1043" t="s">
        <v>5344</v>
      </c>
      <c r="B1043" t="s">
        <v>5345</v>
      </c>
      <c r="C1043" t="s">
        <v>5346</v>
      </c>
      <c r="D1043">
        <v>2022</v>
      </c>
      <c r="E1043" t="s">
        <v>783</v>
      </c>
      <c r="F1043" t="s">
        <v>5347</v>
      </c>
      <c r="G1043">
        <v>151</v>
      </c>
      <c r="J1043" t="s">
        <v>5463</v>
      </c>
      <c r="K1043" t="s">
        <v>5464</v>
      </c>
      <c r="L1043" t="s">
        <v>5465</v>
      </c>
      <c r="M1043" t="s">
        <v>5466</v>
      </c>
      <c r="N1043" t="s">
        <v>5352</v>
      </c>
      <c r="O1043" t="s">
        <v>5353</v>
      </c>
      <c r="P1043" t="s">
        <v>223</v>
      </c>
      <c r="Q1043" t="s">
        <v>5354</v>
      </c>
      <c r="S1043">
        <v>45</v>
      </c>
      <c r="T1043" t="s">
        <v>5467</v>
      </c>
      <c r="U1043">
        <v>5587</v>
      </c>
      <c r="V1043">
        <v>4561</v>
      </c>
      <c r="W1043">
        <v>1.2250000000000001</v>
      </c>
      <c r="X1043" t="s">
        <v>70</v>
      </c>
      <c r="Y1043" t="s">
        <v>5356</v>
      </c>
      <c r="Z1043">
        <v>333.75</v>
      </c>
      <c r="AA1043">
        <v>378.39</v>
      </c>
      <c r="AB1043">
        <v>126287</v>
      </c>
      <c r="AC1043" t="b">
        <v>1</v>
      </c>
      <c r="AD1043" t="b">
        <v>1</v>
      </c>
      <c r="AE1043" t="b">
        <v>0</v>
      </c>
      <c r="AF1043" t="b">
        <v>0</v>
      </c>
      <c r="AG1043" t="s">
        <v>58</v>
      </c>
      <c r="AH1043">
        <v>20</v>
      </c>
      <c r="AI1043" t="s">
        <v>59</v>
      </c>
      <c r="AJ1043" t="s">
        <v>71</v>
      </c>
      <c r="AL1043" t="s">
        <v>72</v>
      </c>
      <c r="AM1043" t="s">
        <v>62</v>
      </c>
      <c r="AN1043" t="s">
        <v>63</v>
      </c>
      <c r="AO1043" t="s">
        <v>5357</v>
      </c>
      <c r="AP1043" t="s">
        <v>5464</v>
      </c>
    </row>
    <row r="1044" spans="1:42" x14ac:dyDescent="0.45">
      <c r="A1044" t="s">
        <v>5344</v>
      </c>
      <c r="B1044" t="s">
        <v>5345</v>
      </c>
      <c r="C1044" t="s">
        <v>5346</v>
      </c>
      <c r="D1044">
        <v>2022</v>
      </c>
      <c r="E1044" t="s">
        <v>783</v>
      </c>
      <c r="F1044" t="s">
        <v>5347</v>
      </c>
      <c r="G1044">
        <v>123</v>
      </c>
      <c r="J1044" t="s">
        <v>5468</v>
      </c>
      <c r="K1044" t="s">
        <v>5469</v>
      </c>
      <c r="L1044" t="s">
        <v>5470</v>
      </c>
      <c r="M1044" t="s">
        <v>5471</v>
      </c>
      <c r="N1044" t="s">
        <v>5352</v>
      </c>
      <c r="O1044" t="s">
        <v>5353</v>
      </c>
      <c r="P1044" t="s">
        <v>223</v>
      </c>
      <c r="Q1044" t="s">
        <v>5354</v>
      </c>
      <c r="S1044">
        <v>72</v>
      </c>
      <c r="T1044" t="s">
        <v>5472</v>
      </c>
      <c r="U1044">
        <v>4330</v>
      </c>
      <c r="V1044">
        <v>4561</v>
      </c>
      <c r="W1044">
        <v>0.94940000000000002</v>
      </c>
      <c r="X1044" t="s">
        <v>70</v>
      </c>
      <c r="Y1044" t="s">
        <v>5356</v>
      </c>
      <c r="Z1044">
        <v>529.75</v>
      </c>
      <c r="AA1044">
        <v>422.17</v>
      </c>
      <c r="AB1044">
        <v>223644</v>
      </c>
      <c r="AC1044" t="b">
        <v>1</v>
      </c>
      <c r="AD1044" t="b">
        <v>1</v>
      </c>
      <c r="AE1044" t="b">
        <v>0</v>
      </c>
      <c r="AF1044" t="b">
        <v>0</v>
      </c>
      <c r="AG1044" t="s">
        <v>58</v>
      </c>
      <c r="AH1044">
        <v>20</v>
      </c>
      <c r="AI1044" t="s">
        <v>59</v>
      </c>
      <c r="AJ1044" t="s">
        <v>71</v>
      </c>
      <c r="AL1044" t="s">
        <v>72</v>
      </c>
      <c r="AM1044" t="s">
        <v>62</v>
      </c>
      <c r="AN1044" t="s">
        <v>63</v>
      </c>
      <c r="AO1044" t="s">
        <v>5357</v>
      </c>
      <c r="AP1044" t="s">
        <v>5469</v>
      </c>
    </row>
    <row r="1045" spans="1:42" x14ac:dyDescent="0.45">
      <c r="A1045" t="s">
        <v>5344</v>
      </c>
      <c r="B1045" t="s">
        <v>5345</v>
      </c>
      <c r="C1045" t="s">
        <v>5346</v>
      </c>
      <c r="D1045">
        <v>2022</v>
      </c>
      <c r="E1045" t="s">
        <v>783</v>
      </c>
      <c r="F1045" t="s">
        <v>5347</v>
      </c>
      <c r="G1045">
        <v>130</v>
      </c>
      <c r="J1045" t="s">
        <v>5473</v>
      </c>
      <c r="K1045" t="s">
        <v>5474</v>
      </c>
      <c r="L1045" t="s">
        <v>5475</v>
      </c>
      <c r="M1045" t="s">
        <v>5476</v>
      </c>
      <c r="N1045" t="s">
        <v>5352</v>
      </c>
      <c r="O1045" t="s">
        <v>5353</v>
      </c>
      <c r="P1045" t="s">
        <v>223</v>
      </c>
      <c r="Q1045" t="s">
        <v>5354</v>
      </c>
      <c r="S1045">
        <v>65</v>
      </c>
      <c r="T1045" t="s">
        <v>5477</v>
      </c>
      <c r="U1045">
        <v>5897</v>
      </c>
      <c r="V1045">
        <v>4561</v>
      </c>
      <c r="W1045">
        <v>1.2928999999999999</v>
      </c>
      <c r="X1045" t="s">
        <v>70</v>
      </c>
      <c r="Y1045" t="s">
        <v>5356</v>
      </c>
      <c r="Z1045">
        <v>480.75</v>
      </c>
      <c r="AA1045">
        <v>533.12</v>
      </c>
      <c r="AB1045">
        <v>256299</v>
      </c>
      <c r="AC1045" t="b">
        <v>1</v>
      </c>
      <c r="AD1045" t="b">
        <v>1</v>
      </c>
      <c r="AE1045" t="b">
        <v>0</v>
      </c>
      <c r="AF1045" t="b">
        <v>0</v>
      </c>
      <c r="AG1045" t="s">
        <v>58</v>
      </c>
      <c r="AH1045">
        <v>20</v>
      </c>
      <c r="AI1045" t="s">
        <v>59</v>
      </c>
      <c r="AJ1045" t="s">
        <v>71</v>
      </c>
      <c r="AL1045" t="s">
        <v>72</v>
      </c>
      <c r="AM1045" t="s">
        <v>62</v>
      </c>
      <c r="AN1045" t="s">
        <v>63</v>
      </c>
      <c r="AO1045" t="s">
        <v>5357</v>
      </c>
      <c r="AP1045" t="s">
        <v>5474</v>
      </c>
    </row>
    <row r="1046" spans="1:42" x14ac:dyDescent="0.45">
      <c r="A1046" t="s">
        <v>5344</v>
      </c>
      <c r="B1046" t="s">
        <v>5345</v>
      </c>
      <c r="C1046" t="s">
        <v>5346</v>
      </c>
      <c r="D1046">
        <v>2022</v>
      </c>
      <c r="E1046" t="s">
        <v>783</v>
      </c>
      <c r="F1046" t="s">
        <v>5347</v>
      </c>
      <c r="G1046">
        <v>124</v>
      </c>
      <c r="J1046" t="s">
        <v>5478</v>
      </c>
      <c r="K1046" t="s">
        <v>5479</v>
      </c>
      <c r="L1046" t="s">
        <v>5480</v>
      </c>
      <c r="M1046" t="s">
        <v>5481</v>
      </c>
      <c r="N1046" t="s">
        <v>5352</v>
      </c>
      <c r="O1046" t="s">
        <v>5353</v>
      </c>
      <c r="P1046" t="s">
        <v>223</v>
      </c>
      <c r="Q1046" t="s">
        <v>5354</v>
      </c>
      <c r="S1046">
        <v>71</v>
      </c>
      <c r="T1046" t="s">
        <v>5482</v>
      </c>
      <c r="U1046">
        <v>4040</v>
      </c>
      <c r="V1046">
        <v>4561</v>
      </c>
      <c r="W1046">
        <v>0.88580000000000003</v>
      </c>
      <c r="X1046" t="s">
        <v>70</v>
      </c>
      <c r="Y1046" t="s">
        <v>5356</v>
      </c>
      <c r="Z1046">
        <v>522.75</v>
      </c>
      <c r="AA1046">
        <v>283.86</v>
      </c>
      <c r="AB1046">
        <v>148388</v>
      </c>
      <c r="AC1046" t="b">
        <v>1</v>
      </c>
      <c r="AD1046" t="b">
        <v>1</v>
      </c>
      <c r="AE1046" t="b">
        <v>0</v>
      </c>
      <c r="AF1046" t="b">
        <v>0</v>
      </c>
      <c r="AG1046" t="s">
        <v>58</v>
      </c>
      <c r="AH1046">
        <v>20</v>
      </c>
      <c r="AI1046" t="s">
        <v>59</v>
      </c>
      <c r="AJ1046" t="s">
        <v>71</v>
      </c>
      <c r="AL1046" t="s">
        <v>72</v>
      </c>
      <c r="AM1046" t="s">
        <v>62</v>
      </c>
      <c r="AN1046" t="s">
        <v>63</v>
      </c>
      <c r="AO1046" t="s">
        <v>5357</v>
      </c>
      <c r="AP1046" t="s">
        <v>5479</v>
      </c>
    </row>
    <row r="1047" spans="1:42" x14ac:dyDescent="0.45">
      <c r="A1047" t="s">
        <v>5344</v>
      </c>
      <c r="B1047" t="s">
        <v>5345</v>
      </c>
      <c r="C1047" t="s">
        <v>5346</v>
      </c>
      <c r="D1047">
        <v>2022</v>
      </c>
      <c r="E1047" t="s">
        <v>783</v>
      </c>
      <c r="F1047" t="s">
        <v>5347</v>
      </c>
      <c r="G1047">
        <v>133</v>
      </c>
      <c r="J1047" t="s">
        <v>5483</v>
      </c>
      <c r="K1047" t="s">
        <v>5484</v>
      </c>
      <c r="L1047" t="s">
        <v>5485</v>
      </c>
      <c r="M1047" t="s">
        <v>5486</v>
      </c>
      <c r="N1047" t="s">
        <v>5352</v>
      </c>
      <c r="O1047" t="s">
        <v>5353</v>
      </c>
      <c r="P1047" t="s">
        <v>223</v>
      </c>
      <c r="Q1047" t="s">
        <v>5354</v>
      </c>
      <c r="S1047">
        <v>62</v>
      </c>
      <c r="T1047" t="s">
        <v>5487</v>
      </c>
      <c r="U1047">
        <v>4728</v>
      </c>
      <c r="V1047">
        <v>4561</v>
      </c>
      <c r="W1047">
        <v>1.0366</v>
      </c>
      <c r="X1047" t="s">
        <v>70</v>
      </c>
      <c r="Y1047" t="s">
        <v>5356</v>
      </c>
      <c r="Z1047">
        <v>459.75</v>
      </c>
      <c r="AA1047">
        <v>346.72</v>
      </c>
      <c r="AB1047">
        <v>159404</v>
      </c>
      <c r="AC1047" t="b">
        <v>1</v>
      </c>
      <c r="AD1047" t="b">
        <v>1</v>
      </c>
      <c r="AE1047" t="b">
        <v>0</v>
      </c>
      <c r="AF1047" t="b">
        <v>0</v>
      </c>
      <c r="AG1047" t="s">
        <v>58</v>
      </c>
      <c r="AH1047">
        <v>20</v>
      </c>
      <c r="AI1047" t="s">
        <v>59</v>
      </c>
      <c r="AJ1047" t="s">
        <v>71</v>
      </c>
      <c r="AL1047" t="s">
        <v>72</v>
      </c>
      <c r="AM1047" t="s">
        <v>62</v>
      </c>
      <c r="AN1047" t="s">
        <v>63</v>
      </c>
      <c r="AO1047" t="s">
        <v>5357</v>
      </c>
      <c r="AP1047" t="s">
        <v>5484</v>
      </c>
    </row>
    <row r="1048" spans="1:42" x14ac:dyDescent="0.45">
      <c r="A1048" t="s">
        <v>5344</v>
      </c>
      <c r="B1048" t="s">
        <v>5345</v>
      </c>
      <c r="C1048" t="s">
        <v>5346</v>
      </c>
      <c r="D1048">
        <v>2022</v>
      </c>
      <c r="E1048" t="s">
        <v>783</v>
      </c>
      <c r="F1048" t="s">
        <v>5347</v>
      </c>
      <c r="G1048">
        <v>129</v>
      </c>
      <c r="J1048" t="s">
        <v>5488</v>
      </c>
      <c r="K1048" t="s">
        <v>5489</v>
      </c>
      <c r="L1048" t="s">
        <v>5490</v>
      </c>
      <c r="M1048" t="s">
        <v>5491</v>
      </c>
      <c r="N1048" t="s">
        <v>5352</v>
      </c>
      <c r="O1048" t="s">
        <v>5353</v>
      </c>
      <c r="P1048" t="s">
        <v>223</v>
      </c>
      <c r="Q1048" t="s">
        <v>5354</v>
      </c>
      <c r="S1048">
        <v>66</v>
      </c>
      <c r="T1048" t="s">
        <v>5492</v>
      </c>
      <c r="U1048">
        <v>5767</v>
      </c>
      <c r="V1048">
        <v>4561</v>
      </c>
      <c r="W1048">
        <v>1.2644</v>
      </c>
      <c r="X1048" t="s">
        <v>70</v>
      </c>
      <c r="Y1048" t="s">
        <v>5356</v>
      </c>
      <c r="Z1048">
        <v>487.75</v>
      </c>
      <c r="AA1048">
        <v>529.53</v>
      </c>
      <c r="AB1048">
        <v>258277</v>
      </c>
      <c r="AC1048" t="b">
        <v>1</v>
      </c>
      <c r="AD1048" t="b">
        <v>1</v>
      </c>
      <c r="AE1048" t="b">
        <v>0</v>
      </c>
      <c r="AF1048" t="b">
        <v>0</v>
      </c>
      <c r="AG1048" t="s">
        <v>58</v>
      </c>
      <c r="AH1048">
        <v>20</v>
      </c>
      <c r="AI1048" t="s">
        <v>59</v>
      </c>
      <c r="AJ1048" t="s">
        <v>71</v>
      </c>
      <c r="AL1048" t="s">
        <v>72</v>
      </c>
      <c r="AM1048" t="s">
        <v>62</v>
      </c>
      <c r="AN1048" t="s">
        <v>63</v>
      </c>
      <c r="AO1048" t="s">
        <v>5357</v>
      </c>
      <c r="AP1048" t="s">
        <v>5489</v>
      </c>
    </row>
    <row r="1049" spans="1:42" x14ac:dyDescent="0.45">
      <c r="A1049" t="s">
        <v>5344</v>
      </c>
      <c r="B1049" t="s">
        <v>5345</v>
      </c>
      <c r="C1049" t="s">
        <v>5346</v>
      </c>
      <c r="D1049">
        <v>2022</v>
      </c>
      <c r="E1049" t="s">
        <v>783</v>
      </c>
      <c r="F1049" t="s">
        <v>5347</v>
      </c>
      <c r="G1049">
        <v>125</v>
      </c>
      <c r="J1049" t="s">
        <v>5493</v>
      </c>
      <c r="K1049" t="s">
        <v>5494</v>
      </c>
      <c r="L1049" t="s">
        <v>5495</v>
      </c>
      <c r="M1049" t="s">
        <v>5496</v>
      </c>
      <c r="N1049" t="s">
        <v>5352</v>
      </c>
      <c r="O1049" t="s">
        <v>5353</v>
      </c>
      <c r="P1049" t="s">
        <v>223</v>
      </c>
      <c r="Q1049" t="s">
        <v>5354</v>
      </c>
      <c r="S1049">
        <v>70</v>
      </c>
      <c r="T1049" t="s">
        <v>5497</v>
      </c>
      <c r="U1049">
        <v>4746</v>
      </c>
      <c r="V1049">
        <v>4561</v>
      </c>
      <c r="W1049">
        <v>1.0406</v>
      </c>
      <c r="X1049" t="s">
        <v>70</v>
      </c>
      <c r="Y1049" t="s">
        <v>5356</v>
      </c>
      <c r="Z1049">
        <v>515.75</v>
      </c>
      <c r="AA1049">
        <v>275.18</v>
      </c>
      <c r="AB1049">
        <v>141926</v>
      </c>
      <c r="AC1049" t="b">
        <v>1</v>
      </c>
      <c r="AD1049" t="b">
        <v>1</v>
      </c>
      <c r="AE1049" t="b">
        <v>0</v>
      </c>
      <c r="AF1049" t="b">
        <v>0</v>
      </c>
      <c r="AG1049" t="s">
        <v>58</v>
      </c>
      <c r="AH1049">
        <v>20</v>
      </c>
      <c r="AI1049" t="s">
        <v>59</v>
      </c>
      <c r="AJ1049" t="s">
        <v>71</v>
      </c>
      <c r="AL1049" t="s">
        <v>72</v>
      </c>
      <c r="AM1049" t="s">
        <v>62</v>
      </c>
      <c r="AN1049" t="s">
        <v>63</v>
      </c>
      <c r="AO1049" t="s">
        <v>5357</v>
      </c>
      <c r="AP1049" t="s">
        <v>5494</v>
      </c>
    </row>
    <row r="1050" spans="1:42" x14ac:dyDescent="0.45">
      <c r="A1050" t="s">
        <v>5344</v>
      </c>
      <c r="B1050" t="s">
        <v>5345</v>
      </c>
      <c r="C1050" t="s">
        <v>5346</v>
      </c>
      <c r="D1050">
        <v>2022</v>
      </c>
      <c r="E1050" t="s">
        <v>783</v>
      </c>
      <c r="F1050" t="s">
        <v>5347</v>
      </c>
      <c r="G1050">
        <v>126</v>
      </c>
      <c r="J1050" t="s">
        <v>5498</v>
      </c>
      <c r="K1050" t="s">
        <v>5499</v>
      </c>
      <c r="L1050" t="s">
        <v>5500</v>
      </c>
      <c r="M1050" t="s">
        <v>5501</v>
      </c>
      <c r="N1050" t="s">
        <v>5352</v>
      </c>
      <c r="O1050" t="s">
        <v>5353</v>
      </c>
      <c r="P1050" t="s">
        <v>223</v>
      </c>
      <c r="Q1050" t="s">
        <v>5354</v>
      </c>
      <c r="S1050">
        <v>69</v>
      </c>
      <c r="T1050" t="s">
        <v>5502</v>
      </c>
      <c r="U1050">
        <v>5698</v>
      </c>
      <c r="V1050">
        <v>4561</v>
      </c>
      <c r="W1050">
        <v>1.2493000000000001</v>
      </c>
      <c r="X1050" t="s">
        <v>70</v>
      </c>
      <c r="Y1050" t="s">
        <v>5356</v>
      </c>
      <c r="Z1050">
        <v>508.75</v>
      </c>
      <c r="AA1050">
        <v>1233.75</v>
      </c>
      <c r="AB1050">
        <v>627669</v>
      </c>
      <c r="AC1050" t="b">
        <v>1</v>
      </c>
      <c r="AD1050" t="b">
        <v>1</v>
      </c>
      <c r="AE1050" t="b">
        <v>0</v>
      </c>
      <c r="AF1050" t="b">
        <v>0</v>
      </c>
      <c r="AG1050" t="s">
        <v>58</v>
      </c>
      <c r="AH1050">
        <v>20</v>
      </c>
      <c r="AI1050" t="s">
        <v>59</v>
      </c>
      <c r="AJ1050" t="s">
        <v>71</v>
      </c>
      <c r="AL1050" t="s">
        <v>72</v>
      </c>
      <c r="AM1050" t="s">
        <v>62</v>
      </c>
      <c r="AN1050" t="s">
        <v>63</v>
      </c>
      <c r="AO1050" t="s">
        <v>5357</v>
      </c>
      <c r="AP1050" t="s">
        <v>5499</v>
      </c>
    </row>
    <row r="1051" spans="1:42" x14ac:dyDescent="0.45">
      <c r="A1051" t="s">
        <v>5344</v>
      </c>
      <c r="B1051" t="s">
        <v>5345</v>
      </c>
      <c r="C1051" t="s">
        <v>5346</v>
      </c>
      <c r="D1051">
        <v>2022</v>
      </c>
      <c r="E1051" t="s">
        <v>783</v>
      </c>
      <c r="F1051" t="s">
        <v>5347</v>
      </c>
      <c r="G1051">
        <v>137</v>
      </c>
      <c r="J1051" t="s">
        <v>5503</v>
      </c>
      <c r="K1051" t="s">
        <v>5504</v>
      </c>
      <c r="L1051" t="s">
        <v>5505</v>
      </c>
      <c r="M1051" t="s">
        <v>5506</v>
      </c>
      <c r="N1051" t="s">
        <v>5352</v>
      </c>
      <c r="O1051" t="s">
        <v>5353</v>
      </c>
      <c r="P1051" t="s">
        <v>223</v>
      </c>
      <c r="Q1051" t="s">
        <v>5354</v>
      </c>
      <c r="S1051">
        <v>59</v>
      </c>
      <c r="T1051" t="s">
        <v>5507</v>
      </c>
      <c r="U1051">
        <v>5425</v>
      </c>
      <c r="V1051">
        <v>4561</v>
      </c>
      <c r="W1051">
        <v>1.1894</v>
      </c>
      <c r="X1051" t="s">
        <v>70</v>
      </c>
      <c r="Y1051" t="s">
        <v>5356</v>
      </c>
      <c r="Z1051">
        <v>431.75</v>
      </c>
      <c r="AA1051">
        <v>666.52</v>
      </c>
      <c r="AB1051">
        <v>287770</v>
      </c>
      <c r="AC1051" t="b">
        <v>1</v>
      </c>
      <c r="AD1051" t="b">
        <v>1</v>
      </c>
      <c r="AE1051" t="b">
        <v>0</v>
      </c>
      <c r="AF1051" t="b">
        <v>0</v>
      </c>
      <c r="AG1051" t="s">
        <v>58</v>
      </c>
      <c r="AH1051">
        <v>20</v>
      </c>
      <c r="AI1051" t="s">
        <v>59</v>
      </c>
      <c r="AJ1051" t="s">
        <v>71</v>
      </c>
      <c r="AL1051" t="s">
        <v>72</v>
      </c>
      <c r="AM1051" t="s">
        <v>62</v>
      </c>
      <c r="AN1051" t="s">
        <v>63</v>
      </c>
      <c r="AO1051" t="s">
        <v>5357</v>
      </c>
      <c r="AP1051" t="s">
        <v>5504</v>
      </c>
    </row>
    <row r="1052" spans="1:42" x14ac:dyDescent="0.45">
      <c r="A1052" t="s">
        <v>5344</v>
      </c>
      <c r="B1052" t="s">
        <v>5345</v>
      </c>
      <c r="C1052" t="s">
        <v>5346</v>
      </c>
      <c r="D1052">
        <v>2022</v>
      </c>
      <c r="E1052" t="s">
        <v>783</v>
      </c>
      <c r="F1052" t="s">
        <v>5347</v>
      </c>
      <c r="G1052">
        <v>122</v>
      </c>
      <c r="J1052" t="s">
        <v>5508</v>
      </c>
      <c r="K1052" t="s">
        <v>5509</v>
      </c>
      <c r="L1052" t="s">
        <v>5510</v>
      </c>
      <c r="M1052" t="s">
        <v>5511</v>
      </c>
      <c r="N1052" t="s">
        <v>5352</v>
      </c>
      <c r="O1052" t="s">
        <v>5353</v>
      </c>
      <c r="P1052" t="s">
        <v>223</v>
      </c>
      <c r="Q1052" t="s">
        <v>5354</v>
      </c>
      <c r="S1052">
        <v>73</v>
      </c>
      <c r="T1052" t="s">
        <v>5512</v>
      </c>
      <c r="U1052">
        <v>4424</v>
      </c>
      <c r="V1052">
        <v>4561</v>
      </c>
      <c r="W1052">
        <v>0.97</v>
      </c>
      <c r="X1052" t="s">
        <v>70</v>
      </c>
      <c r="Y1052" t="s">
        <v>5356</v>
      </c>
      <c r="Z1052">
        <v>536.75</v>
      </c>
      <c r="AA1052">
        <v>572.91999999999996</v>
      </c>
      <c r="AB1052">
        <v>307513</v>
      </c>
      <c r="AC1052" t="b">
        <v>1</v>
      </c>
      <c r="AD1052" t="b">
        <v>1</v>
      </c>
      <c r="AE1052" t="b">
        <v>0</v>
      </c>
      <c r="AF1052" t="b">
        <v>0</v>
      </c>
      <c r="AG1052" t="s">
        <v>58</v>
      </c>
      <c r="AH1052">
        <v>20</v>
      </c>
      <c r="AI1052" t="s">
        <v>59</v>
      </c>
      <c r="AJ1052" t="s">
        <v>71</v>
      </c>
      <c r="AL1052" t="s">
        <v>72</v>
      </c>
      <c r="AM1052" t="s">
        <v>62</v>
      </c>
      <c r="AN1052" t="s">
        <v>63</v>
      </c>
      <c r="AO1052" t="s">
        <v>5357</v>
      </c>
      <c r="AP1052" t="s">
        <v>5509</v>
      </c>
    </row>
    <row r="1053" spans="1:42" x14ac:dyDescent="0.45">
      <c r="A1053" t="s">
        <v>5344</v>
      </c>
      <c r="B1053" t="s">
        <v>5345</v>
      </c>
      <c r="C1053" t="s">
        <v>5346</v>
      </c>
      <c r="D1053">
        <v>2022</v>
      </c>
      <c r="E1053" t="s">
        <v>783</v>
      </c>
      <c r="F1053" t="s">
        <v>5347</v>
      </c>
      <c r="G1053">
        <v>138</v>
      </c>
      <c r="J1053" t="s">
        <v>5513</v>
      </c>
      <c r="K1053" t="s">
        <v>5514</v>
      </c>
      <c r="L1053" t="s">
        <v>5515</v>
      </c>
      <c r="M1053" t="s">
        <v>5516</v>
      </c>
      <c r="N1053" t="s">
        <v>5352</v>
      </c>
      <c r="O1053" t="s">
        <v>5353</v>
      </c>
      <c r="P1053" t="s">
        <v>223</v>
      </c>
      <c r="Q1053" t="s">
        <v>5354</v>
      </c>
      <c r="S1053">
        <v>58</v>
      </c>
      <c r="T1053" t="s">
        <v>5517</v>
      </c>
      <c r="U1053">
        <v>5603</v>
      </c>
      <c r="V1053">
        <v>4561</v>
      </c>
      <c r="W1053">
        <v>1.2284999999999999</v>
      </c>
      <c r="X1053" t="s">
        <v>70</v>
      </c>
      <c r="Y1053" t="s">
        <v>5356</v>
      </c>
      <c r="Z1053">
        <v>424.75</v>
      </c>
      <c r="AA1053">
        <v>298.33</v>
      </c>
      <c r="AB1053">
        <v>126718</v>
      </c>
      <c r="AC1053" t="b">
        <v>1</v>
      </c>
      <c r="AD1053" t="b">
        <v>1</v>
      </c>
      <c r="AE1053" t="b">
        <v>0</v>
      </c>
      <c r="AF1053" t="b">
        <v>0</v>
      </c>
      <c r="AG1053" t="s">
        <v>58</v>
      </c>
      <c r="AH1053">
        <v>20</v>
      </c>
      <c r="AI1053" t="s">
        <v>59</v>
      </c>
      <c r="AJ1053" t="s">
        <v>71</v>
      </c>
      <c r="AL1053" t="s">
        <v>72</v>
      </c>
      <c r="AM1053" t="s">
        <v>62</v>
      </c>
      <c r="AN1053" t="s">
        <v>63</v>
      </c>
      <c r="AO1053" t="s">
        <v>5357</v>
      </c>
      <c r="AP1053" t="s">
        <v>5514</v>
      </c>
    </row>
    <row r="1054" spans="1:42" x14ac:dyDescent="0.45">
      <c r="A1054" t="s">
        <v>5344</v>
      </c>
      <c r="B1054" t="s">
        <v>5345</v>
      </c>
      <c r="C1054" t="s">
        <v>5346</v>
      </c>
      <c r="D1054">
        <v>2022</v>
      </c>
      <c r="E1054" t="s">
        <v>783</v>
      </c>
      <c r="F1054" t="s">
        <v>5347</v>
      </c>
      <c r="G1054">
        <v>116</v>
      </c>
      <c r="J1054" t="s">
        <v>5518</v>
      </c>
      <c r="K1054" t="s">
        <v>5519</v>
      </c>
      <c r="L1054" t="s">
        <v>5520</v>
      </c>
      <c r="M1054" t="s">
        <v>5521</v>
      </c>
      <c r="N1054" t="s">
        <v>5352</v>
      </c>
      <c r="O1054" t="s">
        <v>5353</v>
      </c>
      <c r="P1054" t="s">
        <v>223</v>
      </c>
      <c r="Q1054" t="s">
        <v>5354</v>
      </c>
      <c r="S1054">
        <v>79</v>
      </c>
      <c r="T1054" t="s">
        <v>5522</v>
      </c>
      <c r="U1054">
        <v>4939</v>
      </c>
      <c r="V1054">
        <v>4561</v>
      </c>
      <c r="W1054">
        <v>1.0829</v>
      </c>
      <c r="X1054" t="s">
        <v>70</v>
      </c>
      <c r="Y1054" t="s">
        <v>5356</v>
      </c>
      <c r="Z1054">
        <v>585.75</v>
      </c>
      <c r="AA1054">
        <v>330.23</v>
      </c>
      <c r="AB1054">
        <v>193433</v>
      </c>
      <c r="AC1054" t="b">
        <v>1</v>
      </c>
      <c r="AD1054" t="b">
        <v>1</v>
      </c>
      <c r="AE1054" t="b">
        <v>0</v>
      </c>
      <c r="AF1054" t="b">
        <v>0</v>
      </c>
      <c r="AG1054" t="s">
        <v>58</v>
      </c>
      <c r="AH1054">
        <v>20</v>
      </c>
      <c r="AI1054" t="s">
        <v>59</v>
      </c>
      <c r="AJ1054" t="s">
        <v>71</v>
      </c>
      <c r="AL1054" t="s">
        <v>72</v>
      </c>
      <c r="AM1054" t="s">
        <v>62</v>
      </c>
      <c r="AN1054" t="s">
        <v>63</v>
      </c>
      <c r="AO1054" t="s">
        <v>5357</v>
      </c>
      <c r="AP1054" t="s">
        <v>5519</v>
      </c>
    </row>
    <row r="1055" spans="1:42" x14ac:dyDescent="0.45">
      <c r="A1055" t="s">
        <v>5344</v>
      </c>
      <c r="B1055" t="s">
        <v>5345</v>
      </c>
      <c r="C1055" t="s">
        <v>5346</v>
      </c>
      <c r="D1055">
        <v>2022</v>
      </c>
      <c r="E1055" t="s">
        <v>783</v>
      </c>
      <c r="F1055" t="s">
        <v>5347</v>
      </c>
      <c r="G1055">
        <v>115</v>
      </c>
      <c r="J1055" t="s">
        <v>5523</v>
      </c>
      <c r="K1055" t="s">
        <v>5524</v>
      </c>
      <c r="L1055" t="s">
        <v>5525</v>
      </c>
      <c r="M1055" t="s">
        <v>5526</v>
      </c>
      <c r="N1055" t="s">
        <v>5352</v>
      </c>
      <c r="O1055" t="s">
        <v>5353</v>
      </c>
      <c r="P1055" t="s">
        <v>223</v>
      </c>
      <c r="Q1055" t="s">
        <v>5354</v>
      </c>
      <c r="S1055">
        <v>80</v>
      </c>
      <c r="T1055" t="s">
        <v>5527</v>
      </c>
      <c r="U1055">
        <v>4513</v>
      </c>
      <c r="V1055">
        <v>4561</v>
      </c>
      <c r="W1055">
        <v>0.98950000000000005</v>
      </c>
      <c r="X1055" t="s">
        <v>70</v>
      </c>
      <c r="Y1055" t="s">
        <v>5356</v>
      </c>
      <c r="Z1055">
        <v>592.75</v>
      </c>
      <c r="AA1055">
        <v>460.43</v>
      </c>
      <c r="AB1055">
        <v>272918</v>
      </c>
      <c r="AC1055" t="b">
        <v>1</v>
      </c>
      <c r="AD1055" t="b">
        <v>1</v>
      </c>
      <c r="AE1055" t="b">
        <v>0</v>
      </c>
      <c r="AF1055" t="b">
        <v>0</v>
      </c>
      <c r="AG1055" t="s">
        <v>58</v>
      </c>
      <c r="AH1055">
        <v>20</v>
      </c>
      <c r="AI1055" t="s">
        <v>59</v>
      </c>
      <c r="AJ1055" t="s">
        <v>71</v>
      </c>
      <c r="AL1055" t="s">
        <v>72</v>
      </c>
      <c r="AM1055" t="s">
        <v>62</v>
      </c>
      <c r="AN1055" t="s">
        <v>63</v>
      </c>
      <c r="AO1055" t="s">
        <v>5357</v>
      </c>
      <c r="AP1055" t="s">
        <v>5524</v>
      </c>
    </row>
    <row r="1056" spans="1:42" x14ac:dyDescent="0.45">
      <c r="A1056" t="s">
        <v>5344</v>
      </c>
      <c r="B1056" t="s">
        <v>5345</v>
      </c>
      <c r="C1056" t="s">
        <v>5346</v>
      </c>
      <c r="D1056">
        <v>2022</v>
      </c>
      <c r="E1056" t="s">
        <v>783</v>
      </c>
      <c r="F1056" t="s">
        <v>5347</v>
      </c>
      <c r="G1056">
        <v>109</v>
      </c>
      <c r="J1056" t="s">
        <v>5528</v>
      </c>
      <c r="K1056" t="s">
        <v>5529</v>
      </c>
      <c r="L1056" t="s">
        <v>5530</v>
      </c>
      <c r="M1056" t="s">
        <v>5531</v>
      </c>
      <c r="N1056" t="s">
        <v>5352</v>
      </c>
      <c r="O1056" t="s">
        <v>5353</v>
      </c>
      <c r="P1056" t="s">
        <v>223</v>
      </c>
      <c r="Q1056" t="s">
        <v>5354</v>
      </c>
      <c r="S1056">
        <v>86</v>
      </c>
      <c r="T1056" t="s">
        <v>5532</v>
      </c>
      <c r="U1056">
        <v>4034</v>
      </c>
      <c r="V1056">
        <v>4561</v>
      </c>
      <c r="W1056">
        <v>0.88449999999999995</v>
      </c>
      <c r="X1056" t="s">
        <v>70</v>
      </c>
      <c r="Y1056" t="s">
        <v>5356</v>
      </c>
      <c r="Z1056">
        <v>634.75</v>
      </c>
      <c r="AA1056">
        <v>1255.99</v>
      </c>
      <c r="AB1056">
        <v>797242</v>
      </c>
      <c r="AC1056" t="b">
        <v>1</v>
      </c>
      <c r="AD1056" t="b">
        <v>1</v>
      </c>
      <c r="AE1056" t="b">
        <v>0</v>
      </c>
      <c r="AF1056" t="b">
        <v>0</v>
      </c>
      <c r="AG1056" t="s">
        <v>58</v>
      </c>
      <c r="AH1056">
        <v>20</v>
      </c>
      <c r="AI1056" t="s">
        <v>59</v>
      </c>
      <c r="AJ1056" t="s">
        <v>71</v>
      </c>
      <c r="AL1056" t="s">
        <v>72</v>
      </c>
      <c r="AM1056" t="s">
        <v>62</v>
      </c>
      <c r="AN1056" t="s">
        <v>63</v>
      </c>
      <c r="AO1056" t="s">
        <v>5357</v>
      </c>
      <c r="AP1056" t="s">
        <v>5529</v>
      </c>
    </row>
    <row r="1057" spans="1:42" x14ac:dyDescent="0.45">
      <c r="A1057" t="s">
        <v>5344</v>
      </c>
      <c r="B1057" t="s">
        <v>5345</v>
      </c>
      <c r="C1057" t="s">
        <v>5346</v>
      </c>
      <c r="D1057">
        <v>2022</v>
      </c>
      <c r="E1057" t="s">
        <v>783</v>
      </c>
      <c r="F1057" t="s">
        <v>5347</v>
      </c>
      <c r="G1057">
        <v>106</v>
      </c>
      <c r="J1057" t="s">
        <v>5533</v>
      </c>
      <c r="K1057" t="s">
        <v>5534</v>
      </c>
      <c r="L1057" t="s">
        <v>5535</v>
      </c>
      <c r="M1057" t="s">
        <v>5536</v>
      </c>
      <c r="N1057" t="s">
        <v>5352</v>
      </c>
      <c r="O1057" t="s">
        <v>5353</v>
      </c>
      <c r="P1057" t="s">
        <v>223</v>
      </c>
      <c r="Q1057" t="s">
        <v>5354</v>
      </c>
      <c r="S1057">
        <v>89</v>
      </c>
      <c r="T1057" t="s">
        <v>5537</v>
      </c>
      <c r="U1057">
        <v>4213</v>
      </c>
      <c r="V1057">
        <v>4561</v>
      </c>
      <c r="W1057">
        <v>0.92369999999999997</v>
      </c>
      <c r="X1057" t="s">
        <v>70</v>
      </c>
      <c r="Y1057" t="s">
        <v>5356</v>
      </c>
      <c r="Z1057">
        <v>655.75</v>
      </c>
      <c r="AA1057">
        <v>493.19</v>
      </c>
      <c r="AB1057">
        <v>323410</v>
      </c>
      <c r="AC1057" t="b">
        <v>1</v>
      </c>
      <c r="AD1057" t="b">
        <v>1</v>
      </c>
      <c r="AE1057" t="b">
        <v>0</v>
      </c>
      <c r="AF1057" t="b">
        <v>0</v>
      </c>
      <c r="AG1057" t="s">
        <v>58</v>
      </c>
      <c r="AH1057">
        <v>20</v>
      </c>
      <c r="AI1057" t="s">
        <v>59</v>
      </c>
      <c r="AJ1057" t="s">
        <v>71</v>
      </c>
      <c r="AL1057" t="s">
        <v>72</v>
      </c>
      <c r="AM1057" t="s">
        <v>62</v>
      </c>
      <c r="AN1057" t="s">
        <v>63</v>
      </c>
      <c r="AO1057" t="s">
        <v>5357</v>
      </c>
      <c r="AP1057" t="s">
        <v>5534</v>
      </c>
    </row>
    <row r="1058" spans="1:42" x14ac:dyDescent="0.45">
      <c r="A1058" t="s">
        <v>5344</v>
      </c>
      <c r="B1058" t="s">
        <v>5345</v>
      </c>
      <c r="C1058" t="s">
        <v>5346</v>
      </c>
      <c r="D1058">
        <v>2022</v>
      </c>
      <c r="E1058" t="s">
        <v>783</v>
      </c>
      <c r="F1058" t="s">
        <v>5347</v>
      </c>
      <c r="G1058">
        <v>114</v>
      </c>
      <c r="J1058" t="s">
        <v>5538</v>
      </c>
      <c r="K1058" t="s">
        <v>5539</v>
      </c>
      <c r="L1058" t="s">
        <v>5540</v>
      </c>
      <c r="M1058" t="s">
        <v>5541</v>
      </c>
      <c r="N1058" t="s">
        <v>5352</v>
      </c>
      <c r="O1058" t="s">
        <v>5353</v>
      </c>
      <c r="P1058" t="s">
        <v>223</v>
      </c>
      <c r="Q1058" t="s">
        <v>5354</v>
      </c>
      <c r="S1058">
        <v>81</v>
      </c>
      <c r="T1058" t="s">
        <v>5542</v>
      </c>
      <c r="U1058">
        <v>4660</v>
      </c>
      <c r="V1058">
        <v>4561</v>
      </c>
      <c r="W1058">
        <v>1.0217000000000001</v>
      </c>
      <c r="X1058" t="s">
        <v>70</v>
      </c>
      <c r="Y1058" t="s">
        <v>5356</v>
      </c>
      <c r="Z1058">
        <v>599.75</v>
      </c>
      <c r="AA1058">
        <v>605.1</v>
      </c>
      <c r="AB1058">
        <v>362910</v>
      </c>
      <c r="AC1058" t="b">
        <v>1</v>
      </c>
      <c r="AD1058" t="b">
        <v>1</v>
      </c>
      <c r="AE1058" t="b">
        <v>0</v>
      </c>
      <c r="AF1058" t="b">
        <v>0</v>
      </c>
      <c r="AG1058" t="s">
        <v>58</v>
      </c>
      <c r="AH1058">
        <v>20</v>
      </c>
      <c r="AI1058" t="s">
        <v>59</v>
      </c>
      <c r="AJ1058" t="s">
        <v>71</v>
      </c>
      <c r="AL1058" t="s">
        <v>72</v>
      </c>
      <c r="AM1058" t="s">
        <v>62</v>
      </c>
      <c r="AN1058" t="s">
        <v>63</v>
      </c>
      <c r="AO1058" t="s">
        <v>5357</v>
      </c>
      <c r="AP1058" t="s">
        <v>5539</v>
      </c>
    </row>
    <row r="1059" spans="1:42" x14ac:dyDescent="0.45">
      <c r="A1059" t="s">
        <v>5344</v>
      </c>
      <c r="B1059" t="s">
        <v>5345</v>
      </c>
      <c r="C1059" t="s">
        <v>5346</v>
      </c>
      <c r="D1059">
        <v>2022</v>
      </c>
      <c r="E1059" t="s">
        <v>783</v>
      </c>
      <c r="F1059" t="s">
        <v>5347</v>
      </c>
      <c r="G1059">
        <v>119</v>
      </c>
      <c r="J1059" t="s">
        <v>5543</v>
      </c>
      <c r="K1059" t="s">
        <v>5544</v>
      </c>
      <c r="L1059" t="s">
        <v>5545</v>
      </c>
      <c r="M1059" t="s">
        <v>5546</v>
      </c>
      <c r="N1059" t="s">
        <v>5352</v>
      </c>
      <c r="O1059" t="s">
        <v>5353</v>
      </c>
      <c r="P1059" t="s">
        <v>223</v>
      </c>
      <c r="Q1059" t="s">
        <v>5354</v>
      </c>
      <c r="S1059">
        <v>76</v>
      </c>
      <c r="T1059" t="s">
        <v>5547</v>
      </c>
      <c r="U1059">
        <v>4881</v>
      </c>
      <c r="V1059">
        <v>4561</v>
      </c>
      <c r="W1059">
        <v>1.0702</v>
      </c>
      <c r="X1059" t="s">
        <v>70</v>
      </c>
      <c r="Y1059" t="s">
        <v>5356</v>
      </c>
      <c r="Z1059">
        <v>564.75</v>
      </c>
      <c r="AA1059">
        <v>305.10000000000002</v>
      </c>
      <c r="AB1059">
        <v>172307</v>
      </c>
      <c r="AC1059" t="b">
        <v>1</v>
      </c>
      <c r="AD1059" t="b">
        <v>1</v>
      </c>
      <c r="AE1059" t="b">
        <v>0</v>
      </c>
      <c r="AF1059" t="b">
        <v>0</v>
      </c>
      <c r="AG1059" t="s">
        <v>58</v>
      </c>
      <c r="AH1059">
        <v>20</v>
      </c>
      <c r="AI1059" t="s">
        <v>59</v>
      </c>
      <c r="AJ1059" t="s">
        <v>71</v>
      </c>
      <c r="AL1059" t="s">
        <v>72</v>
      </c>
      <c r="AM1059" t="s">
        <v>62</v>
      </c>
      <c r="AN1059" t="s">
        <v>63</v>
      </c>
      <c r="AO1059" t="s">
        <v>5357</v>
      </c>
      <c r="AP1059" t="s">
        <v>5544</v>
      </c>
    </row>
    <row r="1060" spans="1:42" x14ac:dyDescent="0.45">
      <c r="A1060" t="s">
        <v>5344</v>
      </c>
      <c r="B1060" t="s">
        <v>5345</v>
      </c>
      <c r="C1060" t="s">
        <v>5346</v>
      </c>
      <c r="D1060">
        <v>2022</v>
      </c>
      <c r="E1060" t="s">
        <v>783</v>
      </c>
      <c r="F1060" t="s">
        <v>5347</v>
      </c>
      <c r="G1060">
        <v>118</v>
      </c>
      <c r="J1060" t="s">
        <v>5548</v>
      </c>
      <c r="K1060" t="s">
        <v>5549</v>
      </c>
      <c r="L1060" t="s">
        <v>5550</v>
      </c>
      <c r="M1060" t="s">
        <v>5551</v>
      </c>
      <c r="N1060" t="s">
        <v>5352</v>
      </c>
      <c r="O1060" t="s">
        <v>5353</v>
      </c>
      <c r="P1060" t="s">
        <v>223</v>
      </c>
      <c r="Q1060" t="s">
        <v>5354</v>
      </c>
      <c r="S1060">
        <v>77</v>
      </c>
      <c r="T1060" t="s">
        <v>5552</v>
      </c>
      <c r="U1060">
        <v>5112</v>
      </c>
      <c r="V1060">
        <v>4561</v>
      </c>
      <c r="W1060">
        <v>1.1208</v>
      </c>
      <c r="X1060" t="s">
        <v>70</v>
      </c>
      <c r="Y1060" t="s">
        <v>5356</v>
      </c>
      <c r="Z1060">
        <v>571.75</v>
      </c>
      <c r="AA1060">
        <v>332.08</v>
      </c>
      <c r="AB1060">
        <v>189866</v>
      </c>
      <c r="AC1060" t="b">
        <v>1</v>
      </c>
      <c r="AD1060" t="b">
        <v>1</v>
      </c>
      <c r="AE1060" t="b">
        <v>0</v>
      </c>
      <c r="AF1060" t="b">
        <v>0</v>
      </c>
      <c r="AG1060" t="s">
        <v>58</v>
      </c>
      <c r="AH1060">
        <v>20</v>
      </c>
      <c r="AI1060" t="s">
        <v>59</v>
      </c>
      <c r="AJ1060" t="s">
        <v>71</v>
      </c>
      <c r="AL1060" t="s">
        <v>72</v>
      </c>
      <c r="AM1060" t="s">
        <v>62</v>
      </c>
      <c r="AN1060" t="s">
        <v>63</v>
      </c>
      <c r="AO1060" t="s">
        <v>5357</v>
      </c>
      <c r="AP1060" t="s">
        <v>5549</v>
      </c>
    </row>
    <row r="1061" spans="1:42" x14ac:dyDescent="0.45">
      <c r="A1061" t="s">
        <v>5344</v>
      </c>
      <c r="B1061" t="s">
        <v>5345</v>
      </c>
      <c r="C1061" t="s">
        <v>5346</v>
      </c>
      <c r="D1061">
        <v>2022</v>
      </c>
      <c r="E1061" t="s">
        <v>783</v>
      </c>
      <c r="F1061" t="s">
        <v>5347</v>
      </c>
      <c r="G1061">
        <v>111</v>
      </c>
      <c r="J1061" t="s">
        <v>5553</v>
      </c>
      <c r="K1061" t="s">
        <v>5554</v>
      </c>
      <c r="L1061" t="s">
        <v>5555</v>
      </c>
      <c r="M1061" t="s">
        <v>5556</v>
      </c>
      <c r="N1061" t="s">
        <v>5352</v>
      </c>
      <c r="O1061" t="s">
        <v>5353</v>
      </c>
      <c r="P1061" t="s">
        <v>223</v>
      </c>
      <c r="Q1061" t="s">
        <v>5354</v>
      </c>
      <c r="S1061">
        <v>84</v>
      </c>
      <c r="T1061" t="s">
        <v>5557</v>
      </c>
      <c r="U1061">
        <v>4073</v>
      </c>
      <c r="V1061">
        <v>4561</v>
      </c>
      <c r="W1061">
        <v>0.89300000000000002</v>
      </c>
      <c r="X1061" t="s">
        <v>70</v>
      </c>
      <c r="Y1061" t="s">
        <v>5356</v>
      </c>
      <c r="Z1061">
        <v>620.75</v>
      </c>
      <c r="AA1061">
        <v>820.95</v>
      </c>
      <c r="AB1061">
        <v>509606</v>
      </c>
      <c r="AC1061" t="b">
        <v>1</v>
      </c>
      <c r="AD1061" t="b">
        <v>1</v>
      </c>
      <c r="AE1061" t="b">
        <v>0</v>
      </c>
      <c r="AF1061" t="b">
        <v>0</v>
      </c>
      <c r="AG1061" t="s">
        <v>58</v>
      </c>
      <c r="AH1061">
        <v>20</v>
      </c>
      <c r="AI1061" t="s">
        <v>59</v>
      </c>
      <c r="AJ1061" t="s">
        <v>71</v>
      </c>
      <c r="AL1061" t="s">
        <v>72</v>
      </c>
      <c r="AM1061" t="s">
        <v>62</v>
      </c>
      <c r="AN1061" t="s">
        <v>63</v>
      </c>
      <c r="AO1061" t="s">
        <v>5357</v>
      </c>
      <c r="AP1061" t="s">
        <v>5554</v>
      </c>
    </row>
    <row r="1062" spans="1:42" x14ac:dyDescent="0.45">
      <c r="A1062" t="s">
        <v>5344</v>
      </c>
      <c r="B1062" t="s">
        <v>5345</v>
      </c>
      <c r="C1062" t="s">
        <v>5346</v>
      </c>
      <c r="D1062">
        <v>2022</v>
      </c>
      <c r="E1062" t="s">
        <v>783</v>
      </c>
      <c r="F1062" t="s">
        <v>5347</v>
      </c>
      <c r="G1062">
        <v>110</v>
      </c>
      <c r="J1062" t="s">
        <v>5558</v>
      </c>
      <c r="K1062" t="s">
        <v>5559</v>
      </c>
      <c r="L1062" t="s">
        <v>5560</v>
      </c>
      <c r="M1062" t="s">
        <v>5561</v>
      </c>
      <c r="N1062" t="s">
        <v>5352</v>
      </c>
      <c r="O1062" t="s">
        <v>5353</v>
      </c>
      <c r="P1062" t="s">
        <v>223</v>
      </c>
      <c r="Q1062" t="s">
        <v>5354</v>
      </c>
      <c r="S1062">
        <v>85</v>
      </c>
      <c r="T1062" t="s">
        <v>5562</v>
      </c>
      <c r="U1062">
        <v>5250</v>
      </c>
      <c r="V1062">
        <v>4561</v>
      </c>
      <c r="W1062">
        <v>1.1511</v>
      </c>
      <c r="X1062" t="s">
        <v>70</v>
      </c>
      <c r="Y1062" t="s">
        <v>5356</v>
      </c>
      <c r="Z1062">
        <v>627.75</v>
      </c>
      <c r="AA1062">
        <v>644.57000000000005</v>
      </c>
      <c r="AB1062">
        <v>404627</v>
      </c>
      <c r="AC1062" t="b">
        <v>1</v>
      </c>
      <c r="AD1062" t="b">
        <v>1</v>
      </c>
      <c r="AE1062" t="b">
        <v>0</v>
      </c>
      <c r="AF1062" t="b">
        <v>0</v>
      </c>
      <c r="AG1062" t="s">
        <v>58</v>
      </c>
      <c r="AH1062">
        <v>20</v>
      </c>
      <c r="AI1062" t="s">
        <v>59</v>
      </c>
      <c r="AJ1062" t="s">
        <v>71</v>
      </c>
      <c r="AL1062" t="s">
        <v>72</v>
      </c>
      <c r="AM1062" t="s">
        <v>62</v>
      </c>
      <c r="AN1062" t="s">
        <v>63</v>
      </c>
      <c r="AO1062" t="s">
        <v>5357</v>
      </c>
      <c r="AP1062" t="s">
        <v>5559</v>
      </c>
    </row>
    <row r="1063" spans="1:42" x14ac:dyDescent="0.45">
      <c r="A1063" t="s">
        <v>5344</v>
      </c>
      <c r="B1063" t="s">
        <v>5345</v>
      </c>
      <c r="C1063" t="s">
        <v>5346</v>
      </c>
      <c r="D1063">
        <v>2022</v>
      </c>
      <c r="E1063" t="s">
        <v>783</v>
      </c>
      <c r="F1063" t="s">
        <v>5347</v>
      </c>
      <c r="G1063">
        <v>113</v>
      </c>
      <c r="J1063" t="s">
        <v>5563</v>
      </c>
      <c r="K1063" t="s">
        <v>5564</v>
      </c>
      <c r="L1063" t="s">
        <v>5565</v>
      </c>
      <c r="M1063" t="s">
        <v>5566</v>
      </c>
      <c r="N1063" t="s">
        <v>5352</v>
      </c>
      <c r="O1063" t="s">
        <v>5353</v>
      </c>
      <c r="P1063" t="s">
        <v>223</v>
      </c>
      <c r="Q1063" t="s">
        <v>5354</v>
      </c>
      <c r="S1063">
        <v>82</v>
      </c>
      <c r="T1063" t="s">
        <v>5567</v>
      </c>
      <c r="U1063">
        <v>4411</v>
      </c>
      <c r="V1063">
        <v>4561</v>
      </c>
      <c r="W1063">
        <v>0.96709999999999996</v>
      </c>
      <c r="X1063" t="s">
        <v>70</v>
      </c>
      <c r="Y1063" t="s">
        <v>5356</v>
      </c>
      <c r="Z1063">
        <v>606.75</v>
      </c>
      <c r="AA1063">
        <v>376.91</v>
      </c>
      <c r="AB1063">
        <v>228690</v>
      </c>
      <c r="AC1063" t="b">
        <v>1</v>
      </c>
      <c r="AD1063" t="b">
        <v>1</v>
      </c>
      <c r="AE1063" t="b">
        <v>0</v>
      </c>
      <c r="AF1063" t="b">
        <v>0</v>
      </c>
      <c r="AG1063" t="s">
        <v>58</v>
      </c>
      <c r="AH1063">
        <v>20</v>
      </c>
      <c r="AI1063" t="s">
        <v>59</v>
      </c>
      <c r="AJ1063" t="s">
        <v>71</v>
      </c>
      <c r="AL1063" t="s">
        <v>72</v>
      </c>
      <c r="AM1063" t="s">
        <v>62</v>
      </c>
      <c r="AN1063" t="s">
        <v>63</v>
      </c>
      <c r="AO1063" t="s">
        <v>5357</v>
      </c>
      <c r="AP1063" t="s">
        <v>5564</v>
      </c>
    </row>
    <row r="1064" spans="1:42" x14ac:dyDescent="0.45">
      <c r="A1064" t="s">
        <v>5344</v>
      </c>
      <c r="B1064" t="s">
        <v>5345</v>
      </c>
      <c r="C1064" t="s">
        <v>5346</v>
      </c>
      <c r="D1064">
        <v>2022</v>
      </c>
      <c r="E1064" t="s">
        <v>783</v>
      </c>
      <c r="F1064" t="s">
        <v>5347</v>
      </c>
      <c r="G1064">
        <v>117</v>
      </c>
      <c r="J1064" t="s">
        <v>5568</v>
      </c>
      <c r="K1064" t="s">
        <v>5569</v>
      </c>
      <c r="L1064" t="s">
        <v>5570</v>
      </c>
      <c r="M1064" t="s">
        <v>5571</v>
      </c>
      <c r="N1064" t="s">
        <v>5352</v>
      </c>
      <c r="O1064" t="s">
        <v>5353</v>
      </c>
      <c r="P1064" t="s">
        <v>223</v>
      </c>
      <c r="Q1064" t="s">
        <v>5354</v>
      </c>
      <c r="S1064">
        <v>78</v>
      </c>
      <c r="T1064" t="s">
        <v>5572</v>
      </c>
      <c r="U1064">
        <v>5215</v>
      </c>
      <c r="V1064">
        <v>4561</v>
      </c>
      <c r="W1064">
        <v>1.1434</v>
      </c>
      <c r="X1064" t="s">
        <v>70</v>
      </c>
      <c r="Y1064" t="s">
        <v>5356</v>
      </c>
      <c r="Z1064">
        <v>578.75</v>
      </c>
      <c r="AA1064">
        <v>335.79</v>
      </c>
      <c r="AB1064">
        <v>194337</v>
      </c>
      <c r="AC1064" t="b">
        <v>1</v>
      </c>
      <c r="AD1064" t="b">
        <v>1</v>
      </c>
      <c r="AE1064" t="b">
        <v>0</v>
      </c>
      <c r="AF1064" t="b">
        <v>0</v>
      </c>
      <c r="AG1064" t="s">
        <v>58</v>
      </c>
      <c r="AH1064">
        <v>20</v>
      </c>
      <c r="AI1064" t="s">
        <v>59</v>
      </c>
      <c r="AJ1064" t="s">
        <v>71</v>
      </c>
      <c r="AL1064" t="s">
        <v>72</v>
      </c>
      <c r="AM1064" t="s">
        <v>62</v>
      </c>
      <c r="AN1064" t="s">
        <v>63</v>
      </c>
      <c r="AO1064" t="s">
        <v>5357</v>
      </c>
      <c r="AP1064" t="s">
        <v>5569</v>
      </c>
    </row>
    <row r="1065" spans="1:42" x14ac:dyDescent="0.45">
      <c r="A1065" t="s">
        <v>5344</v>
      </c>
      <c r="B1065" t="s">
        <v>5345</v>
      </c>
      <c r="C1065" t="s">
        <v>5346</v>
      </c>
      <c r="D1065">
        <v>2022</v>
      </c>
      <c r="E1065" t="s">
        <v>783</v>
      </c>
      <c r="F1065" t="s">
        <v>5347</v>
      </c>
      <c r="G1065">
        <v>97</v>
      </c>
      <c r="J1065" t="s">
        <v>5573</v>
      </c>
      <c r="K1065" t="s">
        <v>5574</v>
      </c>
      <c r="L1065" t="s">
        <v>5575</v>
      </c>
      <c r="M1065" t="s">
        <v>5576</v>
      </c>
      <c r="N1065" t="s">
        <v>5352</v>
      </c>
      <c r="O1065" t="s">
        <v>5353</v>
      </c>
      <c r="P1065" t="s">
        <v>223</v>
      </c>
      <c r="Q1065" t="s">
        <v>5354</v>
      </c>
      <c r="S1065">
        <v>98</v>
      </c>
      <c r="T1065" t="s">
        <v>5577</v>
      </c>
      <c r="U1065">
        <v>4585</v>
      </c>
      <c r="V1065">
        <v>4561</v>
      </c>
      <c r="W1065">
        <v>1.0053000000000001</v>
      </c>
      <c r="X1065" t="s">
        <v>70</v>
      </c>
      <c r="Y1065" t="s">
        <v>5356</v>
      </c>
      <c r="Z1065">
        <v>718.75</v>
      </c>
      <c r="AA1065">
        <v>976.25</v>
      </c>
      <c r="AB1065">
        <v>701683</v>
      </c>
      <c r="AC1065" t="b">
        <v>1</v>
      </c>
      <c r="AD1065" t="b">
        <v>1</v>
      </c>
      <c r="AE1065" t="b">
        <v>0</v>
      </c>
      <c r="AF1065" t="b">
        <v>0</v>
      </c>
      <c r="AG1065" t="s">
        <v>58</v>
      </c>
      <c r="AH1065">
        <v>20</v>
      </c>
      <c r="AI1065" t="s">
        <v>59</v>
      </c>
      <c r="AJ1065" t="s">
        <v>71</v>
      </c>
      <c r="AL1065" t="s">
        <v>72</v>
      </c>
      <c r="AM1065" t="s">
        <v>62</v>
      </c>
      <c r="AN1065" t="s">
        <v>63</v>
      </c>
      <c r="AO1065" t="s">
        <v>5357</v>
      </c>
      <c r="AP1065" t="s">
        <v>5574</v>
      </c>
    </row>
    <row r="1066" spans="1:42" x14ac:dyDescent="0.45">
      <c r="A1066" t="s">
        <v>5344</v>
      </c>
      <c r="B1066" t="s">
        <v>5345</v>
      </c>
      <c r="C1066" t="s">
        <v>5346</v>
      </c>
      <c r="D1066">
        <v>2022</v>
      </c>
      <c r="E1066" t="s">
        <v>783</v>
      </c>
      <c r="F1066" t="s">
        <v>5347</v>
      </c>
      <c r="G1066">
        <v>100</v>
      </c>
      <c r="J1066" t="s">
        <v>5578</v>
      </c>
      <c r="K1066" t="s">
        <v>5579</v>
      </c>
      <c r="L1066" t="s">
        <v>5580</v>
      </c>
      <c r="M1066" t="s">
        <v>5581</v>
      </c>
      <c r="N1066" t="s">
        <v>5352</v>
      </c>
      <c r="O1066" t="s">
        <v>5353</v>
      </c>
      <c r="P1066" t="s">
        <v>223</v>
      </c>
      <c r="Q1066" t="s">
        <v>5354</v>
      </c>
      <c r="S1066">
        <v>95</v>
      </c>
      <c r="T1066" t="s">
        <v>5582</v>
      </c>
      <c r="U1066">
        <v>4179</v>
      </c>
      <c r="V1066">
        <v>4561</v>
      </c>
      <c r="W1066">
        <v>0.91620000000000001</v>
      </c>
      <c r="X1066" t="s">
        <v>70</v>
      </c>
      <c r="Y1066" t="s">
        <v>5356</v>
      </c>
      <c r="Z1066">
        <v>697.75</v>
      </c>
      <c r="AA1066">
        <v>574.04999999999995</v>
      </c>
      <c r="AB1066">
        <v>400545</v>
      </c>
      <c r="AC1066" t="b">
        <v>1</v>
      </c>
      <c r="AD1066" t="b">
        <v>1</v>
      </c>
      <c r="AE1066" t="b">
        <v>0</v>
      </c>
      <c r="AF1066" t="b">
        <v>0</v>
      </c>
      <c r="AG1066" t="s">
        <v>58</v>
      </c>
      <c r="AH1066">
        <v>20</v>
      </c>
      <c r="AI1066" t="s">
        <v>59</v>
      </c>
      <c r="AJ1066" t="s">
        <v>71</v>
      </c>
      <c r="AL1066" t="s">
        <v>72</v>
      </c>
      <c r="AM1066" t="s">
        <v>62</v>
      </c>
      <c r="AN1066" t="s">
        <v>63</v>
      </c>
      <c r="AO1066" t="s">
        <v>5357</v>
      </c>
      <c r="AP1066" t="s">
        <v>5579</v>
      </c>
    </row>
    <row r="1067" spans="1:42" x14ac:dyDescent="0.45">
      <c r="A1067" t="s">
        <v>5344</v>
      </c>
      <c r="B1067" t="s">
        <v>5345</v>
      </c>
      <c r="C1067" t="s">
        <v>5346</v>
      </c>
      <c r="D1067">
        <v>2022</v>
      </c>
      <c r="E1067" t="s">
        <v>783</v>
      </c>
      <c r="F1067" t="s">
        <v>5347</v>
      </c>
      <c r="G1067">
        <v>103</v>
      </c>
      <c r="J1067" t="s">
        <v>5583</v>
      </c>
      <c r="K1067" t="s">
        <v>5584</v>
      </c>
      <c r="L1067" t="s">
        <v>5585</v>
      </c>
      <c r="M1067" t="s">
        <v>5586</v>
      </c>
      <c r="N1067" t="s">
        <v>5352</v>
      </c>
      <c r="O1067" t="s">
        <v>5353</v>
      </c>
      <c r="P1067" t="s">
        <v>223</v>
      </c>
      <c r="Q1067" t="s">
        <v>5354</v>
      </c>
      <c r="S1067">
        <v>92</v>
      </c>
      <c r="T1067" t="s">
        <v>5587</v>
      </c>
      <c r="U1067">
        <v>4395</v>
      </c>
      <c r="V1067">
        <v>4561</v>
      </c>
      <c r="W1067">
        <v>0.96360000000000001</v>
      </c>
      <c r="X1067" t="s">
        <v>70</v>
      </c>
      <c r="Y1067" t="s">
        <v>5356</v>
      </c>
      <c r="Z1067">
        <v>676.75</v>
      </c>
      <c r="AA1067">
        <v>705.87</v>
      </c>
      <c r="AB1067">
        <v>477697</v>
      </c>
      <c r="AC1067" t="b">
        <v>1</v>
      </c>
      <c r="AD1067" t="b">
        <v>1</v>
      </c>
      <c r="AE1067" t="b">
        <v>0</v>
      </c>
      <c r="AF1067" t="b">
        <v>0</v>
      </c>
      <c r="AG1067" t="s">
        <v>58</v>
      </c>
      <c r="AH1067">
        <v>20</v>
      </c>
      <c r="AI1067" t="s">
        <v>59</v>
      </c>
      <c r="AJ1067" t="s">
        <v>71</v>
      </c>
      <c r="AL1067" t="s">
        <v>72</v>
      </c>
      <c r="AM1067" t="s">
        <v>62</v>
      </c>
      <c r="AN1067" t="s">
        <v>63</v>
      </c>
      <c r="AO1067" t="s">
        <v>5357</v>
      </c>
      <c r="AP1067" t="s">
        <v>5584</v>
      </c>
    </row>
    <row r="1068" spans="1:42" x14ac:dyDescent="0.45">
      <c r="A1068" t="s">
        <v>5344</v>
      </c>
      <c r="B1068" t="s">
        <v>5345</v>
      </c>
      <c r="C1068" t="s">
        <v>5346</v>
      </c>
      <c r="D1068">
        <v>2022</v>
      </c>
      <c r="E1068" t="s">
        <v>783</v>
      </c>
      <c r="F1068" t="s">
        <v>5347</v>
      </c>
      <c r="G1068">
        <v>102</v>
      </c>
      <c r="J1068" t="s">
        <v>5588</v>
      </c>
      <c r="K1068" t="s">
        <v>5589</v>
      </c>
      <c r="L1068" t="s">
        <v>5590</v>
      </c>
      <c r="M1068" t="s">
        <v>5591</v>
      </c>
      <c r="N1068" t="s">
        <v>5352</v>
      </c>
      <c r="O1068" t="s">
        <v>5353</v>
      </c>
      <c r="P1068" t="s">
        <v>223</v>
      </c>
      <c r="Q1068" t="s">
        <v>5354</v>
      </c>
      <c r="S1068">
        <v>93</v>
      </c>
      <c r="T1068" t="s">
        <v>5592</v>
      </c>
      <c r="U1068">
        <v>4101</v>
      </c>
      <c r="V1068">
        <v>4561</v>
      </c>
      <c r="W1068">
        <v>0.89910000000000001</v>
      </c>
      <c r="X1068" t="s">
        <v>70</v>
      </c>
      <c r="Y1068" t="s">
        <v>5356</v>
      </c>
      <c r="Z1068">
        <v>683.75</v>
      </c>
      <c r="AA1068">
        <v>365.34</v>
      </c>
      <c r="AB1068">
        <v>249801</v>
      </c>
      <c r="AC1068" t="b">
        <v>1</v>
      </c>
      <c r="AD1068" t="b">
        <v>1</v>
      </c>
      <c r="AE1068" t="b">
        <v>0</v>
      </c>
      <c r="AF1068" t="b">
        <v>0</v>
      </c>
      <c r="AG1068" t="s">
        <v>58</v>
      </c>
      <c r="AH1068">
        <v>20</v>
      </c>
      <c r="AI1068" t="s">
        <v>59</v>
      </c>
      <c r="AJ1068" t="s">
        <v>71</v>
      </c>
      <c r="AL1068" t="s">
        <v>72</v>
      </c>
      <c r="AM1068" t="s">
        <v>62</v>
      </c>
      <c r="AN1068" t="s">
        <v>63</v>
      </c>
      <c r="AO1068" t="s">
        <v>5357</v>
      </c>
      <c r="AP1068" t="s">
        <v>5589</v>
      </c>
    </row>
    <row r="1069" spans="1:42" x14ac:dyDescent="0.45">
      <c r="A1069" t="s">
        <v>5344</v>
      </c>
      <c r="B1069" t="s">
        <v>5345</v>
      </c>
      <c r="C1069" t="s">
        <v>5346</v>
      </c>
      <c r="D1069">
        <v>2022</v>
      </c>
      <c r="E1069" t="s">
        <v>783</v>
      </c>
      <c r="F1069" t="s">
        <v>5347</v>
      </c>
      <c r="G1069">
        <v>101</v>
      </c>
      <c r="J1069" t="s">
        <v>5593</v>
      </c>
      <c r="K1069" t="s">
        <v>5594</v>
      </c>
      <c r="L1069" t="s">
        <v>5595</v>
      </c>
      <c r="M1069" t="s">
        <v>5596</v>
      </c>
      <c r="N1069" t="s">
        <v>5352</v>
      </c>
      <c r="O1069" t="s">
        <v>5353</v>
      </c>
      <c r="P1069" t="s">
        <v>223</v>
      </c>
      <c r="Q1069" t="s">
        <v>5354</v>
      </c>
      <c r="S1069">
        <v>94</v>
      </c>
      <c r="T1069" t="s">
        <v>5597</v>
      </c>
      <c r="U1069">
        <v>4439</v>
      </c>
      <c r="V1069">
        <v>4561</v>
      </c>
      <c r="W1069">
        <v>0.97330000000000005</v>
      </c>
      <c r="X1069" t="s">
        <v>70</v>
      </c>
      <c r="Y1069" t="s">
        <v>5356</v>
      </c>
      <c r="Z1069">
        <v>690.75</v>
      </c>
      <c r="AA1069">
        <v>531.91999999999996</v>
      </c>
      <c r="AB1069">
        <v>367423</v>
      </c>
      <c r="AC1069" t="b">
        <v>1</v>
      </c>
      <c r="AD1069" t="b">
        <v>1</v>
      </c>
      <c r="AE1069" t="b">
        <v>0</v>
      </c>
      <c r="AF1069" t="b">
        <v>0</v>
      </c>
      <c r="AG1069" t="s">
        <v>58</v>
      </c>
      <c r="AH1069">
        <v>20</v>
      </c>
      <c r="AI1069" t="s">
        <v>59</v>
      </c>
      <c r="AJ1069" t="s">
        <v>71</v>
      </c>
      <c r="AL1069" t="s">
        <v>72</v>
      </c>
      <c r="AM1069" t="s">
        <v>62</v>
      </c>
      <c r="AN1069" t="s">
        <v>63</v>
      </c>
      <c r="AO1069" t="s">
        <v>5357</v>
      </c>
      <c r="AP1069" t="s">
        <v>5594</v>
      </c>
    </row>
    <row r="1070" spans="1:42" x14ac:dyDescent="0.45">
      <c r="A1070" t="s">
        <v>5344</v>
      </c>
      <c r="B1070" t="s">
        <v>5345</v>
      </c>
      <c r="C1070" t="s">
        <v>5346</v>
      </c>
      <c r="D1070">
        <v>2022</v>
      </c>
      <c r="E1070" t="s">
        <v>783</v>
      </c>
      <c r="F1070" t="s">
        <v>5347</v>
      </c>
      <c r="G1070">
        <v>99</v>
      </c>
      <c r="J1070" t="s">
        <v>5598</v>
      </c>
      <c r="K1070" t="s">
        <v>5599</v>
      </c>
      <c r="L1070" t="s">
        <v>5600</v>
      </c>
      <c r="M1070" t="s">
        <v>5601</v>
      </c>
      <c r="N1070" t="s">
        <v>5352</v>
      </c>
      <c r="O1070" t="s">
        <v>5353</v>
      </c>
      <c r="P1070" t="s">
        <v>223</v>
      </c>
      <c r="Q1070" t="s">
        <v>5354</v>
      </c>
      <c r="S1070">
        <v>96</v>
      </c>
      <c r="T1070" t="s">
        <v>5602</v>
      </c>
      <c r="U1070">
        <v>4105</v>
      </c>
      <c r="V1070">
        <v>4561</v>
      </c>
      <c r="W1070">
        <v>0.9</v>
      </c>
      <c r="X1070" t="s">
        <v>70</v>
      </c>
      <c r="Y1070" t="s">
        <v>5356</v>
      </c>
      <c r="Z1070">
        <v>704.75</v>
      </c>
      <c r="AA1070">
        <v>566.46</v>
      </c>
      <c r="AB1070">
        <v>399211</v>
      </c>
      <c r="AC1070" t="b">
        <v>1</v>
      </c>
      <c r="AD1070" t="b">
        <v>1</v>
      </c>
      <c r="AE1070" t="b">
        <v>0</v>
      </c>
      <c r="AF1070" t="b">
        <v>0</v>
      </c>
      <c r="AG1070" t="s">
        <v>58</v>
      </c>
      <c r="AH1070">
        <v>20</v>
      </c>
      <c r="AI1070" t="s">
        <v>59</v>
      </c>
      <c r="AJ1070" t="s">
        <v>71</v>
      </c>
      <c r="AL1070" t="s">
        <v>72</v>
      </c>
      <c r="AM1070" t="s">
        <v>62</v>
      </c>
      <c r="AN1070" t="s">
        <v>63</v>
      </c>
      <c r="AO1070" t="s">
        <v>5357</v>
      </c>
      <c r="AP1070" t="s">
        <v>5599</v>
      </c>
    </row>
    <row r="1071" spans="1:42" x14ac:dyDescent="0.45">
      <c r="A1071" t="s">
        <v>5344</v>
      </c>
      <c r="B1071" t="s">
        <v>5345</v>
      </c>
      <c r="C1071" t="s">
        <v>5346</v>
      </c>
      <c r="D1071">
        <v>2022</v>
      </c>
      <c r="E1071" t="s">
        <v>783</v>
      </c>
      <c r="F1071" t="s">
        <v>5347</v>
      </c>
      <c r="G1071">
        <v>96</v>
      </c>
      <c r="J1071" t="s">
        <v>5603</v>
      </c>
      <c r="K1071" t="s">
        <v>5604</v>
      </c>
      <c r="L1071" t="s">
        <v>5605</v>
      </c>
      <c r="M1071" t="s">
        <v>5606</v>
      </c>
      <c r="N1071" t="s">
        <v>5352</v>
      </c>
      <c r="O1071" t="s">
        <v>5353</v>
      </c>
      <c r="P1071" t="s">
        <v>223</v>
      </c>
      <c r="Q1071" t="s">
        <v>5354</v>
      </c>
      <c r="S1071">
        <v>99</v>
      </c>
      <c r="T1071" t="s">
        <v>5607</v>
      </c>
      <c r="U1071">
        <v>4569</v>
      </c>
      <c r="V1071">
        <v>4561</v>
      </c>
      <c r="W1071">
        <v>1.0018</v>
      </c>
      <c r="X1071" t="s">
        <v>70</v>
      </c>
      <c r="Y1071" t="s">
        <v>5356</v>
      </c>
      <c r="Z1071">
        <v>725.75</v>
      </c>
      <c r="AA1071">
        <v>428.6</v>
      </c>
      <c r="AB1071">
        <v>311055</v>
      </c>
      <c r="AC1071" t="b">
        <v>1</v>
      </c>
      <c r="AD1071" t="b">
        <v>1</v>
      </c>
      <c r="AE1071" t="b">
        <v>0</v>
      </c>
      <c r="AF1071" t="b">
        <v>0</v>
      </c>
      <c r="AG1071" t="s">
        <v>58</v>
      </c>
      <c r="AH1071">
        <v>20</v>
      </c>
      <c r="AI1071" t="s">
        <v>59</v>
      </c>
      <c r="AJ1071" t="s">
        <v>71</v>
      </c>
      <c r="AL1071" t="s">
        <v>72</v>
      </c>
      <c r="AM1071" t="s">
        <v>62</v>
      </c>
      <c r="AN1071" t="s">
        <v>63</v>
      </c>
      <c r="AO1071" t="s">
        <v>5357</v>
      </c>
      <c r="AP1071" t="s">
        <v>5604</v>
      </c>
    </row>
    <row r="1072" spans="1:42" x14ac:dyDescent="0.45">
      <c r="A1072" t="s">
        <v>5344</v>
      </c>
      <c r="B1072" t="s">
        <v>5345</v>
      </c>
      <c r="C1072" t="s">
        <v>5346</v>
      </c>
      <c r="D1072">
        <v>2022</v>
      </c>
      <c r="E1072" t="s">
        <v>783</v>
      </c>
      <c r="F1072" t="s">
        <v>5347</v>
      </c>
      <c r="G1072">
        <v>104</v>
      </c>
      <c r="J1072" t="s">
        <v>5608</v>
      </c>
      <c r="K1072" t="s">
        <v>5609</v>
      </c>
      <c r="L1072" t="s">
        <v>5610</v>
      </c>
      <c r="M1072" t="s">
        <v>5611</v>
      </c>
      <c r="N1072" t="s">
        <v>5352</v>
      </c>
      <c r="O1072" t="s">
        <v>5353</v>
      </c>
      <c r="P1072" t="s">
        <v>223</v>
      </c>
      <c r="Q1072" t="s">
        <v>5354</v>
      </c>
      <c r="S1072">
        <v>91</v>
      </c>
      <c r="T1072" t="s">
        <v>5612</v>
      </c>
      <c r="U1072">
        <v>4019</v>
      </c>
      <c r="V1072">
        <v>4561</v>
      </c>
      <c r="W1072">
        <v>0.88119999999999998</v>
      </c>
      <c r="X1072" t="s">
        <v>70</v>
      </c>
      <c r="Y1072" t="s">
        <v>5356</v>
      </c>
      <c r="Z1072">
        <v>669.75</v>
      </c>
      <c r="AA1072">
        <v>583.77</v>
      </c>
      <c r="AB1072">
        <v>390978</v>
      </c>
      <c r="AC1072" t="b">
        <v>1</v>
      </c>
      <c r="AD1072" t="b">
        <v>1</v>
      </c>
      <c r="AE1072" t="b">
        <v>0</v>
      </c>
      <c r="AF1072" t="b">
        <v>0</v>
      </c>
      <c r="AG1072" t="s">
        <v>58</v>
      </c>
      <c r="AH1072">
        <v>20</v>
      </c>
      <c r="AI1072" t="s">
        <v>59</v>
      </c>
      <c r="AJ1072" t="s">
        <v>71</v>
      </c>
      <c r="AL1072" t="s">
        <v>72</v>
      </c>
      <c r="AM1072" t="s">
        <v>62</v>
      </c>
      <c r="AN1072" t="s">
        <v>63</v>
      </c>
      <c r="AO1072" t="s">
        <v>5357</v>
      </c>
      <c r="AP1072" t="s">
        <v>5609</v>
      </c>
    </row>
    <row r="1073" spans="1:42" x14ac:dyDescent="0.45">
      <c r="A1073" t="s">
        <v>5344</v>
      </c>
      <c r="B1073" t="s">
        <v>5345</v>
      </c>
      <c r="C1073" t="s">
        <v>5346</v>
      </c>
      <c r="D1073">
        <v>2022</v>
      </c>
      <c r="E1073" t="s">
        <v>783</v>
      </c>
      <c r="F1073" t="s">
        <v>5347</v>
      </c>
      <c r="G1073">
        <v>197</v>
      </c>
      <c r="J1073" t="s">
        <v>5613</v>
      </c>
      <c r="K1073" t="s">
        <v>5614</v>
      </c>
      <c r="L1073" t="s">
        <v>5615</v>
      </c>
      <c r="M1073" t="s">
        <v>5616</v>
      </c>
      <c r="N1073" t="s">
        <v>5352</v>
      </c>
      <c r="O1073" t="s">
        <v>5353</v>
      </c>
      <c r="P1073" t="s">
        <v>223</v>
      </c>
      <c r="Q1073" t="s">
        <v>5354</v>
      </c>
      <c r="S1073">
        <v>1</v>
      </c>
      <c r="T1073" t="s">
        <v>5617</v>
      </c>
      <c r="U1073">
        <v>5572</v>
      </c>
      <c r="V1073">
        <v>4561</v>
      </c>
      <c r="W1073">
        <v>1.2217</v>
      </c>
      <c r="X1073" t="s">
        <v>70</v>
      </c>
      <c r="Y1073" t="s">
        <v>5356</v>
      </c>
      <c r="Z1073">
        <v>11.76</v>
      </c>
      <c r="AA1073">
        <v>17088.72</v>
      </c>
      <c r="AB1073">
        <v>200986</v>
      </c>
      <c r="AC1073" t="b">
        <v>1</v>
      </c>
      <c r="AD1073" t="b">
        <v>1</v>
      </c>
      <c r="AE1073" t="b">
        <v>0</v>
      </c>
      <c r="AF1073" t="b">
        <v>0</v>
      </c>
      <c r="AG1073" t="s">
        <v>58</v>
      </c>
      <c r="AH1073">
        <v>20</v>
      </c>
      <c r="AI1073" t="s">
        <v>59</v>
      </c>
      <c r="AJ1073" t="s">
        <v>71</v>
      </c>
      <c r="AL1073" t="s">
        <v>72</v>
      </c>
      <c r="AM1073" t="s">
        <v>62</v>
      </c>
      <c r="AN1073" t="s">
        <v>63</v>
      </c>
      <c r="AO1073" t="s">
        <v>5357</v>
      </c>
      <c r="AP1073" t="s">
        <v>5614</v>
      </c>
    </row>
    <row r="1074" spans="1:42" x14ac:dyDescent="0.45">
      <c r="A1074" t="s">
        <v>5344</v>
      </c>
      <c r="B1074" t="s">
        <v>5345</v>
      </c>
      <c r="C1074" t="s">
        <v>5346</v>
      </c>
      <c r="D1074">
        <v>2022</v>
      </c>
      <c r="E1074" t="s">
        <v>783</v>
      </c>
      <c r="F1074" t="s">
        <v>5347</v>
      </c>
      <c r="G1074">
        <v>193</v>
      </c>
      <c r="J1074" t="s">
        <v>5618</v>
      </c>
      <c r="K1074" t="s">
        <v>5619</v>
      </c>
      <c r="L1074" t="s">
        <v>5620</v>
      </c>
      <c r="M1074" t="s">
        <v>5621</v>
      </c>
      <c r="N1074" t="s">
        <v>5352</v>
      </c>
      <c r="O1074" t="s">
        <v>5353</v>
      </c>
      <c r="P1074" t="s">
        <v>223</v>
      </c>
      <c r="Q1074" t="s">
        <v>5354</v>
      </c>
      <c r="S1074">
        <v>5</v>
      </c>
      <c r="T1074" t="s">
        <v>5622</v>
      </c>
      <c r="U1074">
        <v>5515</v>
      </c>
      <c r="V1074">
        <v>4561</v>
      </c>
      <c r="W1074">
        <v>1.2092000000000001</v>
      </c>
      <c r="X1074" t="s">
        <v>70</v>
      </c>
      <c r="Y1074" t="s">
        <v>5356</v>
      </c>
      <c r="Z1074">
        <v>39.76</v>
      </c>
      <c r="AA1074">
        <v>3047.16</v>
      </c>
      <c r="AB1074">
        <v>121159</v>
      </c>
      <c r="AC1074" t="b">
        <v>1</v>
      </c>
      <c r="AD1074" t="b">
        <v>1</v>
      </c>
      <c r="AE1074" t="b">
        <v>0</v>
      </c>
      <c r="AF1074" t="b">
        <v>0</v>
      </c>
      <c r="AG1074" t="s">
        <v>58</v>
      </c>
      <c r="AH1074">
        <v>20</v>
      </c>
      <c r="AI1074" t="s">
        <v>59</v>
      </c>
      <c r="AJ1074" t="s">
        <v>71</v>
      </c>
      <c r="AL1074" t="s">
        <v>72</v>
      </c>
      <c r="AM1074" t="s">
        <v>62</v>
      </c>
      <c r="AN1074" t="s">
        <v>63</v>
      </c>
      <c r="AO1074" t="s">
        <v>5357</v>
      </c>
      <c r="AP1074" t="s">
        <v>5619</v>
      </c>
    </row>
    <row r="1075" spans="1:42" x14ac:dyDescent="0.45">
      <c r="A1075" t="s">
        <v>5344</v>
      </c>
      <c r="B1075" t="s">
        <v>5345</v>
      </c>
      <c r="C1075" t="s">
        <v>5346</v>
      </c>
      <c r="D1075">
        <v>2022</v>
      </c>
      <c r="E1075" t="s">
        <v>783</v>
      </c>
      <c r="F1075" t="s">
        <v>5347</v>
      </c>
      <c r="G1075">
        <v>191</v>
      </c>
      <c r="J1075" t="s">
        <v>5623</v>
      </c>
      <c r="K1075" t="s">
        <v>5624</v>
      </c>
      <c r="L1075" t="s">
        <v>5625</v>
      </c>
      <c r="M1075" t="s">
        <v>5626</v>
      </c>
      <c r="N1075" t="s">
        <v>5352</v>
      </c>
      <c r="O1075" t="s">
        <v>5353</v>
      </c>
      <c r="P1075" t="s">
        <v>223</v>
      </c>
      <c r="Q1075" t="s">
        <v>5354</v>
      </c>
      <c r="S1075">
        <v>7</v>
      </c>
      <c r="T1075" t="s">
        <v>5627</v>
      </c>
      <c r="U1075">
        <v>5671</v>
      </c>
      <c r="V1075">
        <v>4561</v>
      </c>
      <c r="W1075">
        <v>1.2434000000000001</v>
      </c>
      <c r="X1075" t="s">
        <v>70</v>
      </c>
      <c r="Y1075" t="s">
        <v>5356</v>
      </c>
      <c r="Z1075">
        <v>53.76</v>
      </c>
      <c r="AA1075">
        <v>3709.17</v>
      </c>
      <c r="AB1075">
        <v>199410</v>
      </c>
      <c r="AC1075" t="b">
        <v>1</v>
      </c>
      <c r="AD1075" t="b">
        <v>1</v>
      </c>
      <c r="AE1075" t="b">
        <v>0</v>
      </c>
      <c r="AF1075" t="b">
        <v>0</v>
      </c>
      <c r="AG1075" t="s">
        <v>58</v>
      </c>
      <c r="AH1075">
        <v>20</v>
      </c>
      <c r="AI1075" t="s">
        <v>59</v>
      </c>
      <c r="AJ1075" t="s">
        <v>71</v>
      </c>
      <c r="AL1075" t="s">
        <v>72</v>
      </c>
      <c r="AM1075" t="s">
        <v>62</v>
      </c>
      <c r="AN1075" t="s">
        <v>63</v>
      </c>
      <c r="AO1075" t="s">
        <v>5357</v>
      </c>
      <c r="AP1075" t="s">
        <v>5624</v>
      </c>
    </row>
    <row r="1076" spans="1:42" x14ac:dyDescent="0.45">
      <c r="A1076" t="s">
        <v>5344</v>
      </c>
      <c r="B1076" t="s">
        <v>5345</v>
      </c>
      <c r="C1076" t="s">
        <v>5346</v>
      </c>
      <c r="D1076">
        <v>2022</v>
      </c>
      <c r="E1076" t="s">
        <v>783</v>
      </c>
      <c r="F1076" t="s">
        <v>5347</v>
      </c>
      <c r="G1076">
        <v>196</v>
      </c>
      <c r="J1076" t="s">
        <v>5628</v>
      </c>
      <c r="K1076" t="s">
        <v>5629</v>
      </c>
      <c r="L1076" t="s">
        <v>5630</v>
      </c>
      <c r="M1076" t="s">
        <v>5631</v>
      </c>
      <c r="N1076" t="s">
        <v>5352</v>
      </c>
      <c r="O1076" t="s">
        <v>5353</v>
      </c>
      <c r="P1076" t="s">
        <v>223</v>
      </c>
      <c r="Q1076" t="s">
        <v>5354</v>
      </c>
      <c r="S1076">
        <v>2</v>
      </c>
      <c r="T1076" t="s">
        <v>5632</v>
      </c>
      <c r="U1076">
        <v>5452</v>
      </c>
      <c r="V1076">
        <v>4561</v>
      </c>
      <c r="W1076">
        <v>1.1954</v>
      </c>
      <c r="X1076" t="s">
        <v>70</v>
      </c>
      <c r="Y1076" t="s">
        <v>5356</v>
      </c>
      <c r="Z1076">
        <v>18.760000000000002</v>
      </c>
      <c r="AA1076">
        <v>5112.38</v>
      </c>
      <c r="AB1076">
        <v>95915</v>
      </c>
      <c r="AC1076" t="b">
        <v>1</v>
      </c>
      <c r="AD1076" t="b">
        <v>1</v>
      </c>
      <c r="AE1076" t="b">
        <v>0</v>
      </c>
      <c r="AF1076" t="b">
        <v>0</v>
      </c>
      <c r="AG1076" t="s">
        <v>58</v>
      </c>
      <c r="AH1076">
        <v>20</v>
      </c>
      <c r="AI1076" t="s">
        <v>59</v>
      </c>
      <c r="AJ1076" t="s">
        <v>71</v>
      </c>
      <c r="AL1076" t="s">
        <v>72</v>
      </c>
      <c r="AM1076" t="s">
        <v>62</v>
      </c>
      <c r="AN1076" t="s">
        <v>63</v>
      </c>
      <c r="AO1076" t="s">
        <v>5357</v>
      </c>
      <c r="AP1076" t="s">
        <v>5629</v>
      </c>
    </row>
    <row r="1077" spans="1:42" x14ac:dyDescent="0.45">
      <c r="A1077" t="s">
        <v>5344</v>
      </c>
      <c r="B1077" t="s">
        <v>5345</v>
      </c>
      <c r="C1077" t="s">
        <v>5346</v>
      </c>
      <c r="D1077">
        <v>2022</v>
      </c>
      <c r="E1077" t="s">
        <v>783</v>
      </c>
      <c r="F1077" t="s">
        <v>5347</v>
      </c>
      <c r="G1077">
        <v>105</v>
      </c>
      <c r="J1077" t="s">
        <v>5633</v>
      </c>
      <c r="K1077" t="s">
        <v>5634</v>
      </c>
      <c r="L1077" t="s">
        <v>5635</v>
      </c>
      <c r="M1077" t="s">
        <v>5636</v>
      </c>
      <c r="N1077" t="s">
        <v>5352</v>
      </c>
      <c r="O1077" t="s">
        <v>5353</v>
      </c>
      <c r="P1077" t="s">
        <v>223</v>
      </c>
      <c r="Q1077" t="s">
        <v>5354</v>
      </c>
      <c r="S1077">
        <v>90</v>
      </c>
      <c r="T1077" t="s">
        <v>5637</v>
      </c>
      <c r="U1077">
        <v>4304</v>
      </c>
      <c r="V1077">
        <v>4561</v>
      </c>
      <c r="W1077">
        <v>0.94369999999999998</v>
      </c>
      <c r="X1077" t="s">
        <v>70</v>
      </c>
      <c r="Y1077" t="s">
        <v>5356</v>
      </c>
      <c r="Z1077">
        <v>662.75</v>
      </c>
      <c r="AA1077">
        <v>472.56</v>
      </c>
      <c r="AB1077">
        <v>313192</v>
      </c>
      <c r="AC1077" t="b">
        <v>1</v>
      </c>
      <c r="AD1077" t="b">
        <v>1</v>
      </c>
      <c r="AE1077" t="b">
        <v>0</v>
      </c>
      <c r="AF1077" t="b">
        <v>0</v>
      </c>
      <c r="AG1077" t="s">
        <v>58</v>
      </c>
      <c r="AH1077">
        <v>20</v>
      </c>
      <c r="AI1077" t="s">
        <v>59</v>
      </c>
      <c r="AJ1077" t="s">
        <v>71</v>
      </c>
      <c r="AL1077" t="s">
        <v>72</v>
      </c>
      <c r="AM1077" t="s">
        <v>62</v>
      </c>
      <c r="AN1077" t="s">
        <v>63</v>
      </c>
      <c r="AO1077" t="s">
        <v>5357</v>
      </c>
      <c r="AP1077" t="s">
        <v>5634</v>
      </c>
    </row>
    <row r="1078" spans="1:42" x14ac:dyDescent="0.45">
      <c r="A1078" t="s">
        <v>5344</v>
      </c>
      <c r="B1078" t="s">
        <v>5345</v>
      </c>
      <c r="C1078" t="s">
        <v>5346</v>
      </c>
      <c r="D1078">
        <v>2022</v>
      </c>
      <c r="E1078" t="s">
        <v>783</v>
      </c>
      <c r="F1078" t="s">
        <v>5347</v>
      </c>
      <c r="G1078">
        <v>190</v>
      </c>
      <c r="J1078" t="s">
        <v>5638</v>
      </c>
      <c r="K1078" t="s">
        <v>5639</v>
      </c>
      <c r="L1078" t="s">
        <v>5640</v>
      </c>
      <c r="M1078" t="s">
        <v>5641</v>
      </c>
      <c r="N1078" t="s">
        <v>5352</v>
      </c>
      <c r="O1078" t="s">
        <v>5353</v>
      </c>
      <c r="P1078" t="s">
        <v>223</v>
      </c>
      <c r="Q1078" t="s">
        <v>5354</v>
      </c>
      <c r="S1078">
        <v>8</v>
      </c>
      <c r="T1078" t="s">
        <v>5642</v>
      </c>
      <c r="U1078">
        <v>5296</v>
      </c>
      <c r="V1078">
        <v>4561</v>
      </c>
      <c r="W1078">
        <v>1.1611</v>
      </c>
      <c r="X1078" t="s">
        <v>70</v>
      </c>
      <c r="Y1078" t="s">
        <v>5356</v>
      </c>
      <c r="Z1078">
        <v>60.76</v>
      </c>
      <c r="AA1078">
        <v>4091.07</v>
      </c>
      <c r="AB1078">
        <v>248579</v>
      </c>
      <c r="AC1078" t="b">
        <v>1</v>
      </c>
      <c r="AD1078" t="b">
        <v>1</v>
      </c>
      <c r="AE1078" t="b">
        <v>0</v>
      </c>
      <c r="AF1078" t="b">
        <v>0</v>
      </c>
      <c r="AG1078" t="s">
        <v>58</v>
      </c>
      <c r="AH1078">
        <v>20</v>
      </c>
      <c r="AI1078" t="s">
        <v>59</v>
      </c>
      <c r="AJ1078" t="s">
        <v>71</v>
      </c>
      <c r="AL1078" t="s">
        <v>72</v>
      </c>
      <c r="AM1078" t="s">
        <v>62</v>
      </c>
      <c r="AN1078" t="s">
        <v>63</v>
      </c>
      <c r="AO1078" t="s">
        <v>5357</v>
      </c>
      <c r="AP1078" t="s">
        <v>5639</v>
      </c>
    </row>
    <row r="1079" spans="1:42" x14ac:dyDescent="0.45">
      <c r="A1079" t="s">
        <v>5344</v>
      </c>
      <c r="B1079" t="s">
        <v>5345</v>
      </c>
      <c r="C1079" t="s">
        <v>5346</v>
      </c>
      <c r="D1079">
        <v>2022</v>
      </c>
      <c r="E1079" t="s">
        <v>783</v>
      </c>
      <c r="F1079" t="s">
        <v>5347</v>
      </c>
      <c r="G1079">
        <v>192</v>
      </c>
      <c r="J1079" t="s">
        <v>5643</v>
      </c>
      <c r="K1079" t="s">
        <v>5644</v>
      </c>
      <c r="L1079" t="s">
        <v>5645</v>
      </c>
      <c r="M1079" t="s">
        <v>5646</v>
      </c>
      <c r="N1079" t="s">
        <v>5352</v>
      </c>
      <c r="O1079" t="s">
        <v>5353</v>
      </c>
      <c r="P1079" t="s">
        <v>223</v>
      </c>
      <c r="Q1079" t="s">
        <v>5354</v>
      </c>
      <c r="S1079">
        <v>6</v>
      </c>
      <c r="T1079" t="s">
        <v>5647</v>
      </c>
      <c r="U1079">
        <v>5696</v>
      </c>
      <c r="V1079">
        <v>4561</v>
      </c>
      <c r="W1079">
        <v>1.2487999999999999</v>
      </c>
      <c r="X1079" t="s">
        <v>70</v>
      </c>
      <c r="Y1079" t="s">
        <v>5356</v>
      </c>
      <c r="Z1079">
        <v>46.76</v>
      </c>
      <c r="AA1079">
        <v>3683.75</v>
      </c>
      <c r="AB1079">
        <v>172257</v>
      </c>
      <c r="AC1079" t="b">
        <v>1</v>
      </c>
      <c r="AD1079" t="b">
        <v>1</v>
      </c>
      <c r="AE1079" t="b">
        <v>0</v>
      </c>
      <c r="AF1079" t="b">
        <v>0</v>
      </c>
      <c r="AG1079" t="s">
        <v>58</v>
      </c>
      <c r="AH1079">
        <v>20</v>
      </c>
      <c r="AI1079" t="s">
        <v>59</v>
      </c>
      <c r="AJ1079" t="s">
        <v>71</v>
      </c>
      <c r="AL1079" t="s">
        <v>72</v>
      </c>
      <c r="AM1079" t="s">
        <v>62</v>
      </c>
      <c r="AN1079" t="s">
        <v>63</v>
      </c>
      <c r="AO1079" t="s">
        <v>5357</v>
      </c>
      <c r="AP1079" t="s">
        <v>5644</v>
      </c>
    </row>
    <row r="1080" spans="1:42" x14ac:dyDescent="0.45">
      <c r="A1080" t="s">
        <v>5344</v>
      </c>
      <c r="B1080" t="s">
        <v>5345</v>
      </c>
      <c r="C1080" t="s">
        <v>5346</v>
      </c>
      <c r="D1080">
        <v>2022</v>
      </c>
      <c r="E1080" t="s">
        <v>783</v>
      </c>
      <c r="F1080" t="s">
        <v>5347</v>
      </c>
      <c r="G1080">
        <v>188</v>
      </c>
      <c r="J1080" t="s">
        <v>5648</v>
      </c>
      <c r="K1080" t="s">
        <v>5649</v>
      </c>
      <c r="L1080" t="s">
        <v>5650</v>
      </c>
      <c r="M1080" t="s">
        <v>5651</v>
      </c>
      <c r="N1080" t="s">
        <v>5352</v>
      </c>
      <c r="O1080" t="s">
        <v>5353</v>
      </c>
      <c r="P1080" t="s">
        <v>223</v>
      </c>
      <c r="Q1080" t="s">
        <v>5354</v>
      </c>
      <c r="S1080">
        <v>10</v>
      </c>
      <c r="T1080" t="s">
        <v>5652</v>
      </c>
      <c r="U1080">
        <v>5432</v>
      </c>
      <c r="V1080">
        <v>4561</v>
      </c>
      <c r="W1080">
        <v>1.1910000000000001</v>
      </c>
      <c r="X1080" t="s">
        <v>70</v>
      </c>
      <c r="Y1080" t="s">
        <v>5356</v>
      </c>
      <c r="Z1080">
        <v>74.760000000000005</v>
      </c>
      <c r="AA1080">
        <v>2182.71</v>
      </c>
      <c r="AB1080">
        <v>163182</v>
      </c>
      <c r="AC1080" t="b">
        <v>1</v>
      </c>
      <c r="AD1080" t="b">
        <v>1</v>
      </c>
      <c r="AE1080" t="b">
        <v>0</v>
      </c>
      <c r="AF1080" t="b">
        <v>0</v>
      </c>
      <c r="AG1080" t="s">
        <v>58</v>
      </c>
      <c r="AH1080">
        <v>20</v>
      </c>
      <c r="AI1080" t="s">
        <v>59</v>
      </c>
      <c r="AJ1080" t="s">
        <v>71</v>
      </c>
      <c r="AL1080" t="s">
        <v>72</v>
      </c>
      <c r="AM1080" t="s">
        <v>62</v>
      </c>
      <c r="AN1080" t="s">
        <v>63</v>
      </c>
      <c r="AO1080" t="s">
        <v>5357</v>
      </c>
      <c r="AP1080" t="s">
        <v>5649</v>
      </c>
    </row>
    <row r="1081" spans="1:42" x14ac:dyDescent="0.45">
      <c r="A1081" t="s">
        <v>5344</v>
      </c>
      <c r="B1081" t="s">
        <v>5345</v>
      </c>
      <c r="C1081" t="s">
        <v>5346</v>
      </c>
      <c r="D1081">
        <v>2022</v>
      </c>
      <c r="E1081" t="s">
        <v>783</v>
      </c>
      <c r="F1081" t="s">
        <v>5347</v>
      </c>
      <c r="G1081">
        <v>187</v>
      </c>
      <c r="J1081" t="s">
        <v>5653</v>
      </c>
      <c r="K1081" t="s">
        <v>5654</v>
      </c>
      <c r="L1081" t="s">
        <v>5655</v>
      </c>
      <c r="M1081" t="s">
        <v>5656</v>
      </c>
      <c r="N1081" t="s">
        <v>5352</v>
      </c>
      <c r="O1081" t="s">
        <v>5353</v>
      </c>
      <c r="P1081" t="s">
        <v>223</v>
      </c>
      <c r="Q1081" t="s">
        <v>5354</v>
      </c>
      <c r="S1081">
        <v>11</v>
      </c>
      <c r="T1081" t="s">
        <v>5657</v>
      </c>
      <c r="U1081">
        <v>5109</v>
      </c>
      <c r="V1081">
        <v>4561</v>
      </c>
      <c r="W1081">
        <v>1.1201000000000001</v>
      </c>
      <c r="X1081" t="s">
        <v>70</v>
      </c>
      <c r="Y1081" t="s">
        <v>5356</v>
      </c>
      <c r="Z1081">
        <v>81.760000000000005</v>
      </c>
      <c r="AA1081">
        <v>2050.6</v>
      </c>
      <c r="AB1081">
        <v>167660</v>
      </c>
      <c r="AC1081" t="b">
        <v>1</v>
      </c>
      <c r="AD1081" t="b">
        <v>1</v>
      </c>
      <c r="AE1081" t="b">
        <v>0</v>
      </c>
      <c r="AF1081" t="b">
        <v>0</v>
      </c>
      <c r="AG1081" t="s">
        <v>58</v>
      </c>
      <c r="AH1081">
        <v>20</v>
      </c>
      <c r="AI1081" t="s">
        <v>59</v>
      </c>
      <c r="AJ1081" t="s">
        <v>71</v>
      </c>
      <c r="AL1081" t="s">
        <v>72</v>
      </c>
      <c r="AM1081" t="s">
        <v>62</v>
      </c>
      <c r="AN1081" t="s">
        <v>63</v>
      </c>
      <c r="AO1081" t="s">
        <v>5357</v>
      </c>
      <c r="AP1081" t="s">
        <v>5654</v>
      </c>
    </row>
    <row r="1082" spans="1:42" x14ac:dyDescent="0.45">
      <c r="A1082" t="s">
        <v>5344</v>
      </c>
      <c r="B1082" t="s">
        <v>5345</v>
      </c>
      <c r="C1082" t="s">
        <v>5346</v>
      </c>
      <c r="D1082">
        <v>2022</v>
      </c>
      <c r="E1082" t="s">
        <v>783</v>
      </c>
      <c r="F1082" t="s">
        <v>5347</v>
      </c>
      <c r="G1082">
        <v>198</v>
      </c>
      <c r="J1082" t="s">
        <v>5658</v>
      </c>
      <c r="K1082" t="s">
        <v>5659</v>
      </c>
      <c r="L1082" t="s">
        <v>5660</v>
      </c>
      <c r="M1082" t="s">
        <v>5661</v>
      </c>
      <c r="N1082" t="s">
        <v>5352</v>
      </c>
      <c r="O1082" t="s">
        <v>5353</v>
      </c>
      <c r="P1082" t="s">
        <v>223</v>
      </c>
      <c r="Q1082" t="s">
        <v>5354</v>
      </c>
      <c r="S1082">
        <v>0</v>
      </c>
      <c r="T1082" t="s">
        <v>5662</v>
      </c>
      <c r="U1082">
        <v>5399</v>
      </c>
      <c r="V1082">
        <v>4561</v>
      </c>
      <c r="W1082">
        <v>1.1837</v>
      </c>
      <c r="X1082" t="s">
        <v>70</v>
      </c>
      <c r="Y1082" t="s">
        <v>5356</v>
      </c>
      <c r="Z1082">
        <v>4.76</v>
      </c>
      <c r="AA1082">
        <v>19135.419999999998</v>
      </c>
      <c r="AB1082">
        <v>91110</v>
      </c>
      <c r="AC1082" t="b">
        <v>1</v>
      </c>
      <c r="AD1082" t="b">
        <v>1</v>
      </c>
      <c r="AE1082" t="b">
        <v>0</v>
      </c>
      <c r="AF1082" t="b">
        <v>0</v>
      </c>
      <c r="AG1082" t="s">
        <v>58</v>
      </c>
      <c r="AH1082">
        <v>20</v>
      </c>
      <c r="AI1082" t="s">
        <v>59</v>
      </c>
      <c r="AJ1082" t="s">
        <v>71</v>
      </c>
      <c r="AL1082" t="s">
        <v>72</v>
      </c>
      <c r="AM1082" t="s">
        <v>62</v>
      </c>
      <c r="AN1082" t="s">
        <v>63</v>
      </c>
      <c r="AO1082" t="s">
        <v>5357</v>
      </c>
      <c r="AP1082" t="s">
        <v>5659</v>
      </c>
    </row>
    <row r="1083" spans="1:42" x14ac:dyDescent="0.45">
      <c r="A1083" t="s">
        <v>5344</v>
      </c>
      <c r="B1083" t="s">
        <v>5345</v>
      </c>
      <c r="C1083" t="s">
        <v>5346</v>
      </c>
      <c r="D1083">
        <v>2022</v>
      </c>
      <c r="E1083" t="s">
        <v>783</v>
      </c>
      <c r="F1083" t="s">
        <v>5347</v>
      </c>
      <c r="G1083">
        <v>186</v>
      </c>
      <c r="J1083" t="s">
        <v>5663</v>
      </c>
      <c r="K1083" t="s">
        <v>5664</v>
      </c>
      <c r="L1083" t="s">
        <v>5665</v>
      </c>
      <c r="M1083" t="s">
        <v>5666</v>
      </c>
      <c r="N1083" t="s">
        <v>5352</v>
      </c>
      <c r="O1083" t="s">
        <v>5353</v>
      </c>
      <c r="P1083" t="s">
        <v>223</v>
      </c>
      <c r="Q1083" t="s">
        <v>5354</v>
      </c>
      <c r="S1083">
        <v>12</v>
      </c>
      <c r="T1083" t="s">
        <v>5667</v>
      </c>
      <c r="U1083">
        <v>5372</v>
      </c>
      <c r="V1083">
        <v>4561</v>
      </c>
      <c r="W1083">
        <v>1.1778</v>
      </c>
      <c r="X1083" t="s">
        <v>70</v>
      </c>
      <c r="Y1083" t="s">
        <v>5356</v>
      </c>
      <c r="Z1083">
        <v>88.76</v>
      </c>
      <c r="AA1083">
        <v>2066.89</v>
      </c>
      <c r="AB1083">
        <v>183460</v>
      </c>
      <c r="AC1083" t="b">
        <v>1</v>
      </c>
      <c r="AD1083" t="b">
        <v>1</v>
      </c>
      <c r="AE1083" t="b">
        <v>0</v>
      </c>
      <c r="AF1083" t="b">
        <v>0</v>
      </c>
      <c r="AG1083" t="s">
        <v>58</v>
      </c>
      <c r="AH1083">
        <v>20</v>
      </c>
      <c r="AI1083" t="s">
        <v>59</v>
      </c>
      <c r="AJ1083" t="s">
        <v>71</v>
      </c>
      <c r="AL1083" t="s">
        <v>72</v>
      </c>
      <c r="AM1083" t="s">
        <v>62</v>
      </c>
      <c r="AN1083" t="s">
        <v>63</v>
      </c>
      <c r="AO1083" t="s">
        <v>5357</v>
      </c>
      <c r="AP1083" t="s">
        <v>5664</v>
      </c>
    </row>
    <row r="1084" spans="1:42" x14ac:dyDescent="0.45">
      <c r="A1084" t="s">
        <v>5344</v>
      </c>
      <c r="B1084" t="s">
        <v>5345</v>
      </c>
      <c r="C1084" t="s">
        <v>5346</v>
      </c>
      <c r="D1084">
        <v>2022</v>
      </c>
      <c r="E1084" t="s">
        <v>783</v>
      </c>
      <c r="F1084" t="s">
        <v>5347</v>
      </c>
      <c r="G1084">
        <v>184</v>
      </c>
      <c r="J1084" t="s">
        <v>5668</v>
      </c>
      <c r="K1084" t="s">
        <v>5669</v>
      </c>
      <c r="L1084" t="s">
        <v>5670</v>
      </c>
      <c r="M1084" t="s">
        <v>5671</v>
      </c>
      <c r="N1084" t="s">
        <v>5352</v>
      </c>
      <c r="O1084" t="s">
        <v>5353</v>
      </c>
      <c r="P1084" t="s">
        <v>223</v>
      </c>
      <c r="Q1084" t="s">
        <v>5354</v>
      </c>
      <c r="S1084">
        <v>14</v>
      </c>
      <c r="T1084" t="s">
        <v>5672</v>
      </c>
      <c r="U1084">
        <v>5246</v>
      </c>
      <c r="V1084">
        <v>4561</v>
      </c>
      <c r="W1084">
        <v>1.1501999999999999</v>
      </c>
      <c r="X1084" t="s">
        <v>70</v>
      </c>
      <c r="Y1084" t="s">
        <v>5356</v>
      </c>
      <c r="Z1084">
        <v>102.76</v>
      </c>
      <c r="AA1084">
        <v>1784.32</v>
      </c>
      <c r="AB1084">
        <v>183359</v>
      </c>
      <c r="AC1084" t="b">
        <v>1</v>
      </c>
      <c r="AD1084" t="b">
        <v>1</v>
      </c>
      <c r="AE1084" t="b">
        <v>0</v>
      </c>
      <c r="AF1084" t="b">
        <v>0</v>
      </c>
      <c r="AG1084" t="s">
        <v>58</v>
      </c>
      <c r="AH1084">
        <v>20</v>
      </c>
      <c r="AI1084" t="s">
        <v>59</v>
      </c>
      <c r="AJ1084" t="s">
        <v>71</v>
      </c>
      <c r="AL1084" t="s">
        <v>72</v>
      </c>
      <c r="AM1084" t="s">
        <v>62</v>
      </c>
      <c r="AN1084" t="s">
        <v>63</v>
      </c>
      <c r="AO1084" t="s">
        <v>5357</v>
      </c>
      <c r="AP1084" t="s">
        <v>5669</v>
      </c>
    </row>
    <row r="1085" spans="1:42" x14ac:dyDescent="0.45">
      <c r="A1085" t="s">
        <v>5344</v>
      </c>
      <c r="B1085" t="s">
        <v>5345</v>
      </c>
      <c r="C1085" t="s">
        <v>5346</v>
      </c>
      <c r="D1085">
        <v>2022</v>
      </c>
      <c r="E1085" t="s">
        <v>783</v>
      </c>
      <c r="F1085" t="s">
        <v>5347</v>
      </c>
      <c r="G1085">
        <v>185</v>
      </c>
      <c r="J1085" t="s">
        <v>5673</v>
      </c>
      <c r="K1085" t="s">
        <v>5674</v>
      </c>
      <c r="L1085" t="s">
        <v>5675</v>
      </c>
      <c r="M1085" t="s">
        <v>5676</v>
      </c>
      <c r="N1085" t="s">
        <v>5352</v>
      </c>
      <c r="O1085" t="s">
        <v>5353</v>
      </c>
      <c r="P1085" t="s">
        <v>223</v>
      </c>
      <c r="Q1085" t="s">
        <v>5354</v>
      </c>
      <c r="S1085">
        <v>13</v>
      </c>
      <c r="T1085" t="s">
        <v>5677</v>
      </c>
      <c r="U1085">
        <v>5572</v>
      </c>
      <c r="V1085">
        <v>4561</v>
      </c>
      <c r="W1085">
        <v>1.2217</v>
      </c>
      <c r="X1085" t="s">
        <v>70</v>
      </c>
      <c r="Y1085" t="s">
        <v>5356</v>
      </c>
      <c r="Z1085">
        <v>95.76</v>
      </c>
      <c r="AA1085">
        <v>1727.94</v>
      </c>
      <c r="AB1085">
        <v>165470</v>
      </c>
      <c r="AC1085" t="b">
        <v>1</v>
      </c>
      <c r="AD1085" t="b">
        <v>1</v>
      </c>
      <c r="AE1085" t="b">
        <v>0</v>
      </c>
      <c r="AF1085" t="b">
        <v>0</v>
      </c>
      <c r="AG1085" t="s">
        <v>58</v>
      </c>
      <c r="AH1085">
        <v>20</v>
      </c>
      <c r="AI1085" t="s">
        <v>59</v>
      </c>
      <c r="AJ1085" t="s">
        <v>71</v>
      </c>
      <c r="AL1085" t="s">
        <v>72</v>
      </c>
      <c r="AM1085" t="s">
        <v>62</v>
      </c>
      <c r="AN1085" t="s">
        <v>63</v>
      </c>
      <c r="AO1085" t="s">
        <v>5357</v>
      </c>
      <c r="AP1085" t="s">
        <v>5674</v>
      </c>
    </row>
    <row r="1086" spans="1:42" x14ac:dyDescent="0.45">
      <c r="A1086" t="s">
        <v>5344</v>
      </c>
      <c r="B1086" t="s">
        <v>5345</v>
      </c>
      <c r="C1086" t="s">
        <v>5346</v>
      </c>
      <c r="D1086">
        <v>2022</v>
      </c>
      <c r="E1086" t="s">
        <v>783</v>
      </c>
      <c r="F1086" t="s">
        <v>5347</v>
      </c>
      <c r="G1086">
        <v>178</v>
      </c>
      <c r="J1086" t="s">
        <v>5678</v>
      </c>
      <c r="K1086" t="s">
        <v>5679</v>
      </c>
      <c r="L1086" t="s">
        <v>5680</v>
      </c>
      <c r="M1086" t="s">
        <v>5681</v>
      </c>
      <c r="N1086" t="s">
        <v>5352</v>
      </c>
      <c r="O1086" t="s">
        <v>5353</v>
      </c>
      <c r="P1086" t="s">
        <v>223</v>
      </c>
      <c r="Q1086" t="s">
        <v>5354</v>
      </c>
      <c r="S1086">
        <v>19</v>
      </c>
      <c r="T1086" t="s">
        <v>5682</v>
      </c>
      <c r="U1086">
        <v>5400</v>
      </c>
      <c r="V1086">
        <v>4561</v>
      </c>
      <c r="W1086">
        <v>1.1839999999999999</v>
      </c>
      <c r="X1086" t="s">
        <v>70</v>
      </c>
      <c r="Y1086" t="s">
        <v>5356</v>
      </c>
      <c r="Z1086">
        <v>144.79</v>
      </c>
      <c r="AA1086">
        <v>1358.37</v>
      </c>
      <c r="AB1086">
        <v>196672</v>
      </c>
      <c r="AC1086" t="b">
        <v>1</v>
      </c>
      <c r="AD1086" t="b">
        <v>1</v>
      </c>
      <c r="AE1086" t="b">
        <v>0</v>
      </c>
      <c r="AF1086" t="b">
        <v>0</v>
      </c>
      <c r="AG1086" t="s">
        <v>58</v>
      </c>
      <c r="AH1086">
        <v>20</v>
      </c>
      <c r="AI1086" t="s">
        <v>59</v>
      </c>
      <c r="AJ1086" t="s">
        <v>71</v>
      </c>
      <c r="AL1086" t="s">
        <v>72</v>
      </c>
      <c r="AM1086" t="s">
        <v>62</v>
      </c>
      <c r="AN1086" t="s">
        <v>63</v>
      </c>
      <c r="AO1086" t="s">
        <v>5357</v>
      </c>
      <c r="AP1086" t="s">
        <v>5679</v>
      </c>
    </row>
    <row r="1087" spans="1:42" x14ac:dyDescent="0.45">
      <c r="A1087" t="s">
        <v>5344</v>
      </c>
      <c r="B1087" t="s">
        <v>5345</v>
      </c>
      <c r="C1087" t="s">
        <v>5346</v>
      </c>
      <c r="D1087">
        <v>2022</v>
      </c>
      <c r="E1087" t="s">
        <v>783</v>
      </c>
      <c r="F1087" t="s">
        <v>5347</v>
      </c>
      <c r="G1087">
        <v>176</v>
      </c>
      <c r="J1087" t="s">
        <v>5683</v>
      </c>
      <c r="K1087" t="s">
        <v>5684</v>
      </c>
      <c r="L1087" t="s">
        <v>5685</v>
      </c>
      <c r="M1087" t="s">
        <v>5686</v>
      </c>
      <c r="N1087" t="s">
        <v>5352</v>
      </c>
      <c r="O1087" t="s">
        <v>5353</v>
      </c>
      <c r="P1087" t="s">
        <v>223</v>
      </c>
      <c r="Q1087" t="s">
        <v>5354</v>
      </c>
      <c r="S1087">
        <v>21</v>
      </c>
      <c r="T1087" t="s">
        <v>5687</v>
      </c>
      <c r="U1087">
        <v>5535</v>
      </c>
      <c r="V1087">
        <v>4561</v>
      </c>
      <c r="W1087">
        <v>1.2135</v>
      </c>
      <c r="X1087" t="s">
        <v>70</v>
      </c>
      <c r="Y1087" t="s">
        <v>5356</v>
      </c>
      <c r="Z1087">
        <v>158.79</v>
      </c>
      <c r="AA1087">
        <v>1330.09</v>
      </c>
      <c r="AB1087">
        <v>211199</v>
      </c>
      <c r="AC1087" t="b">
        <v>1</v>
      </c>
      <c r="AD1087" t="b">
        <v>1</v>
      </c>
      <c r="AE1087" t="b">
        <v>0</v>
      </c>
      <c r="AF1087" t="b">
        <v>0</v>
      </c>
      <c r="AG1087" t="s">
        <v>58</v>
      </c>
      <c r="AH1087">
        <v>20</v>
      </c>
      <c r="AI1087" t="s">
        <v>59</v>
      </c>
      <c r="AJ1087" t="s">
        <v>71</v>
      </c>
      <c r="AL1087" t="s">
        <v>72</v>
      </c>
      <c r="AM1087" t="s">
        <v>62</v>
      </c>
      <c r="AN1087" t="s">
        <v>63</v>
      </c>
      <c r="AO1087" t="s">
        <v>5357</v>
      </c>
      <c r="AP1087" t="s">
        <v>5684</v>
      </c>
    </row>
    <row r="1088" spans="1:42" x14ac:dyDescent="0.45">
      <c r="A1088" t="s">
        <v>5344</v>
      </c>
      <c r="B1088" t="s">
        <v>5345</v>
      </c>
      <c r="C1088" t="s">
        <v>5346</v>
      </c>
      <c r="D1088">
        <v>2022</v>
      </c>
      <c r="E1088" t="s">
        <v>783</v>
      </c>
      <c r="F1088" t="s">
        <v>5347</v>
      </c>
      <c r="J1088" t="s">
        <v>5688</v>
      </c>
      <c r="K1088" t="s">
        <v>5689</v>
      </c>
      <c r="L1088" t="s">
        <v>5690</v>
      </c>
      <c r="M1088" t="s">
        <v>5691</v>
      </c>
      <c r="N1088" t="s">
        <v>5352</v>
      </c>
      <c r="O1088" t="s">
        <v>5353</v>
      </c>
      <c r="P1088" t="s">
        <v>223</v>
      </c>
      <c r="Q1088" t="s">
        <v>5354</v>
      </c>
      <c r="S1088">
        <v>23</v>
      </c>
      <c r="T1088" t="s">
        <v>5692</v>
      </c>
      <c r="U1088">
        <v>4438</v>
      </c>
      <c r="V1088">
        <v>4561</v>
      </c>
      <c r="W1088">
        <v>0.97299999999999998</v>
      </c>
      <c r="X1088" t="s">
        <v>70</v>
      </c>
      <c r="Y1088" t="s">
        <v>5356</v>
      </c>
      <c r="Z1088">
        <v>171.79</v>
      </c>
      <c r="AA1088">
        <v>98.03</v>
      </c>
      <c r="AB1088">
        <v>16840</v>
      </c>
      <c r="AC1088" t="b">
        <v>0</v>
      </c>
      <c r="AD1088" t="b">
        <v>0</v>
      </c>
      <c r="AE1088" t="b">
        <v>0</v>
      </c>
      <c r="AF1088" t="b">
        <v>0</v>
      </c>
      <c r="AG1088" t="s">
        <v>58</v>
      </c>
      <c r="AH1088">
        <v>12</v>
      </c>
      <c r="AI1088" t="s">
        <v>59</v>
      </c>
      <c r="AJ1088" t="s">
        <v>60</v>
      </c>
      <c r="AL1088" t="s">
        <v>5693</v>
      </c>
      <c r="AM1088" t="s">
        <v>62</v>
      </c>
      <c r="AN1088" t="s">
        <v>63</v>
      </c>
      <c r="AO1088" t="s">
        <v>5357</v>
      </c>
      <c r="AP1088" t="s">
        <v>5689</v>
      </c>
    </row>
    <row r="1089" spans="1:42" x14ac:dyDescent="0.45">
      <c r="A1089" t="s">
        <v>5344</v>
      </c>
      <c r="B1089" t="s">
        <v>5345</v>
      </c>
      <c r="C1089" t="s">
        <v>5346</v>
      </c>
      <c r="D1089">
        <v>2022</v>
      </c>
      <c r="E1089" t="s">
        <v>783</v>
      </c>
      <c r="F1089" t="s">
        <v>5347</v>
      </c>
      <c r="G1089">
        <v>182</v>
      </c>
      <c r="J1089" t="s">
        <v>5694</v>
      </c>
      <c r="K1089" t="s">
        <v>5695</v>
      </c>
      <c r="L1089" t="s">
        <v>5696</v>
      </c>
      <c r="M1089" t="s">
        <v>5697</v>
      </c>
      <c r="N1089" t="s">
        <v>5352</v>
      </c>
      <c r="O1089" t="s">
        <v>5353</v>
      </c>
      <c r="P1089" t="s">
        <v>223</v>
      </c>
      <c r="Q1089" t="s">
        <v>5354</v>
      </c>
      <c r="S1089">
        <v>16</v>
      </c>
      <c r="T1089" t="s">
        <v>5698</v>
      </c>
      <c r="U1089">
        <v>5542</v>
      </c>
      <c r="V1089">
        <v>4561</v>
      </c>
      <c r="W1089">
        <v>1.2151000000000001</v>
      </c>
      <c r="X1089" t="s">
        <v>70</v>
      </c>
      <c r="Y1089" t="s">
        <v>5356</v>
      </c>
      <c r="Z1089">
        <v>116.76</v>
      </c>
      <c r="AA1089">
        <v>1790.59</v>
      </c>
      <c r="AB1089">
        <v>209072</v>
      </c>
      <c r="AC1089" t="b">
        <v>1</v>
      </c>
      <c r="AD1089" t="b">
        <v>1</v>
      </c>
      <c r="AE1089" t="b">
        <v>0</v>
      </c>
      <c r="AF1089" t="b">
        <v>0</v>
      </c>
      <c r="AG1089" t="s">
        <v>58</v>
      </c>
      <c r="AH1089">
        <v>20</v>
      </c>
      <c r="AI1089" t="s">
        <v>59</v>
      </c>
      <c r="AJ1089" t="s">
        <v>71</v>
      </c>
      <c r="AL1089" t="s">
        <v>72</v>
      </c>
      <c r="AM1089" t="s">
        <v>62</v>
      </c>
      <c r="AN1089" t="s">
        <v>63</v>
      </c>
      <c r="AO1089" t="s">
        <v>5357</v>
      </c>
      <c r="AP1089" t="s">
        <v>5695</v>
      </c>
    </row>
    <row r="1090" spans="1:42" x14ac:dyDescent="0.45">
      <c r="A1090" t="s">
        <v>5344</v>
      </c>
      <c r="B1090" t="s">
        <v>5345</v>
      </c>
      <c r="C1090" t="s">
        <v>5346</v>
      </c>
      <c r="D1090">
        <v>2022</v>
      </c>
      <c r="E1090" t="s">
        <v>783</v>
      </c>
      <c r="F1090" t="s">
        <v>5347</v>
      </c>
      <c r="G1090">
        <v>175</v>
      </c>
      <c r="J1090" t="s">
        <v>5699</v>
      </c>
      <c r="K1090" t="s">
        <v>5700</v>
      </c>
      <c r="L1090" t="s">
        <v>5701</v>
      </c>
      <c r="M1090" t="s">
        <v>5702</v>
      </c>
      <c r="N1090" t="s">
        <v>5352</v>
      </c>
      <c r="O1090" t="s">
        <v>5353</v>
      </c>
      <c r="P1090" t="s">
        <v>223</v>
      </c>
      <c r="Q1090" t="s">
        <v>5354</v>
      </c>
      <c r="S1090">
        <v>22</v>
      </c>
      <c r="T1090" t="s">
        <v>5703</v>
      </c>
      <c r="U1090">
        <v>5873</v>
      </c>
      <c r="V1090">
        <v>4561</v>
      </c>
      <c r="W1090">
        <v>1.2877000000000001</v>
      </c>
      <c r="X1090" t="s">
        <v>70</v>
      </c>
      <c r="Y1090" t="s">
        <v>5356</v>
      </c>
      <c r="Z1090">
        <v>165.79</v>
      </c>
      <c r="AA1090">
        <v>1370.22</v>
      </c>
      <c r="AB1090">
        <v>227163</v>
      </c>
      <c r="AC1090" t="b">
        <v>1</v>
      </c>
      <c r="AD1090" t="b">
        <v>1</v>
      </c>
      <c r="AE1090" t="b">
        <v>0</v>
      </c>
      <c r="AF1090" t="b">
        <v>0</v>
      </c>
      <c r="AG1090" t="s">
        <v>58</v>
      </c>
      <c r="AH1090">
        <v>20</v>
      </c>
      <c r="AI1090" t="s">
        <v>59</v>
      </c>
      <c r="AJ1090" t="s">
        <v>71</v>
      </c>
      <c r="AL1090" t="s">
        <v>72</v>
      </c>
      <c r="AM1090" t="s">
        <v>62</v>
      </c>
      <c r="AN1090" t="s">
        <v>63</v>
      </c>
      <c r="AO1090" t="s">
        <v>5357</v>
      </c>
      <c r="AP1090" t="s">
        <v>5700</v>
      </c>
    </row>
    <row r="1091" spans="1:42" x14ac:dyDescent="0.45">
      <c r="A1091" t="s">
        <v>5344</v>
      </c>
      <c r="B1091" t="s">
        <v>5345</v>
      </c>
      <c r="C1091" t="s">
        <v>5346</v>
      </c>
      <c r="D1091">
        <v>2022</v>
      </c>
      <c r="E1091" t="s">
        <v>783</v>
      </c>
      <c r="F1091" t="s">
        <v>5347</v>
      </c>
      <c r="G1091">
        <v>24</v>
      </c>
      <c r="J1091" t="s">
        <v>5704</v>
      </c>
      <c r="K1091" t="s">
        <v>5705</v>
      </c>
      <c r="L1091" t="s">
        <v>5706</v>
      </c>
      <c r="M1091" t="s">
        <v>5707</v>
      </c>
      <c r="N1091" t="s">
        <v>5352</v>
      </c>
      <c r="O1091" t="s">
        <v>5353</v>
      </c>
      <c r="P1091" t="s">
        <v>223</v>
      </c>
      <c r="Q1091" t="s">
        <v>5354</v>
      </c>
      <c r="S1091">
        <v>171</v>
      </c>
      <c r="T1091" t="s">
        <v>5708</v>
      </c>
      <c r="U1091">
        <v>4875</v>
      </c>
      <c r="V1091">
        <v>4561</v>
      </c>
      <c r="W1091">
        <v>1.0688</v>
      </c>
      <c r="X1091" t="s">
        <v>70</v>
      </c>
      <c r="Y1091" t="s">
        <v>5356</v>
      </c>
      <c r="Z1091">
        <v>1245.74</v>
      </c>
      <c r="AA1091">
        <v>126.55</v>
      </c>
      <c r="AB1091">
        <v>157648</v>
      </c>
      <c r="AC1091" t="b">
        <v>1</v>
      </c>
      <c r="AD1091" t="b">
        <v>1</v>
      </c>
      <c r="AE1091" t="b">
        <v>0</v>
      </c>
      <c r="AF1091" t="b">
        <v>0</v>
      </c>
      <c r="AG1091" t="s">
        <v>58</v>
      </c>
      <c r="AH1091">
        <v>20</v>
      </c>
      <c r="AI1091" t="s">
        <v>59</v>
      </c>
      <c r="AJ1091" t="s">
        <v>71</v>
      </c>
      <c r="AL1091" t="s">
        <v>72</v>
      </c>
      <c r="AM1091" t="s">
        <v>62</v>
      </c>
      <c r="AN1091" t="s">
        <v>63</v>
      </c>
      <c r="AO1091" t="s">
        <v>5357</v>
      </c>
      <c r="AP1091" t="s">
        <v>5705</v>
      </c>
    </row>
    <row r="1092" spans="1:42" x14ac:dyDescent="0.45">
      <c r="A1092" t="s">
        <v>5344</v>
      </c>
      <c r="B1092" t="s">
        <v>5345</v>
      </c>
      <c r="C1092" t="s">
        <v>5346</v>
      </c>
      <c r="D1092">
        <v>2022</v>
      </c>
      <c r="E1092" t="s">
        <v>783</v>
      </c>
      <c r="F1092" t="s">
        <v>5347</v>
      </c>
      <c r="G1092">
        <v>18</v>
      </c>
      <c r="J1092" t="s">
        <v>5709</v>
      </c>
      <c r="K1092" t="s">
        <v>5710</v>
      </c>
      <c r="L1092" t="s">
        <v>5711</v>
      </c>
      <c r="M1092" t="s">
        <v>5712</v>
      </c>
      <c r="N1092" t="s">
        <v>5352</v>
      </c>
      <c r="O1092" t="s">
        <v>5353</v>
      </c>
      <c r="P1092" t="s">
        <v>223</v>
      </c>
      <c r="Q1092" t="s">
        <v>5354</v>
      </c>
      <c r="S1092">
        <v>177</v>
      </c>
      <c r="T1092" t="s">
        <v>5713</v>
      </c>
      <c r="U1092">
        <v>4601</v>
      </c>
      <c r="V1092">
        <v>4561</v>
      </c>
      <c r="W1092">
        <v>1.0087999999999999</v>
      </c>
      <c r="X1092" t="s">
        <v>70</v>
      </c>
      <c r="Y1092" t="s">
        <v>5356</v>
      </c>
      <c r="Z1092">
        <v>1285.9100000000001</v>
      </c>
      <c r="AA1092">
        <v>114.95</v>
      </c>
      <c r="AB1092">
        <v>147815</v>
      </c>
      <c r="AC1092" t="b">
        <v>1</v>
      </c>
      <c r="AD1092" t="b">
        <v>1</v>
      </c>
      <c r="AE1092" t="b">
        <v>0</v>
      </c>
      <c r="AF1092" t="b">
        <v>0</v>
      </c>
      <c r="AG1092" t="s">
        <v>58</v>
      </c>
      <c r="AH1092">
        <v>20</v>
      </c>
      <c r="AI1092" t="s">
        <v>59</v>
      </c>
      <c r="AJ1092" t="s">
        <v>71</v>
      </c>
      <c r="AL1092" t="s">
        <v>72</v>
      </c>
      <c r="AM1092" t="s">
        <v>62</v>
      </c>
      <c r="AN1092" t="s">
        <v>63</v>
      </c>
      <c r="AO1092" t="s">
        <v>5357</v>
      </c>
      <c r="AP1092" t="s">
        <v>5710</v>
      </c>
    </row>
    <row r="1093" spans="1:42" x14ac:dyDescent="0.45">
      <c r="A1093" t="s">
        <v>5344</v>
      </c>
      <c r="B1093" t="s">
        <v>5345</v>
      </c>
      <c r="C1093" t="s">
        <v>5346</v>
      </c>
      <c r="D1093">
        <v>2022</v>
      </c>
      <c r="E1093" t="s">
        <v>783</v>
      </c>
      <c r="F1093" t="s">
        <v>5347</v>
      </c>
      <c r="G1093">
        <v>22</v>
      </c>
      <c r="J1093" t="s">
        <v>5714</v>
      </c>
      <c r="K1093" t="s">
        <v>5715</v>
      </c>
      <c r="L1093" t="s">
        <v>5716</v>
      </c>
      <c r="M1093" t="s">
        <v>5717</v>
      </c>
      <c r="N1093" t="s">
        <v>5352</v>
      </c>
      <c r="O1093" t="s">
        <v>5353</v>
      </c>
      <c r="P1093" t="s">
        <v>223</v>
      </c>
      <c r="Q1093" t="s">
        <v>5354</v>
      </c>
      <c r="S1093">
        <v>173</v>
      </c>
      <c r="T1093" t="s">
        <v>5718</v>
      </c>
      <c r="U1093">
        <v>5026</v>
      </c>
      <c r="V1093">
        <v>4561</v>
      </c>
      <c r="W1093">
        <v>1.1020000000000001</v>
      </c>
      <c r="X1093" t="s">
        <v>70</v>
      </c>
      <c r="Y1093" t="s">
        <v>5356</v>
      </c>
      <c r="Z1093">
        <v>1259.74</v>
      </c>
      <c r="AA1093">
        <v>161.08000000000001</v>
      </c>
      <c r="AB1093">
        <v>202919</v>
      </c>
      <c r="AC1093" t="b">
        <v>1</v>
      </c>
      <c r="AD1093" t="b">
        <v>1</v>
      </c>
      <c r="AE1093" t="b">
        <v>0</v>
      </c>
      <c r="AF1093" t="b">
        <v>0</v>
      </c>
      <c r="AG1093" t="s">
        <v>58</v>
      </c>
      <c r="AH1093">
        <v>20</v>
      </c>
      <c r="AI1093" t="s">
        <v>59</v>
      </c>
      <c r="AJ1093" t="s">
        <v>71</v>
      </c>
      <c r="AL1093" t="s">
        <v>72</v>
      </c>
      <c r="AM1093" t="s">
        <v>62</v>
      </c>
      <c r="AN1093" t="s">
        <v>63</v>
      </c>
      <c r="AO1093" t="s">
        <v>5357</v>
      </c>
      <c r="AP1093" t="s">
        <v>5715</v>
      </c>
    </row>
    <row r="1094" spans="1:42" x14ac:dyDescent="0.45">
      <c r="A1094" t="s">
        <v>5344</v>
      </c>
      <c r="B1094" t="s">
        <v>5345</v>
      </c>
      <c r="C1094" t="s">
        <v>5346</v>
      </c>
      <c r="D1094">
        <v>2022</v>
      </c>
      <c r="E1094" t="s">
        <v>783</v>
      </c>
      <c r="F1094" t="s">
        <v>5347</v>
      </c>
      <c r="G1094">
        <v>17</v>
      </c>
      <c r="J1094" t="s">
        <v>5719</v>
      </c>
      <c r="K1094" t="s">
        <v>5720</v>
      </c>
      <c r="L1094" t="s">
        <v>5721</v>
      </c>
      <c r="M1094" t="s">
        <v>5722</v>
      </c>
      <c r="N1094" t="s">
        <v>5352</v>
      </c>
      <c r="O1094" t="s">
        <v>5353</v>
      </c>
      <c r="P1094" t="s">
        <v>223</v>
      </c>
      <c r="Q1094" t="s">
        <v>5354</v>
      </c>
      <c r="S1094">
        <v>178</v>
      </c>
      <c r="T1094" t="s">
        <v>5723</v>
      </c>
      <c r="U1094">
        <v>4299</v>
      </c>
      <c r="V1094">
        <v>4561</v>
      </c>
      <c r="W1094">
        <v>0.94259999999999999</v>
      </c>
      <c r="X1094" t="s">
        <v>70</v>
      </c>
      <c r="Y1094" t="s">
        <v>5356</v>
      </c>
      <c r="Z1094">
        <v>1294.74</v>
      </c>
      <c r="AA1094">
        <v>43.43</v>
      </c>
      <c r="AB1094">
        <v>56235</v>
      </c>
      <c r="AC1094" t="b">
        <v>1</v>
      </c>
      <c r="AD1094" t="b">
        <v>1</v>
      </c>
      <c r="AE1094" t="b">
        <v>0</v>
      </c>
      <c r="AF1094" t="b">
        <v>0</v>
      </c>
      <c r="AG1094" t="s">
        <v>58</v>
      </c>
      <c r="AH1094">
        <v>20</v>
      </c>
      <c r="AI1094" t="s">
        <v>59</v>
      </c>
      <c r="AJ1094" t="s">
        <v>71</v>
      </c>
      <c r="AL1094" t="s">
        <v>72</v>
      </c>
      <c r="AM1094" t="s">
        <v>62</v>
      </c>
      <c r="AN1094" t="s">
        <v>63</v>
      </c>
      <c r="AO1094" t="s">
        <v>5357</v>
      </c>
      <c r="AP1094" t="s">
        <v>5720</v>
      </c>
    </row>
    <row r="1095" spans="1:42" x14ac:dyDescent="0.45">
      <c r="A1095" t="s">
        <v>5344</v>
      </c>
      <c r="B1095" t="s">
        <v>5345</v>
      </c>
      <c r="C1095" t="s">
        <v>5346</v>
      </c>
      <c r="D1095">
        <v>2022</v>
      </c>
      <c r="E1095" t="s">
        <v>783</v>
      </c>
      <c r="F1095" t="s">
        <v>5347</v>
      </c>
      <c r="G1095">
        <v>20</v>
      </c>
      <c r="J1095" t="s">
        <v>5724</v>
      </c>
      <c r="K1095" t="s">
        <v>5725</v>
      </c>
      <c r="L1095" t="s">
        <v>5726</v>
      </c>
      <c r="M1095" t="s">
        <v>5727</v>
      </c>
      <c r="N1095" t="s">
        <v>5352</v>
      </c>
      <c r="O1095" t="s">
        <v>5353</v>
      </c>
      <c r="P1095" t="s">
        <v>223</v>
      </c>
      <c r="Q1095" t="s">
        <v>5354</v>
      </c>
      <c r="S1095">
        <v>175</v>
      </c>
      <c r="T1095" t="s">
        <v>5728</v>
      </c>
      <c r="U1095">
        <v>4608</v>
      </c>
      <c r="V1095">
        <v>4561</v>
      </c>
      <c r="W1095">
        <v>1.0103</v>
      </c>
      <c r="X1095" t="s">
        <v>70</v>
      </c>
      <c r="Y1095" t="s">
        <v>5356</v>
      </c>
      <c r="Z1095">
        <v>1273.74</v>
      </c>
      <c r="AA1095">
        <v>150.47</v>
      </c>
      <c r="AB1095">
        <v>191662</v>
      </c>
      <c r="AC1095" t="b">
        <v>1</v>
      </c>
      <c r="AD1095" t="b">
        <v>1</v>
      </c>
      <c r="AE1095" t="b">
        <v>0</v>
      </c>
      <c r="AF1095" t="b">
        <v>0</v>
      </c>
      <c r="AG1095" t="s">
        <v>58</v>
      </c>
      <c r="AH1095">
        <v>20</v>
      </c>
      <c r="AI1095" t="s">
        <v>59</v>
      </c>
      <c r="AJ1095" t="s">
        <v>71</v>
      </c>
      <c r="AL1095" t="s">
        <v>72</v>
      </c>
      <c r="AM1095" t="s">
        <v>62</v>
      </c>
      <c r="AN1095" t="s">
        <v>63</v>
      </c>
      <c r="AO1095" t="s">
        <v>5357</v>
      </c>
      <c r="AP1095" t="s">
        <v>5725</v>
      </c>
    </row>
    <row r="1096" spans="1:42" x14ac:dyDescent="0.45">
      <c r="A1096" t="s">
        <v>5344</v>
      </c>
      <c r="B1096" t="s">
        <v>5345</v>
      </c>
      <c r="C1096" t="s">
        <v>5346</v>
      </c>
      <c r="D1096">
        <v>2022</v>
      </c>
      <c r="E1096" t="s">
        <v>783</v>
      </c>
      <c r="F1096" t="s">
        <v>5347</v>
      </c>
      <c r="G1096">
        <v>25</v>
      </c>
      <c r="J1096" t="s">
        <v>5729</v>
      </c>
      <c r="K1096" t="s">
        <v>5730</v>
      </c>
      <c r="L1096" t="s">
        <v>5731</v>
      </c>
      <c r="M1096" t="s">
        <v>5732</v>
      </c>
      <c r="N1096" t="s">
        <v>5352</v>
      </c>
      <c r="O1096" t="s">
        <v>5353</v>
      </c>
      <c r="P1096" t="s">
        <v>223</v>
      </c>
      <c r="Q1096" t="s">
        <v>5354</v>
      </c>
      <c r="S1096">
        <v>170</v>
      </c>
      <c r="T1096" t="s">
        <v>5733</v>
      </c>
      <c r="U1096">
        <v>4561</v>
      </c>
      <c r="V1096">
        <v>4561</v>
      </c>
      <c r="W1096">
        <v>1</v>
      </c>
      <c r="X1096" t="s">
        <v>70</v>
      </c>
      <c r="Y1096" t="s">
        <v>5356</v>
      </c>
      <c r="Z1096">
        <v>1238.74</v>
      </c>
      <c r="AA1096">
        <v>126.23</v>
      </c>
      <c r="AB1096">
        <v>156371</v>
      </c>
      <c r="AC1096" t="b">
        <v>1</v>
      </c>
      <c r="AD1096" t="b">
        <v>1</v>
      </c>
      <c r="AE1096" t="b">
        <v>0</v>
      </c>
      <c r="AF1096" t="b">
        <v>0</v>
      </c>
      <c r="AG1096" t="s">
        <v>58</v>
      </c>
      <c r="AH1096">
        <v>20</v>
      </c>
      <c r="AI1096" t="s">
        <v>59</v>
      </c>
      <c r="AJ1096" t="s">
        <v>71</v>
      </c>
      <c r="AL1096" t="s">
        <v>72</v>
      </c>
      <c r="AM1096" t="s">
        <v>62</v>
      </c>
      <c r="AN1096" t="s">
        <v>63</v>
      </c>
      <c r="AO1096" t="s">
        <v>5357</v>
      </c>
      <c r="AP1096" t="s">
        <v>5730</v>
      </c>
    </row>
    <row r="1097" spans="1:42" x14ac:dyDescent="0.45">
      <c r="A1097" t="s">
        <v>5344</v>
      </c>
      <c r="B1097" t="s">
        <v>5345</v>
      </c>
      <c r="C1097" t="s">
        <v>5346</v>
      </c>
      <c r="D1097">
        <v>2022</v>
      </c>
      <c r="E1097" t="s">
        <v>783</v>
      </c>
      <c r="F1097" t="s">
        <v>5347</v>
      </c>
      <c r="G1097">
        <v>10</v>
      </c>
      <c r="J1097" t="s">
        <v>5734</v>
      </c>
      <c r="K1097" t="s">
        <v>5735</v>
      </c>
      <c r="L1097" t="s">
        <v>5736</v>
      </c>
      <c r="M1097" t="s">
        <v>5737</v>
      </c>
      <c r="N1097" t="s">
        <v>5352</v>
      </c>
      <c r="O1097" t="s">
        <v>5353</v>
      </c>
      <c r="P1097" t="s">
        <v>223</v>
      </c>
      <c r="Q1097" t="s">
        <v>5354</v>
      </c>
      <c r="S1097">
        <v>185</v>
      </c>
      <c r="T1097" t="s">
        <v>5738</v>
      </c>
      <c r="U1097">
        <v>5293</v>
      </c>
      <c r="V1097">
        <v>4561</v>
      </c>
      <c r="W1097">
        <v>1.1605000000000001</v>
      </c>
      <c r="X1097" t="s">
        <v>70</v>
      </c>
      <c r="Y1097" t="s">
        <v>5356</v>
      </c>
      <c r="Z1097">
        <v>1343.74</v>
      </c>
      <c r="AA1097">
        <v>195.39</v>
      </c>
      <c r="AB1097">
        <v>262551</v>
      </c>
      <c r="AC1097" t="b">
        <v>1</v>
      </c>
      <c r="AD1097" t="b">
        <v>1</v>
      </c>
      <c r="AE1097" t="b">
        <v>0</v>
      </c>
      <c r="AF1097" t="b">
        <v>0</v>
      </c>
      <c r="AG1097" t="s">
        <v>58</v>
      </c>
      <c r="AH1097">
        <v>20</v>
      </c>
      <c r="AI1097" t="s">
        <v>59</v>
      </c>
      <c r="AJ1097" t="s">
        <v>71</v>
      </c>
      <c r="AL1097" t="s">
        <v>72</v>
      </c>
      <c r="AM1097" t="s">
        <v>62</v>
      </c>
      <c r="AN1097" t="s">
        <v>63</v>
      </c>
      <c r="AO1097" t="s">
        <v>5357</v>
      </c>
      <c r="AP1097" t="s">
        <v>5735</v>
      </c>
    </row>
    <row r="1098" spans="1:42" x14ac:dyDescent="0.45">
      <c r="A1098" t="s">
        <v>5344</v>
      </c>
      <c r="B1098" t="s">
        <v>5345</v>
      </c>
      <c r="C1098" t="s">
        <v>5346</v>
      </c>
      <c r="D1098">
        <v>2022</v>
      </c>
      <c r="E1098" t="s">
        <v>783</v>
      </c>
      <c r="F1098" t="s">
        <v>5347</v>
      </c>
      <c r="G1098">
        <v>14</v>
      </c>
      <c r="J1098" t="s">
        <v>5739</v>
      </c>
      <c r="K1098" t="s">
        <v>5740</v>
      </c>
      <c r="L1098" t="s">
        <v>5741</v>
      </c>
      <c r="M1098" t="s">
        <v>5742</v>
      </c>
      <c r="N1098" t="s">
        <v>5352</v>
      </c>
      <c r="O1098" t="s">
        <v>5353</v>
      </c>
      <c r="P1098" t="s">
        <v>223</v>
      </c>
      <c r="Q1098" t="s">
        <v>5354</v>
      </c>
      <c r="S1098">
        <v>181</v>
      </c>
      <c r="T1098" t="s">
        <v>5743</v>
      </c>
      <c r="U1098">
        <v>4161</v>
      </c>
      <c r="V1098">
        <v>4561</v>
      </c>
      <c r="W1098">
        <v>0.9123</v>
      </c>
      <c r="X1098" t="s">
        <v>70</v>
      </c>
      <c r="Y1098" t="s">
        <v>5356</v>
      </c>
      <c r="Z1098">
        <v>1315.74</v>
      </c>
      <c r="AA1098">
        <v>131.13</v>
      </c>
      <c r="AB1098">
        <v>172531</v>
      </c>
      <c r="AC1098" t="b">
        <v>1</v>
      </c>
      <c r="AD1098" t="b">
        <v>1</v>
      </c>
      <c r="AE1098" t="b">
        <v>0</v>
      </c>
      <c r="AF1098" t="b">
        <v>0</v>
      </c>
      <c r="AG1098" t="s">
        <v>58</v>
      </c>
      <c r="AH1098">
        <v>20</v>
      </c>
      <c r="AI1098" t="s">
        <v>59</v>
      </c>
      <c r="AJ1098" t="s">
        <v>71</v>
      </c>
      <c r="AL1098" t="s">
        <v>72</v>
      </c>
      <c r="AM1098" t="s">
        <v>62</v>
      </c>
      <c r="AN1098" t="s">
        <v>63</v>
      </c>
      <c r="AO1098" t="s">
        <v>5357</v>
      </c>
      <c r="AP1098" t="s">
        <v>5740</v>
      </c>
    </row>
    <row r="1099" spans="1:42" x14ac:dyDescent="0.45">
      <c r="A1099" t="s">
        <v>5344</v>
      </c>
      <c r="B1099" t="s">
        <v>5345</v>
      </c>
      <c r="C1099" t="s">
        <v>5346</v>
      </c>
      <c r="D1099">
        <v>2022</v>
      </c>
      <c r="E1099" t="s">
        <v>783</v>
      </c>
      <c r="F1099" t="s">
        <v>5347</v>
      </c>
      <c r="G1099">
        <v>9</v>
      </c>
      <c r="J1099" t="s">
        <v>5744</v>
      </c>
      <c r="K1099" t="s">
        <v>5745</v>
      </c>
      <c r="L1099" t="s">
        <v>5746</v>
      </c>
      <c r="M1099" t="s">
        <v>5747</v>
      </c>
      <c r="N1099" t="s">
        <v>5352</v>
      </c>
      <c r="O1099" t="s">
        <v>5353</v>
      </c>
      <c r="P1099" t="s">
        <v>223</v>
      </c>
      <c r="Q1099" t="s">
        <v>5354</v>
      </c>
      <c r="S1099">
        <v>186</v>
      </c>
      <c r="T1099" t="s">
        <v>5748</v>
      </c>
      <c r="U1099">
        <v>4826</v>
      </c>
      <c r="V1099">
        <v>4561</v>
      </c>
      <c r="W1099">
        <v>1.0581</v>
      </c>
      <c r="X1099" t="s">
        <v>70</v>
      </c>
      <c r="Y1099" t="s">
        <v>5356</v>
      </c>
      <c r="Z1099">
        <v>1350.74</v>
      </c>
      <c r="AA1099">
        <v>146.57</v>
      </c>
      <c r="AB1099">
        <v>197972</v>
      </c>
      <c r="AC1099" t="b">
        <v>1</v>
      </c>
      <c r="AD1099" t="b">
        <v>1</v>
      </c>
      <c r="AE1099" t="b">
        <v>0</v>
      </c>
      <c r="AF1099" t="b">
        <v>0</v>
      </c>
      <c r="AG1099" t="s">
        <v>58</v>
      </c>
      <c r="AH1099">
        <v>20</v>
      </c>
      <c r="AI1099" t="s">
        <v>59</v>
      </c>
      <c r="AJ1099" t="s">
        <v>71</v>
      </c>
      <c r="AL1099" t="s">
        <v>72</v>
      </c>
      <c r="AM1099" t="s">
        <v>62</v>
      </c>
      <c r="AN1099" t="s">
        <v>63</v>
      </c>
      <c r="AO1099" t="s">
        <v>5357</v>
      </c>
      <c r="AP1099" t="s">
        <v>5745</v>
      </c>
    </row>
    <row r="1100" spans="1:42" x14ac:dyDescent="0.45">
      <c r="A1100" t="s">
        <v>5344</v>
      </c>
      <c r="B1100" t="s">
        <v>5345</v>
      </c>
      <c r="C1100" t="s">
        <v>5346</v>
      </c>
      <c r="D1100">
        <v>2022</v>
      </c>
      <c r="E1100" t="s">
        <v>783</v>
      </c>
      <c r="F1100" t="s">
        <v>5347</v>
      </c>
      <c r="G1100">
        <v>13</v>
      </c>
      <c r="J1100" t="s">
        <v>5749</v>
      </c>
      <c r="K1100" t="s">
        <v>5750</v>
      </c>
      <c r="L1100" t="s">
        <v>5751</v>
      </c>
      <c r="M1100" t="s">
        <v>5752</v>
      </c>
      <c r="N1100" t="s">
        <v>5352</v>
      </c>
      <c r="O1100" t="s">
        <v>5353</v>
      </c>
      <c r="P1100" t="s">
        <v>223</v>
      </c>
      <c r="Q1100" t="s">
        <v>5354</v>
      </c>
      <c r="S1100">
        <v>182</v>
      </c>
      <c r="T1100" t="s">
        <v>5753</v>
      </c>
      <c r="U1100">
        <v>4058</v>
      </c>
      <c r="V1100">
        <v>4561</v>
      </c>
      <c r="W1100">
        <v>0.88970000000000005</v>
      </c>
      <c r="X1100" t="s">
        <v>70</v>
      </c>
      <c r="Y1100" t="s">
        <v>5356</v>
      </c>
      <c r="Z1100">
        <v>1322.74</v>
      </c>
      <c r="AA1100">
        <v>157.22999999999999</v>
      </c>
      <c r="AB1100">
        <v>207976</v>
      </c>
      <c r="AC1100" t="b">
        <v>1</v>
      </c>
      <c r="AD1100" t="b">
        <v>1</v>
      </c>
      <c r="AE1100" t="b">
        <v>0</v>
      </c>
      <c r="AF1100" t="b">
        <v>0</v>
      </c>
      <c r="AG1100" t="s">
        <v>58</v>
      </c>
      <c r="AH1100">
        <v>20</v>
      </c>
      <c r="AI1100" t="s">
        <v>59</v>
      </c>
      <c r="AJ1100" t="s">
        <v>71</v>
      </c>
      <c r="AL1100" t="s">
        <v>72</v>
      </c>
      <c r="AM1100" t="s">
        <v>62</v>
      </c>
      <c r="AN1100" t="s">
        <v>63</v>
      </c>
      <c r="AO1100" t="s">
        <v>5357</v>
      </c>
      <c r="AP1100" t="s">
        <v>5750</v>
      </c>
    </row>
    <row r="1101" spans="1:42" x14ac:dyDescent="0.45">
      <c r="A1101" t="s">
        <v>5344</v>
      </c>
      <c r="B1101" t="s">
        <v>5345</v>
      </c>
      <c r="C1101" t="s">
        <v>5346</v>
      </c>
      <c r="D1101">
        <v>2022</v>
      </c>
      <c r="E1101" t="s">
        <v>783</v>
      </c>
      <c r="F1101" t="s">
        <v>5347</v>
      </c>
      <c r="G1101">
        <v>11</v>
      </c>
      <c r="J1101" t="s">
        <v>5754</v>
      </c>
      <c r="K1101" t="s">
        <v>5755</v>
      </c>
      <c r="L1101" t="s">
        <v>5756</v>
      </c>
      <c r="M1101" t="s">
        <v>5757</v>
      </c>
      <c r="N1101" t="s">
        <v>5352</v>
      </c>
      <c r="O1101" t="s">
        <v>5353</v>
      </c>
      <c r="P1101" t="s">
        <v>223</v>
      </c>
      <c r="Q1101" t="s">
        <v>5354</v>
      </c>
      <c r="S1101">
        <v>184</v>
      </c>
      <c r="T1101" t="s">
        <v>5758</v>
      </c>
      <c r="U1101">
        <v>4533</v>
      </c>
      <c r="V1101">
        <v>4561</v>
      </c>
      <c r="W1101">
        <v>0.99390000000000001</v>
      </c>
      <c r="X1101" t="s">
        <v>70</v>
      </c>
      <c r="Y1101" t="s">
        <v>5356</v>
      </c>
      <c r="Z1101">
        <v>1336.74</v>
      </c>
      <c r="AA1101">
        <v>169.9</v>
      </c>
      <c r="AB1101">
        <v>227114</v>
      </c>
      <c r="AC1101" t="b">
        <v>1</v>
      </c>
      <c r="AD1101" t="b">
        <v>1</v>
      </c>
      <c r="AE1101" t="b">
        <v>0</v>
      </c>
      <c r="AF1101" t="b">
        <v>0</v>
      </c>
      <c r="AG1101" t="s">
        <v>58</v>
      </c>
      <c r="AH1101">
        <v>20</v>
      </c>
      <c r="AI1101" t="s">
        <v>59</v>
      </c>
      <c r="AJ1101" t="s">
        <v>71</v>
      </c>
      <c r="AL1101" t="s">
        <v>72</v>
      </c>
      <c r="AM1101" t="s">
        <v>62</v>
      </c>
      <c r="AN1101" t="s">
        <v>63</v>
      </c>
      <c r="AO1101" t="s">
        <v>5357</v>
      </c>
      <c r="AP1101" t="s">
        <v>5755</v>
      </c>
    </row>
    <row r="1102" spans="1:42" x14ac:dyDescent="0.45">
      <c r="A1102" t="s">
        <v>5344</v>
      </c>
      <c r="B1102" t="s">
        <v>5345</v>
      </c>
      <c r="C1102" t="s">
        <v>5346</v>
      </c>
      <c r="D1102">
        <v>2022</v>
      </c>
      <c r="E1102" t="s">
        <v>783</v>
      </c>
      <c r="F1102" t="s">
        <v>5347</v>
      </c>
      <c r="G1102">
        <v>15</v>
      </c>
      <c r="J1102" t="s">
        <v>5759</v>
      </c>
      <c r="K1102" t="s">
        <v>5760</v>
      </c>
      <c r="L1102" t="s">
        <v>5761</v>
      </c>
      <c r="M1102" t="s">
        <v>5762</v>
      </c>
      <c r="N1102" t="s">
        <v>5352</v>
      </c>
      <c r="O1102" t="s">
        <v>5353</v>
      </c>
      <c r="P1102" t="s">
        <v>223</v>
      </c>
      <c r="Q1102" t="s">
        <v>5354</v>
      </c>
      <c r="S1102">
        <v>180</v>
      </c>
      <c r="T1102" t="s">
        <v>5763</v>
      </c>
      <c r="U1102">
        <v>4206</v>
      </c>
      <c r="V1102">
        <v>4561</v>
      </c>
      <c r="W1102">
        <v>0.92220000000000002</v>
      </c>
      <c r="X1102" t="s">
        <v>70</v>
      </c>
      <c r="Y1102" t="s">
        <v>5356</v>
      </c>
      <c r="Z1102">
        <v>1308.74</v>
      </c>
      <c r="AA1102">
        <v>208.19</v>
      </c>
      <c r="AB1102">
        <v>272462</v>
      </c>
      <c r="AC1102" t="b">
        <v>1</v>
      </c>
      <c r="AD1102" t="b">
        <v>1</v>
      </c>
      <c r="AE1102" t="b">
        <v>0</v>
      </c>
      <c r="AF1102" t="b">
        <v>0</v>
      </c>
      <c r="AG1102" t="s">
        <v>58</v>
      </c>
      <c r="AH1102">
        <v>20</v>
      </c>
      <c r="AI1102" t="s">
        <v>59</v>
      </c>
      <c r="AJ1102" t="s">
        <v>71</v>
      </c>
      <c r="AL1102" t="s">
        <v>72</v>
      </c>
      <c r="AM1102" t="s">
        <v>62</v>
      </c>
      <c r="AN1102" t="s">
        <v>63</v>
      </c>
      <c r="AO1102" t="s">
        <v>5357</v>
      </c>
      <c r="AP1102" t="s">
        <v>5760</v>
      </c>
    </row>
    <row r="1103" spans="1:42" x14ac:dyDescent="0.45">
      <c r="A1103" t="s">
        <v>5344</v>
      </c>
      <c r="B1103" t="s">
        <v>5345</v>
      </c>
      <c r="C1103" t="s">
        <v>5346</v>
      </c>
      <c r="D1103">
        <v>2022</v>
      </c>
      <c r="E1103" t="s">
        <v>783</v>
      </c>
      <c r="F1103" t="s">
        <v>5347</v>
      </c>
      <c r="G1103">
        <v>12</v>
      </c>
      <c r="J1103" t="s">
        <v>5764</v>
      </c>
      <c r="K1103" t="s">
        <v>5765</v>
      </c>
      <c r="L1103" t="s">
        <v>5766</v>
      </c>
      <c r="M1103" t="s">
        <v>5767</v>
      </c>
      <c r="N1103" t="s">
        <v>5352</v>
      </c>
      <c r="O1103" t="s">
        <v>5353</v>
      </c>
      <c r="P1103" t="s">
        <v>223</v>
      </c>
      <c r="Q1103" t="s">
        <v>5354</v>
      </c>
      <c r="S1103">
        <v>183</v>
      </c>
      <c r="T1103" t="s">
        <v>5768</v>
      </c>
      <c r="U1103">
        <v>4054</v>
      </c>
      <c r="V1103">
        <v>4561</v>
      </c>
      <c r="W1103">
        <v>0.88880000000000003</v>
      </c>
      <c r="X1103" t="s">
        <v>70</v>
      </c>
      <c r="Y1103" t="s">
        <v>5356</v>
      </c>
      <c r="Z1103">
        <v>1329.74</v>
      </c>
      <c r="AA1103">
        <v>210.08</v>
      </c>
      <c r="AB1103">
        <v>279354</v>
      </c>
      <c r="AC1103" t="b">
        <v>1</v>
      </c>
      <c r="AD1103" t="b">
        <v>1</v>
      </c>
      <c r="AE1103" t="b">
        <v>0</v>
      </c>
      <c r="AF1103" t="b">
        <v>0</v>
      </c>
      <c r="AG1103" t="s">
        <v>58</v>
      </c>
      <c r="AH1103">
        <v>20</v>
      </c>
      <c r="AI1103" t="s">
        <v>59</v>
      </c>
      <c r="AJ1103" t="s">
        <v>71</v>
      </c>
      <c r="AL1103" t="s">
        <v>72</v>
      </c>
      <c r="AM1103" t="s">
        <v>62</v>
      </c>
      <c r="AN1103" t="s">
        <v>63</v>
      </c>
      <c r="AO1103" t="s">
        <v>5357</v>
      </c>
      <c r="AP1103" t="s">
        <v>5765</v>
      </c>
    </row>
    <row r="1104" spans="1:42" x14ac:dyDescent="0.45">
      <c r="A1104" t="s">
        <v>5344</v>
      </c>
      <c r="B1104" t="s">
        <v>5345</v>
      </c>
      <c r="C1104" t="s">
        <v>5346</v>
      </c>
      <c r="D1104">
        <v>2022</v>
      </c>
      <c r="E1104" t="s">
        <v>783</v>
      </c>
      <c r="F1104" t="s">
        <v>5347</v>
      </c>
      <c r="G1104">
        <v>8</v>
      </c>
      <c r="J1104" t="s">
        <v>5769</v>
      </c>
      <c r="K1104" t="s">
        <v>5770</v>
      </c>
      <c r="L1104" t="s">
        <v>5771</v>
      </c>
      <c r="M1104" t="s">
        <v>5772</v>
      </c>
      <c r="N1104" t="s">
        <v>5352</v>
      </c>
      <c r="O1104" t="s">
        <v>5353</v>
      </c>
      <c r="P1104" t="s">
        <v>223</v>
      </c>
      <c r="Q1104" t="s">
        <v>5354</v>
      </c>
      <c r="S1104">
        <v>187</v>
      </c>
      <c r="T1104" t="s">
        <v>5773</v>
      </c>
      <c r="U1104">
        <v>4541</v>
      </c>
      <c r="V1104">
        <v>4561</v>
      </c>
      <c r="W1104">
        <v>0.99560000000000004</v>
      </c>
      <c r="X1104" t="s">
        <v>70</v>
      </c>
      <c r="Y1104" t="s">
        <v>5356</v>
      </c>
      <c r="Z1104">
        <v>1357.74</v>
      </c>
      <c r="AA1104">
        <v>242.62</v>
      </c>
      <c r="AB1104">
        <v>329411</v>
      </c>
      <c r="AC1104" t="b">
        <v>1</v>
      </c>
      <c r="AD1104" t="b">
        <v>1</v>
      </c>
      <c r="AE1104" t="b">
        <v>0</v>
      </c>
      <c r="AF1104" t="b">
        <v>0</v>
      </c>
      <c r="AG1104" t="s">
        <v>58</v>
      </c>
      <c r="AH1104">
        <v>20</v>
      </c>
      <c r="AI1104" t="s">
        <v>59</v>
      </c>
      <c r="AJ1104" t="s">
        <v>71</v>
      </c>
      <c r="AL1104" t="s">
        <v>72</v>
      </c>
      <c r="AM1104" t="s">
        <v>62</v>
      </c>
      <c r="AN1104" t="s">
        <v>63</v>
      </c>
      <c r="AO1104" t="s">
        <v>5357</v>
      </c>
      <c r="AP1104" t="s">
        <v>5770</v>
      </c>
    </row>
    <row r="1105" spans="1:42" x14ac:dyDescent="0.45">
      <c r="A1105" t="s">
        <v>5344</v>
      </c>
      <c r="B1105" t="s">
        <v>5345</v>
      </c>
      <c r="C1105" t="s">
        <v>5346</v>
      </c>
      <c r="D1105">
        <v>2022</v>
      </c>
      <c r="E1105" t="s">
        <v>783</v>
      </c>
      <c r="F1105" t="s">
        <v>5347</v>
      </c>
      <c r="G1105">
        <v>95</v>
      </c>
      <c r="J1105" t="s">
        <v>5774</v>
      </c>
      <c r="K1105" t="s">
        <v>5775</v>
      </c>
      <c r="L1105" t="s">
        <v>5776</v>
      </c>
      <c r="M1105" t="s">
        <v>5777</v>
      </c>
      <c r="N1105" t="s">
        <v>5352</v>
      </c>
      <c r="O1105" t="s">
        <v>5353</v>
      </c>
      <c r="P1105" t="s">
        <v>223</v>
      </c>
      <c r="Q1105" t="s">
        <v>5354</v>
      </c>
      <c r="S1105">
        <v>100</v>
      </c>
      <c r="T1105" t="s">
        <v>5778</v>
      </c>
      <c r="U1105">
        <v>4721</v>
      </c>
      <c r="V1105">
        <v>4561</v>
      </c>
      <c r="W1105">
        <v>1.0350999999999999</v>
      </c>
      <c r="X1105" t="s">
        <v>70</v>
      </c>
      <c r="Y1105" t="s">
        <v>5356</v>
      </c>
      <c r="Z1105">
        <v>732.75</v>
      </c>
      <c r="AA1105">
        <v>473.2</v>
      </c>
      <c r="AB1105">
        <v>346735</v>
      </c>
      <c r="AC1105" t="b">
        <v>1</v>
      </c>
      <c r="AD1105" t="b">
        <v>1</v>
      </c>
      <c r="AE1105" t="b">
        <v>0</v>
      </c>
      <c r="AF1105" t="b">
        <v>0</v>
      </c>
      <c r="AG1105" t="s">
        <v>58</v>
      </c>
      <c r="AH1105">
        <v>20</v>
      </c>
      <c r="AI1105" t="s">
        <v>59</v>
      </c>
      <c r="AJ1105" t="s">
        <v>71</v>
      </c>
      <c r="AL1105" t="s">
        <v>72</v>
      </c>
      <c r="AM1105" t="s">
        <v>62</v>
      </c>
      <c r="AN1105" t="s">
        <v>63</v>
      </c>
      <c r="AO1105" t="s">
        <v>5357</v>
      </c>
      <c r="AP1105" t="s">
        <v>5775</v>
      </c>
    </row>
    <row r="1106" spans="1:42" x14ac:dyDescent="0.45">
      <c r="A1106" t="s">
        <v>5344</v>
      </c>
      <c r="B1106" t="s">
        <v>5345</v>
      </c>
      <c r="C1106" t="s">
        <v>5346</v>
      </c>
      <c r="D1106">
        <v>2022</v>
      </c>
      <c r="E1106" t="s">
        <v>783</v>
      </c>
      <c r="F1106" t="s">
        <v>5347</v>
      </c>
      <c r="G1106">
        <v>7</v>
      </c>
      <c r="J1106" t="s">
        <v>5779</v>
      </c>
      <c r="K1106" t="s">
        <v>5780</v>
      </c>
      <c r="L1106" t="s">
        <v>5781</v>
      </c>
      <c r="M1106" t="s">
        <v>5782</v>
      </c>
      <c r="N1106" t="s">
        <v>5352</v>
      </c>
      <c r="O1106" t="s">
        <v>5353</v>
      </c>
      <c r="P1106" t="s">
        <v>223</v>
      </c>
      <c r="Q1106" t="s">
        <v>5354</v>
      </c>
      <c r="S1106">
        <v>188</v>
      </c>
      <c r="T1106" t="s">
        <v>5783</v>
      </c>
      <c r="U1106">
        <v>4443</v>
      </c>
      <c r="V1106">
        <v>4561</v>
      </c>
      <c r="W1106">
        <v>0.97409999999999997</v>
      </c>
      <c r="X1106" t="s">
        <v>70</v>
      </c>
      <c r="Y1106" t="s">
        <v>5356</v>
      </c>
      <c r="Z1106">
        <v>1364.74</v>
      </c>
      <c r="AA1106">
        <v>272.75</v>
      </c>
      <c r="AB1106">
        <v>372232</v>
      </c>
      <c r="AC1106" t="b">
        <v>1</v>
      </c>
      <c r="AD1106" t="b">
        <v>1</v>
      </c>
      <c r="AE1106" t="b">
        <v>0</v>
      </c>
      <c r="AF1106" t="b">
        <v>0</v>
      </c>
      <c r="AG1106" t="s">
        <v>58</v>
      </c>
      <c r="AH1106">
        <v>20</v>
      </c>
      <c r="AI1106" t="s">
        <v>59</v>
      </c>
      <c r="AJ1106" t="s">
        <v>71</v>
      </c>
      <c r="AL1106" t="s">
        <v>72</v>
      </c>
      <c r="AM1106" t="s">
        <v>62</v>
      </c>
      <c r="AN1106" t="s">
        <v>63</v>
      </c>
      <c r="AO1106" t="s">
        <v>5357</v>
      </c>
      <c r="AP1106" t="s">
        <v>5780</v>
      </c>
    </row>
    <row r="1107" spans="1:42" x14ac:dyDescent="0.45">
      <c r="A1107" t="s">
        <v>5344</v>
      </c>
      <c r="B1107" t="s">
        <v>5345</v>
      </c>
      <c r="C1107" t="s">
        <v>5346</v>
      </c>
      <c r="D1107">
        <v>2022</v>
      </c>
      <c r="E1107" t="s">
        <v>783</v>
      </c>
      <c r="F1107" t="s">
        <v>5347</v>
      </c>
      <c r="G1107">
        <v>5</v>
      </c>
      <c r="J1107" t="s">
        <v>5784</v>
      </c>
      <c r="K1107" t="s">
        <v>5785</v>
      </c>
      <c r="L1107" t="s">
        <v>5786</v>
      </c>
      <c r="M1107" t="s">
        <v>5787</v>
      </c>
      <c r="N1107" t="s">
        <v>5352</v>
      </c>
      <c r="O1107" t="s">
        <v>5353</v>
      </c>
      <c r="P1107" t="s">
        <v>223</v>
      </c>
      <c r="Q1107" t="s">
        <v>5354</v>
      </c>
      <c r="S1107">
        <v>190</v>
      </c>
      <c r="T1107" t="s">
        <v>5788</v>
      </c>
      <c r="U1107">
        <v>4583</v>
      </c>
      <c r="V1107">
        <v>4561</v>
      </c>
      <c r="W1107">
        <v>1.0047999999999999</v>
      </c>
      <c r="X1107" t="s">
        <v>70</v>
      </c>
      <c r="Y1107" t="s">
        <v>5356</v>
      </c>
      <c r="Z1107">
        <v>1378.74</v>
      </c>
      <c r="AA1107">
        <v>617.48</v>
      </c>
      <c r="AB1107">
        <v>851345</v>
      </c>
      <c r="AC1107" t="b">
        <v>1</v>
      </c>
      <c r="AD1107" t="b">
        <v>1</v>
      </c>
      <c r="AE1107" t="b">
        <v>0</v>
      </c>
      <c r="AF1107" t="b">
        <v>0</v>
      </c>
      <c r="AG1107" t="s">
        <v>58</v>
      </c>
      <c r="AH1107">
        <v>20</v>
      </c>
      <c r="AI1107" t="s">
        <v>59</v>
      </c>
      <c r="AJ1107" t="s">
        <v>71</v>
      </c>
      <c r="AL1107" t="s">
        <v>72</v>
      </c>
      <c r="AM1107" t="s">
        <v>62</v>
      </c>
      <c r="AN1107" t="s">
        <v>63</v>
      </c>
      <c r="AO1107" t="s">
        <v>5357</v>
      </c>
      <c r="AP1107" t="s">
        <v>5785</v>
      </c>
    </row>
    <row r="1108" spans="1:42" x14ac:dyDescent="0.45">
      <c r="A1108" t="s">
        <v>5344</v>
      </c>
      <c r="B1108" t="s">
        <v>5345</v>
      </c>
      <c r="C1108" t="s">
        <v>5346</v>
      </c>
      <c r="D1108">
        <v>2022</v>
      </c>
      <c r="E1108" t="s">
        <v>783</v>
      </c>
      <c r="F1108" t="s">
        <v>5347</v>
      </c>
      <c r="G1108">
        <v>6</v>
      </c>
      <c r="J1108" t="s">
        <v>5789</v>
      </c>
      <c r="K1108" t="s">
        <v>5790</v>
      </c>
      <c r="L1108" t="s">
        <v>5791</v>
      </c>
      <c r="M1108" t="s">
        <v>5792</v>
      </c>
      <c r="N1108" t="s">
        <v>5352</v>
      </c>
      <c r="O1108" t="s">
        <v>5353</v>
      </c>
      <c r="P1108" t="s">
        <v>223</v>
      </c>
      <c r="Q1108" t="s">
        <v>5354</v>
      </c>
      <c r="S1108">
        <v>189</v>
      </c>
      <c r="T1108" t="s">
        <v>5793</v>
      </c>
      <c r="U1108">
        <v>4758</v>
      </c>
      <c r="V1108">
        <v>4561</v>
      </c>
      <c r="W1108">
        <v>1.0431999999999999</v>
      </c>
      <c r="X1108" t="s">
        <v>70</v>
      </c>
      <c r="Y1108" t="s">
        <v>5356</v>
      </c>
      <c r="Z1108">
        <v>1371.74</v>
      </c>
      <c r="AA1108">
        <v>280.33</v>
      </c>
      <c r="AB1108">
        <v>384540</v>
      </c>
      <c r="AC1108" t="b">
        <v>1</v>
      </c>
      <c r="AD1108" t="b">
        <v>1</v>
      </c>
      <c r="AE1108" t="b">
        <v>0</v>
      </c>
      <c r="AF1108" t="b">
        <v>0</v>
      </c>
      <c r="AG1108" t="s">
        <v>58</v>
      </c>
      <c r="AH1108">
        <v>20</v>
      </c>
      <c r="AI1108" t="s">
        <v>59</v>
      </c>
      <c r="AJ1108" t="s">
        <v>71</v>
      </c>
      <c r="AL1108" t="s">
        <v>72</v>
      </c>
      <c r="AM1108" t="s">
        <v>62</v>
      </c>
      <c r="AN1108" t="s">
        <v>63</v>
      </c>
      <c r="AO1108" t="s">
        <v>5357</v>
      </c>
      <c r="AP1108" t="s">
        <v>5790</v>
      </c>
    </row>
    <row r="1109" spans="1:42" x14ac:dyDescent="0.45">
      <c r="A1109" t="s">
        <v>5344</v>
      </c>
      <c r="B1109" t="s">
        <v>5345</v>
      </c>
      <c r="C1109" t="s">
        <v>5346</v>
      </c>
      <c r="D1109">
        <v>2022</v>
      </c>
      <c r="E1109" t="s">
        <v>783</v>
      </c>
      <c r="F1109" t="s">
        <v>5347</v>
      </c>
      <c r="G1109">
        <v>1</v>
      </c>
      <c r="J1109" t="s">
        <v>5794</v>
      </c>
      <c r="K1109" t="s">
        <v>5795</v>
      </c>
      <c r="L1109" t="s">
        <v>5796</v>
      </c>
      <c r="M1109" t="s">
        <v>5797</v>
      </c>
      <c r="N1109" t="s">
        <v>5352</v>
      </c>
      <c r="O1109" t="s">
        <v>5353</v>
      </c>
      <c r="P1109" t="s">
        <v>223</v>
      </c>
      <c r="Q1109" t="s">
        <v>5354</v>
      </c>
      <c r="S1109">
        <v>194</v>
      </c>
      <c r="T1109" t="s">
        <v>5798</v>
      </c>
      <c r="U1109">
        <v>4844</v>
      </c>
      <c r="V1109">
        <v>4561</v>
      </c>
      <c r="W1109">
        <v>1.0620000000000001</v>
      </c>
      <c r="X1109" t="s">
        <v>70</v>
      </c>
      <c r="Y1109" t="s">
        <v>5356</v>
      </c>
      <c r="Z1109">
        <v>1406.74</v>
      </c>
      <c r="AA1109">
        <v>331.24</v>
      </c>
      <c r="AB1109">
        <v>465972</v>
      </c>
      <c r="AC1109" t="b">
        <v>0</v>
      </c>
      <c r="AD1109" t="b">
        <v>0</v>
      </c>
      <c r="AE1109" t="b">
        <v>0</v>
      </c>
      <c r="AF1109" t="b">
        <v>0</v>
      </c>
      <c r="AG1109" t="s">
        <v>58</v>
      </c>
      <c r="AH1109">
        <v>16</v>
      </c>
      <c r="AI1109" t="s">
        <v>59</v>
      </c>
      <c r="AJ1109" t="s">
        <v>60</v>
      </c>
      <c r="AL1109" t="s">
        <v>225</v>
      </c>
      <c r="AM1109" t="s">
        <v>62</v>
      </c>
      <c r="AN1109" t="s">
        <v>63</v>
      </c>
      <c r="AO1109" t="s">
        <v>5357</v>
      </c>
      <c r="AP1109" t="s">
        <v>5795</v>
      </c>
    </row>
    <row r="1110" spans="1:42" x14ac:dyDescent="0.45">
      <c r="A1110" t="s">
        <v>5344</v>
      </c>
      <c r="B1110" t="s">
        <v>5345</v>
      </c>
      <c r="C1110" t="s">
        <v>5346</v>
      </c>
      <c r="D1110">
        <v>2022</v>
      </c>
      <c r="E1110" t="s">
        <v>783</v>
      </c>
      <c r="F1110" t="s">
        <v>5347</v>
      </c>
      <c r="G1110">
        <v>3</v>
      </c>
      <c r="J1110" t="s">
        <v>5799</v>
      </c>
      <c r="K1110" t="s">
        <v>5800</v>
      </c>
      <c r="L1110" t="s">
        <v>5801</v>
      </c>
      <c r="M1110" t="s">
        <v>5802</v>
      </c>
      <c r="N1110" t="s">
        <v>5352</v>
      </c>
      <c r="O1110" t="s">
        <v>5353</v>
      </c>
      <c r="P1110" t="s">
        <v>223</v>
      </c>
      <c r="Q1110" t="s">
        <v>5354</v>
      </c>
      <c r="S1110">
        <v>192</v>
      </c>
      <c r="T1110" t="s">
        <v>5803</v>
      </c>
      <c r="U1110">
        <v>4484</v>
      </c>
      <c r="V1110">
        <v>4561</v>
      </c>
      <c r="W1110">
        <v>0.98309999999999997</v>
      </c>
      <c r="X1110" t="s">
        <v>70</v>
      </c>
      <c r="Y1110" t="s">
        <v>5356</v>
      </c>
      <c r="Z1110">
        <v>1392.74</v>
      </c>
      <c r="AA1110">
        <v>195.76</v>
      </c>
      <c r="AB1110">
        <v>272643</v>
      </c>
      <c r="AC1110" t="b">
        <v>1</v>
      </c>
      <c r="AD1110" t="b">
        <v>1</v>
      </c>
      <c r="AE1110" t="b">
        <v>0</v>
      </c>
      <c r="AF1110" t="b">
        <v>0</v>
      </c>
      <c r="AG1110" t="s">
        <v>58</v>
      </c>
      <c r="AH1110">
        <v>20</v>
      </c>
      <c r="AI1110" t="s">
        <v>59</v>
      </c>
      <c r="AJ1110" t="s">
        <v>71</v>
      </c>
      <c r="AL1110" t="s">
        <v>72</v>
      </c>
      <c r="AM1110" t="s">
        <v>62</v>
      </c>
      <c r="AN1110" t="s">
        <v>63</v>
      </c>
      <c r="AO1110" t="s">
        <v>5357</v>
      </c>
      <c r="AP1110" t="s">
        <v>5800</v>
      </c>
    </row>
    <row r="1111" spans="1:42" x14ac:dyDescent="0.45">
      <c r="A1111" t="s">
        <v>5344</v>
      </c>
      <c r="B1111" t="s">
        <v>5345</v>
      </c>
      <c r="C1111" t="s">
        <v>5346</v>
      </c>
      <c r="D1111">
        <v>2022</v>
      </c>
      <c r="E1111" t="s">
        <v>783</v>
      </c>
      <c r="F1111" t="s">
        <v>5347</v>
      </c>
      <c r="G1111">
        <v>94</v>
      </c>
      <c r="J1111" t="s">
        <v>5804</v>
      </c>
      <c r="K1111" t="s">
        <v>5805</v>
      </c>
      <c r="L1111" t="s">
        <v>5806</v>
      </c>
      <c r="M1111" t="s">
        <v>5807</v>
      </c>
      <c r="N1111" t="s">
        <v>5352</v>
      </c>
      <c r="O1111" t="s">
        <v>5353</v>
      </c>
      <c r="P1111" t="s">
        <v>223</v>
      </c>
      <c r="Q1111" t="s">
        <v>5354</v>
      </c>
      <c r="S1111">
        <v>101</v>
      </c>
      <c r="T1111" t="s">
        <v>5808</v>
      </c>
      <c r="U1111">
        <v>4235</v>
      </c>
      <c r="V1111">
        <v>4561</v>
      </c>
      <c r="W1111">
        <v>0.92849999999999999</v>
      </c>
      <c r="X1111" t="s">
        <v>70</v>
      </c>
      <c r="Y1111" t="s">
        <v>5356</v>
      </c>
      <c r="Z1111">
        <v>739.75</v>
      </c>
      <c r="AA1111">
        <v>353.13</v>
      </c>
      <c r="AB1111">
        <v>261228</v>
      </c>
      <c r="AC1111" t="b">
        <v>1</v>
      </c>
      <c r="AD1111" t="b">
        <v>1</v>
      </c>
      <c r="AE1111" t="b">
        <v>0</v>
      </c>
      <c r="AF1111" t="b">
        <v>0</v>
      </c>
      <c r="AG1111" t="s">
        <v>58</v>
      </c>
      <c r="AH1111">
        <v>20</v>
      </c>
      <c r="AI1111" t="s">
        <v>59</v>
      </c>
      <c r="AJ1111" t="s">
        <v>71</v>
      </c>
      <c r="AL1111" t="s">
        <v>72</v>
      </c>
      <c r="AM1111" t="s">
        <v>62</v>
      </c>
      <c r="AN1111" t="s">
        <v>63</v>
      </c>
      <c r="AO1111" t="s">
        <v>5357</v>
      </c>
      <c r="AP1111" t="s">
        <v>5805</v>
      </c>
    </row>
    <row r="1112" spans="1:42" x14ac:dyDescent="0.45">
      <c r="A1112" t="s">
        <v>5344</v>
      </c>
      <c r="B1112" t="s">
        <v>5345</v>
      </c>
      <c r="C1112" t="s">
        <v>5346</v>
      </c>
      <c r="D1112">
        <v>2022</v>
      </c>
      <c r="E1112" t="s">
        <v>783</v>
      </c>
      <c r="F1112" t="s">
        <v>5347</v>
      </c>
      <c r="G1112">
        <v>92</v>
      </c>
      <c r="J1112" t="s">
        <v>5809</v>
      </c>
      <c r="K1112" t="s">
        <v>5810</v>
      </c>
      <c r="L1112" t="s">
        <v>5811</v>
      </c>
      <c r="M1112" t="s">
        <v>5812</v>
      </c>
      <c r="N1112" t="s">
        <v>5352</v>
      </c>
      <c r="O1112" t="s">
        <v>5353</v>
      </c>
      <c r="P1112" t="s">
        <v>223</v>
      </c>
      <c r="Q1112" t="s">
        <v>5354</v>
      </c>
      <c r="S1112">
        <v>103</v>
      </c>
      <c r="T1112" t="s">
        <v>5813</v>
      </c>
      <c r="U1112">
        <v>4574</v>
      </c>
      <c r="V1112">
        <v>4561</v>
      </c>
      <c r="W1112">
        <v>1.0028999999999999</v>
      </c>
      <c r="X1112" t="s">
        <v>70</v>
      </c>
      <c r="Y1112" t="s">
        <v>5356</v>
      </c>
      <c r="Z1112">
        <v>760.75</v>
      </c>
      <c r="AA1112">
        <v>532.44000000000005</v>
      </c>
      <c r="AB1112">
        <v>405051</v>
      </c>
      <c r="AC1112" t="b">
        <v>1</v>
      </c>
      <c r="AD1112" t="b">
        <v>1</v>
      </c>
      <c r="AE1112" t="b">
        <v>0</v>
      </c>
      <c r="AF1112" t="b">
        <v>0</v>
      </c>
      <c r="AG1112" t="s">
        <v>58</v>
      </c>
      <c r="AH1112">
        <v>20</v>
      </c>
      <c r="AI1112" t="s">
        <v>59</v>
      </c>
      <c r="AJ1112" t="s">
        <v>71</v>
      </c>
      <c r="AL1112" t="s">
        <v>72</v>
      </c>
      <c r="AM1112" t="s">
        <v>62</v>
      </c>
      <c r="AN1112" t="s">
        <v>63</v>
      </c>
      <c r="AO1112" t="s">
        <v>5357</v>
      </c>
      <c r="AP1112" t="s">
        <v>5810</v>
      </c>
    </row>
    <row r="1113" spans="1:42" x14ac:dyDescent="0.45">
      <c r="A1113" t="s">
        <v>5344</v>
      </c>
      <c r="B1113" t="s">
        <v>5345</v>
      </c>
      <c r="C1113" t="s">
        <v>5346</v>
      </c>
      <c r="D1113">
        <v>2022</v>
      </c>
      <c r="E1113" t="s">
        <v>783</v>
      </c>
      <c r="F1113" t="s">
        <v>5347</v>
      </c>
      <c r="G1113">
        <v>86</v>
      </c>
      <c r="J1113" t="s">
        <v>5814</v>
      </c>
      <c r="K1113" t="s">
        <v>5815</v>
      </c>
      <c r="L1113" t="s">
        <v>5816</v>
      </c>
      <c r="M1113" t="s">
        <v>5817</v>
      </c>
      <c r="N1113" t="s">
        <v>5352</v>
      </c>
      <c r="O1113" t="s">
        <v>5353</v>
      </c>
      <c r="P1113" t="s">
        <v>223</v>
      </c>
      <c r="Q1113" t="s">
        <v>5354</v>
      </c>
      <c r="S1113">
        <v>109</v>
      </c>
      <c r="T1113" t="s">
        <v>5818</v>
      </c>
      <c r="U1113">
        <v>3991</v>
      </c>
      <c r="V1113">
        <v>4561</v>
      </c>
      <c r="W1113">
        <v>0.875</v>
      </c>
      <c r="X1113" t="s">
        <v>70</v>
      </c>
      <c r="Y1113" t="s">
        <v>5356</v>
      </c>
      <c r="Z1113">
        <v>802.75</v>
      </c>
      <c r="AA1113">
        <v>237.25</v>
      </c>
      <c r="AB1113">
        <v>190451</v>
      </c>
      <c r="AC1113" t="b">
        <v>1</v>
      </c>
      <c r="AD1113" t="b">
        <v>1</v>
      </c>
      <c r="AE1113" t="b">
        <v>0</v>
      </c>
      <c r="AF1113" t="b">
        <v>0</v>
      </c>
      <c r="AG1113" t="s">
        <v>58</v>
      </c>
      <c r="AH1113">
        <v>20</v>
      </c>
      <c r="AI1113" t="s">
        <v>59</v>
      </c>
      <c r="AJ1113" t="s">
        <v>71</v>
      </c>
      <c r="AL1113" t="s">
        <v>72</v>
      </c>
      <c r="AM1113" t="s">
        <v>62</v>
      </c>
      <c r="AN1113" t="s">
        <v>63</v>
      </c>
      <c r="AO1113" t="s">
        <v>5357</v>
      </c>
      <c r="AP1113" t="s">
        <v>5815</v>
      </c>
    </row>
    <row r="1114" spans="1:42" x14ac:dyDescent="0.45">
      <c r="A1114" t="s">
        <v>5344</v>
      </c>
      <c r="B1114" t="s">
        <v>5345</v>
      </c>
      <c r="C1114" t="s">
        <v>5346</v>
      </c>
      <c r="D1114">
        <v>2022</v>
      </c>
      <c r="E1114" t="s">
        <v>783</v>
      </c>
      <c r="F1114" t="s">
        <v>5347</v>
      </c>
      <c r="G1114">
        <v>87</v>
      </c>
      <c r="J1114" t="s">
        <v>5819</v>
      </c>
      <c r="K1114" t="s">
        <v>5820</v>
      </c>
      <c r="L1114" t="s">
        <v>5821</v>
      </c>
      <c r="M1114" t="s">
        <v>5822</v>
      </c>
      <c r="N1114" t="s">
        <v>5352</v>
      </c>
      <c r="O1114" t="s">
        <v>5353</v>
      </c>
      <c r="P1114" t="s">
        <v>223</v>
      </c>
      <c r="Q1114" t="s">
        <v>5354</v>
      </c>
      <c r="S1114">
        <v>108</v>
      </c>
      <c r="T1114" t="s">
        <v>5823</v>
      </c>
      <c r="U1114">
        <v>4153</v>
      </c>
      <c r="V1114">
        <v>4561</v>
      </c>
      <c r="W1114">
        <v>0.91049999999999998</v>
      </c>
      <c r="X1114" t="s">
        <v>70</v>
      </c>
      <c r="Y1114" t="s">
        <v>5356</v>
      </c>
      <c r="Z1114">
        <v>795.76</v>
      </c>
      <c r="AA1114">
        <v>300.06</v>
      </c>
      <c r="AB1114">
        <v>238780</v>
      </c>
      <c r="AC1114" t="b">
        <v>1</v>
      </c>
      <c r="AD1114" t="b">
        <v>1</v>
      </c>
      <c r="AE1114" t="b">
        <v>0</v>
      </c>
      <c r="AF1114" t="b">
        <v>0</v>
      </c>
      <c r="AG1114" t="s">
        <v>58</v>
      </c>
      <c r="AH1114">
        <v>20</v>
      </c>
      <c r="AI1114" t="s">
        <v>59</v>
      </c>
      <c r="AJ1114" t="s">
        <v>71</v>
      </c>
      <c r="AL1114" t="s">
        <v>72</v>
      </c>
      <c r="AM1114" t="s">
        <v>62</v>
      </c>
      <c r="AN1114" t="s">
        <v>63</v>
      </c>
      <c r="AO1114" t="s">
        <v>5357</v>
      </c>
      <c r="AP1114" t="s">
        <v>5820</v>
      </c>
    </row>
    <row r="1115" spans="1:42" x14ac:dyDescent="0.45">
      <c r="A1115" t="s">
        <v>5344</v>
      </c>
      <c r="B1115" t="s">
        <v>5345</v>
      </c>
      <c r="C1115" t="s">
        <v>5346</v>
      </c>
      <c r="D1115">
        <v>2022</v>
      </c>
      <c r="E1115" t="s">
        <v>783</v>
      </c>
      <c r="F1115" t="s">
        <v>5347</v>
      </c>
      <c r="G1115">
        <v>91</v>
      </c>
      <c r="J1115" t="s">
        <v>5824</v>
      </c>
      <c r="K1115" t="s">
        <v>5825</v>
      </c>
      <c r="L1115" t="s">
        <v>5826</v>
      </c>
      <c r="M1115" t="s">
        <v>5827</v>
      </c>
      <c r="N1115" t="s">
        <v>5352</v>
      </c>
      <c r="O1115" t="s">
        <v>5353</v>
      </c>
      <c r="P1115" t="s">
        <v>223</v>
      </c>
      <c r="Q1115" t="s">
        <v>5354</v>
      </c>
      <c r="S1115">
        <v>104</v>
      </c>
      <c r="T1115" t="s">
        <v>5828</v>
      </c>
      <c r="U1115">
        <v>4073</v>
      </c>
      <c r="V1115">
        <v>4561</v>
      </c>
      <c r="W1115">
        <v>0.89300000000000002</v>
      </c>
      <c r="X1115" t="s">
        <v>70</v>
      </c>
      <c r="Y1115" t="s">
        <v>5356</v>
      </c>
      <c r="Z1115">
        <v>767.75</v>
      </c>
      <c r="AA1115">
        <v>216.73</v>
      </c>
      <c r="AB1115">
        <v>166394</v>
      </c>
      <c r="AC1115" t="b">
        <v>1</v>
      </c>
      <c r="AD1115" t="b">
        <v>1</v>
      </c>
      <c r="AE1115" t="b">
        <v>0</v>
      </c>
      <c r="AF1115" t="b">
        <v>0</v>
      </c>
      <c r="AG1115" t="s">
        <v>58</v>
      </c>
      <c r="AH1115">
        <v>20</v>
      </c>
      <c r="AI1115" t="s">
        <v>59</v>
      </c>
      <c r="AJ1115" t="s">
        <v>71</v>
      </c>
      <c r="AL1115" t="s">
        <v>72</v>
      </c>
      <c r="AM1115" t="s">
        <v>62</v>
      </c>
      <c r="AN1115" t="s">
        <v>63</v>
      </c>
      <c r="AO1115" t="s">
        <v>5357</v>
      </c>
      <c r="AP1115" t="s">
        <v>5825</v>
      </c>
    </row>
    <row r="1116" spans="1:42" x14ac:dyDescent="0.45">
      <c r="A1116" t="s">
        <v>5344</v>
      </c>
      <c r="B1116" t="s">
        <v>5345</v>
      </c>
      <c r="C1116" t="s">
        <v>5346</v>
      </c>
      <c r="D1116">
        <v>2022</v>
      </c>
      <c r="E1116" t="s">
        <v>783</v>
      </c>
      <c r="F1116" t="s">
        <v>5347</v>
      </c>
      <c r="G1116">
        <v>90</v>
      </c>
      <c r="J1116" t="s">
        <v>5829</v>
      </c>
      <c r="K1116" t="s">
        <v>5830</v>
      </c>
      <c r="L1116" t="s">
        <v>5831</v>
      </c>
      <c r="M1116" t="s">
        <v>5832</v>
      </c>
      <c r="N1116" t="s">
        <v>5352</v>
      </c>
      <c r="O1116" t="s">
        <v>5353</v>
      </c>
      <c r="P1116" t="s">
        <v>223</v>
      </c>
      <c r="Q1116" t="s">
        <v>5354</v>
      </c>
      <c r="S1116">
        <v>105</v>
      </c>
      <c r="T1116" t="s">
        <v>5833</v>
      </c>
      <c r="U1116">
        <v>4048</v>
      </c>
      <c r="V1116">
        <v>4561</v>
      </c>
      <c r="W1116">
        <v>0.88749999999999996</v>
      </c>
      <c r="X1116" t="s">
        <v>70</v>
      </c>
      <c r="Y1116" t="s">
        <v>5356</v>
      </c>
      <c r="Z1116">
        <v>774.75</v>
      </c>
      <c r="AA1116">
        <v>240.31</v>
      </c>
      <c r="AB1116">
        <v>186184</v>
      </c>
      <c r="AC1116" t="b">
        <v>1</v>
      </c>
      <c r="AD1116" t="b">
        <v>1</v>
      </c>
      <c r="AE1116" t="b">
        <v>0</v>
      </c>
      <c r="AF1116" t="b">
        <v>0</v>
      </c>
      <c r="AG1116" t="s">
        <v>58</v>
      </c>
      <c r="AH1116">
        <v>20</v>
      </c>
      <c r="AI1116" t="s">
        <v>59</v>
      </c>
      <c r="AJ1116" t="s">
        <v>71</v>
      </c>
      <c r="AL1116" t="s">
        <v>72</v>
      </c>
      <c r="AM1116" t="s">
        <v>62</v>
      </c>
      <c r="AN1116" t="s">
        <v>63</v>
      </c>
      <c r="AO1116" t="s">
        <v>5357</v>
      </c>
      <c r="AP1116" t="s">
        <v>5830</v>
      </c>
    </row>
    <row r="1117" spans="1:42" x14ac:dyDescent="0.45">
      <c r="A1117" t="s">
        <v>5344</v>
      </c>
      <c r="B1117" t="s">
        <v>5345</v>
      </c>
      <c r="C1117" t="s">
        <v>5346</v>
      </c>
      <c r="D1117">
        <v>2022</v>
      </c>
      <c r="E1117" t="s">
        <v>783</v>
      </c>
      <c r="F1117" t="s">
        <v>5347</v>
      </c>
      <c r="G1117">
        <v>89</v>
      </c>
      <c r="J1117" t="s">
        <v>5834</v>
      </c>
      <c r="K1117" t="s">
        <v>5835</v>
      </c>
      <c r="L1117" t="s">
        <v>5836</v>
      </c>
      <c r="M1117" t="s">
        <v>5837</v>
      </c>
      <c r="N1117" t="s">
        <v>5352</v>
      </c>
      <c r="O1117" t="s">
        <v>5353</v>
      </c>
      <c r="P1117" t="s">
        <v>223</v>
      </c>
      <c r="Q1117" t="s">
        <v>5354</v>
      </c>
      <c r="S1117">
        <v>106</v>
      </c>
      <c r="T1117" t="s">
        <v>5838</v>
      </c>
      <c r="U1117">
        <v>4395</v>
      </c>
      <c r="V1117">
        <v>4561</v>
      </c>
      <c r="W1117">
        <v>0.96360000000000001</v>
      </c>
      <c r="X1117" t="s">
        <v>70</v>
      </c>
      <c r="Y1117" t="s">
        <v>5356</v>
      </c>
      <c r="Z1117">
        <v>781.75</v>
      </c>
      <c r="AA1117">
        <v>287.75</v>
      </c>
      <c r="AB1117">
        <v>224947</v>
      </c>
      <c r="AC1117" t="b">
        <v>1</v>
      </c>
      <c r="AD1117" t="b">
        <v>1</v>
      </c>
      <c r="AE1117" t="b">
        <v>0</v>
      </c>
      <c r="AF1117" t="b">
        <v>0</v>
      </c>
      <c r="AG1117" t="s">
        <v>58</v>
      </c>
      <c r="AH1117">
        <v>20</v>
      </c>
      <c r="AI1117" t="s">
        <v>59</v>
      </c>
      <c r="AJ1117" t="s">
        <v>71</v>
      </c>
      <c r="AL1117" t="s">
        <v>72</v>
      </c>
      <c r="AM1117" t="s">
        <v>62</v>
      </c>
      <c r="AN1117" t="s">
        <v>63</v>
      </c>
      <c r="AO1117" t="s">
        <v>5357</v>
      </c>
      <c r="AP1117" t="s">
        <v>5835</v>
      </c>
    </row>
    <row r="1118" spans="1:42" x14ac:dyDescent="0.45">
      <c r="A1118" t="s">
        <v>5344</v>
      </c>
      <c r="B1118" t="s">
        <v>5345</v>
      </c>
      <c r="C1118" t="s">
        <v>5346</v>
      </c>
      <c r="D1118">
        <v>2022</v>
      </c>
      <c r="E1118" t="s">
        <v>783</v>
      </c>
      <c r="F1118" t="s">
        <v>5347</v>
      </c>
      <c r="G1118">
        <v>85</v>
      </c>
      <c r="J1118" t="s">
        <v>5839</v>
      </c>
      <c r="K1118" t="s">
        <v>5840</v>
      </c>
      <c r="L1118" t="s">
        <v>5841</v>
      </c>
      <c r="M1118" t="s">
        <v>5842</v>
      </c>
      <c r="N1118" t="s">
        <v>5352</v>
      </c>
      <c r="O1118" t="s">
        <v>5353</v>
      </c>
      <c r="P1118" t="s">
        <v>223</v>
      </c>
      <c r="Q1118" t="s">
        <v>5354</v>
      </c>
      <c r="S1118">
        <v>110</v>
      </c>
      <c r="T1118" t="s">
        <v>5843</v>
      </c>
      <c r="U1118">
        <v>3900</v>
      </c>
      <c r="V1118">
        <v>4561</v>
      </c>
      <c r="W1118">
        <v>0.85509999999999997</v>
      </c>
      <c r="X1118" t="s">
        <v>70</v>
      </c>
      <c r="Y1118" t="s">
        <v>5356</v>
      </c>
      <c r="Z1118">
        <v>809.75</v>
      </c>
      <c r="AA1118">
        <v>674.77</v>
      </c>
      <c r="AB1118">
        <v>546395</v>
      </c>
      <c r="AC1118" t="b">
        <v>1</v>
      </c>
      <c r="AD1118" t="b">
        <v>1</v>
      </c>
      <c r="AE1118" t="b">
        <v>0</v>
      </c>
      <c r="AF1118" t="b">
        <v>0</v>
      </c>
      <c r="AG1118" t="s">
        <v>58</v>
      </c>
      <c r="AH1118">
        <v>20</v>
      </c>
      <c r="AI1118" t="s">
        <v>59</v>
      </c>
      <c r="AJ1118" t="s">
        <v>71</v>
      </c>
      <c r="AL1118" t="s">
        <v>72</v>
      </c>
      <c r="AM1118" t="s">
        <v>62</v>
      </c>
      <c r="AN1118" t="s">
        <v>63</v>
      </c>
      <c r="AO1118" t="s">
        <v>5357</v>
      </c>
      <c r="AP1118" t="s">
        <v>5840</v>
      </c>
    </row>
    <row r="1119" spans="1:42" x14ac:dyDescent="0.45">
      <c r="A1119" t="s">
        <v>5344</v>
      </c>
      <c r="B1119" t="s">
        <v>5345</v>
      </c>
      <c r="C1119" t="s">
        <v>5346</v>
      </c>
      <c r="D1119">
        <v>2022</v>
      </c>
      <c r="E1119" t="s">
        <v>783</v>
      </c>
      <c r="F1119" t="s">
        <v>5347</v>
      </c>
      <c r="G1119">
        <v>83</v>
      </c>
      <c r="J1119" t="s">
        <v>5844</v>
      </c>
      <c r="K1119" t="s">
        <v>5845</v>
      </c>
      <c r="L1119" t="s">
        <v>5846</v>
      </c>
      <c r="M1119" t="s">
        <v>5847</v>
      </c>
      <c r="N1119" t="s">
        <v>5352</v>
      </c>
      <c r="O1119" t="s">
        <v>5353</v>
      </c>
      <c r="P1119" t="s">
        <v>223</v>
      </c>
      <c r="Q1119" t="s">
        <v>5354</v>
      </c>
      <c r="S1119">
        <v>112</v>
      </c>
      <c r="T1119" t="s">
        <v>5848</v>
      </c>
      <c r="U1119">
        <v>4365</v>
      </c>
      <c r="V1119">
        <v>4561</v>
      </c>
      <c r="W1119">
        <v>0.95699999999999996</v>
      </c>
      <c r="X1119" t="s">
        <v>70</v>
      </c>
      <c r="Y1119" t="s">
        <v>5356</v>
      </c>
      <c r="Z1119">
        <v>823.75</v>
      </c>
      <c r="AA1119">
        <v>221.52</v>
      </c>
      <c r="AB1119">
        <v>182478</v>
      </c>
      <c r="AC1119" t="b">
        <v>1</v>
      </c>
      <c r="AD1119" t="b">
        <v>1</v>
      </c>
      <c r="AE1119" t="b">
        <v>0</v>
      </c>
      <c r="AF1119" t="b">
        <v>0</v>
      </c>
      <c r="AG1119" t="s">
        <v>58</v>
      </c>
      <c r="AH1119">
        <v>20</v>
      </c>
      <c r="AI1119" t="s">
        <v>59</v>
      </c>
      <c r="AJ1119" t="s">
        <v>71</v>
      </c>
      <c r="AL1119" t="s">
        <v>72</v>
      </c>
      <c r="AM1119" t="s">
        <v>62</v>
      </c>
      <c r="AN1119" t="s">
        <v>63</v>
      </c>
      <c r="AO1119" t="s">
        <v>5357</v>
      </c>
      <c r="AP1119" t="s">
        <v>5845</v>
      </c>
    </row>
    <row r="1120" spans="1:42" x14ac:dyDescent="0.45">
      <c r="A1120" t="s">
        <v>5344</v>
      </c>
      <c r="B1120" t="s">
        <v>5345</v>
      </c>
      <c r="C1120" t="s">
        <v>5346</v>
      </c>
      <c r="D1120">
        <v>2022</v>
      </c>
      <c r="E1120" t="s">
        <v>783</v>
      </c>
      <c r="F1120" t="s">
        <v>5347</v>
      </c>
      <c r="G1120">
        <v>82</v>
      </c>
      <c r="J1120" t="s">
        <v>5849</v>
      </c>
      <c r="K1120" t="s">
        <v>5850</v>
      </c>
      <c r="L1120" t="s">
        <v>5851</v>
      </c>
      <c r="M1120" t="s">
        <v>5852</v>
      </c>
      <c r="N1120" t="s">
        <v>5352</v>
      </c>
      <c r="O1120" t="s">
        <v>5353</v>
      </c>
      <c r="P1120" t="s">
        <v>223</v>
      </c>
      <c r="Q1120" t="s">
        <v>5354</v>
      </c>
      <c r="S1120">
        <v>113</v>
      </c>
      <c r="T1120" t="s">
        <v>5853</v>
      </c>
      <c r="U1120">
        <v>4541</v>
      </c>
      <c r="V1120">
        <v>4561</v>
      </c>
      <c r="W1120">
        <v>0.99560000000000004</v>
      </c>
      <c r="X1120" t="s">
        <v>70</v>
      </c>
      <c r="Y1120" t="s">
        <v>5356</v>
      </c>
      <c r="Z1120">
        <v>830.75</v>
      </c>
      <c r="AA1120">
        <v>378.74</v>
      </c>
      <c r="AB1120">
        <v>314637</v>
      </c>
      <c r="AC1120" t="b">
        <v>1</v>
      </c>
      <c r="AD1120" t="b">
        <v>1</v>
      </c>
      <c r="AE1120" t="b">
        <v>0</v>
      </c>
      <c r="AF1120" t="b">
        <v>0</v>
      </c>
      <c r="AG1120" t="s">
        <v>58</v>
      </c>
      <c r="AH1120">
        <v>20</v>
      </c>
      <c r="AI1120" t="s">
        <v>59</v>
      </c>
      <c r="AJ1120" t="s">
        <v>71</v>
      </c>
      <c r="AL1120" t="s">
        <v>72</v>
      </c>
      <c r="AM1120" t="s">
        <v>62</v>
      </c>
      <c r="AN1120" t="s">
        <v>63</v>
      </c>
      <c r="AO1120" t="s">
        <v>5357</v>
      </c>
      <c r="AP1120" t="s">
        <v>5850</v>
      </c>
    </row>
    <row r="1121" spans="1:42" x14ac:dyDescent="0.45">
      <c r="A1121" t="s">
        <v>5344</v>
      </c>
      <c r="B1121" t="s">
        <v>5345</v>
      </c>
      <c r="C1121" t="s">
        <v>5346</v>
      </c>
      <c r="D1121">
        <v>2022</v>
      </c>
      <c r="E1121" t="s">
        <v>783</v>
      </c>
      <c r="F1121" t="s">
        <v>5347</v>
      </c>
      <c r="G1121">
        <v>77</v>
      </c>
      <c r="J1121" t="s">
        <v>5854</v>
      </c>
      <c r="K1121" t="s">
        <v>5855</v>
      </c>
      <c r="L1121" t="s">
        <v>5856</v>
      </c>
      <c r="M1121" t="s">
        <v>5857</v>
      </c>
      <c r="N1121" t="s">
        <v>5352</v>
      </c>
      <c r="O1121" t="s">
        <v>5353</v>
      </c>
      <c r="P1121" t="s">
        <v>223</v>
      </c>
      <c r="Q1121" t="s">
        <v>5354</v>
      </c>
      <c r="S1121">
        <v>118</v>
      </c>
      <c r="T1121" t="s">
        <v>5858</v>
      </c>
      <c r="U1121">
        <v>4240</v>
      </c>
      <c r="V1121">
        <v>4561</v>
      </c>
      <c r="W1121">
        <v>0.92959999999999998</v>
      </c>
      <c r="X1121" t="s">
        <v>70</v>
      </c>
      <c r="Y1121" t="s">
        <v>5356</v>
      </c>
      <c r="Z1121">
        <v>865.75</v>
      </c>
      <c r="AA1121">
        <v>271.70999999999998</v>
      </c>
      <c r="AB1121">
        <v>235233</v>
      </c>
      <c r="AC1121" t="b">
        <v>1</v>
      </c>
      <c r="AD1121" t="b">
        <v>1</v>
      </c>
      <c r="AE1121" t="b">
        <v>0</v>
      </c>
      <c r="AF1121" t="b">
        <v>0</v>
      </c>
      <c r="AG1121" t="s">
        <v>58</v>
      </c>
      <c r="AH1121">
        <v>20</v>
      </c>
      <c r="AI1121" t="s">
        <v>59</v>
      </c>
      <c r="AJ1121" t="s">
        <v>71</v>
      </c>
      <c r="AL1121" t="s">
        <v>72</v>
      </c>
      <c r="AM1121" t="s">
        <v>62</v>
      </c>
      <c r="AN1121" t="s">
        <v>63</v>
      </c>
      <c r="AO1121" t="s">
        <v>5357</v>
      </c>
      <c r="AP1121" t="s">
        <v>5855</v>
      </c>
    </row>
    <row r="1122" spans="1:42" x14ac:dyDescent="0.45">
      <c r="A1122" t="s">
        <v>5344</v>
      </c>
      <c r="B1122" t="s">
        <v>5345</v>
      </c>
      <c r="C1122" t="s">
        <v>5346</v>
      </c>
      <c r="D1122">
        <v>2022</v>
      </c>
      <c r="E1122" t="s">
        <v>783</v>
      </c>
      <c r="F1122" t="s">
        <v>5347</v>
      </c>
      <c r="G1122">
        <v>76</v>
      </c>
      <c r="J1122" t="s">
        <v>5859</v>
      </c>
      <c r="K1122" t="s">
        <v>5860</v>
      </c>
      <c r="L1122" t="s">
        <v>5861</v>
      </c>
      <c r="M1122" t="s">
        <v>5862</v>
      </c>
      <c r="N1122" t="s">
        <v>5352</v>
      </c>
      <c r="O1122" t="s">
        <v>5353</v>
      </c>
      <c r="P1122" t="s">
        <v>223</v>
      </c>
      <c r="Q1122" t="s">
        <v>5354</v>
      </c>
      <c r="S1122">
        <v>119</v>
      </c>
      <c r="T1122" t="s">
        <v>5863</v>
      </c>
      <c r="U1122">
        <v>4223</v>
      </c>
      <c r="V1122">
        <v>4561</v>
      </c>
      <c r="W1122">
        <v>0.92589999999999995</v>
      </c>
      <c r="X1122" t="s">
        <v>70</v>
      </c>
      <c r="Y1122" t="s">
        <v>5356</v>
      </c>
      <c r="Z1122">
        <v>872.75</v>
      </c>
      <c r="AA1122">
        <v>132.63999999999999</v>
      </c>
      <c r="AB1122">
        <v>115759</v>
      </c>
      <c r="AC1122" t="b">
        <v>1</v>
      </c>
      <c r="AD1122" t="b">
        <v>1</v>
      </c>
      <c r="AE1122" t="b">
        <v>0</v>
      </c>
      <c r="AF1122" t="b">
        <v>0</v>
      </c>
      <c r="AG1122" t="s">
        <v>58</v>
      </c>
      <c r="AH1122">
        <v>20</v>
      </c>
      <c r="AI1122" t="s">
        <v>59</v>
      </c>
      <c r="AJ1122" t="s">
        <v>71</v>
      </c>
      <c r="AL1122" t="s">
        <v>72</v>
      </c>
      <c r="AM1122" t="s">
        <v>62</v>
      </c>
      <c r="AN1122" t="s">
        <v>63</v>
      </c>
      <c r="AO1122" t="s">
        <v>5357</v>
      </c>
      <c r="AP1122" t="s">
        <v>5860</v>
      </c>
    </row>
    <row r="1123" spans="1:42" x14ac:dyDescent="0.45">
      <c r="A1123" t="s">
        <v>5344</v>
      </c>
      <c r="B1123" t="s">
        <v>5345</v>
      </c>
      <c r="C1123" t="s">
        <v>5346</v>
      </c>
      <c r="D1123">
        <v>2022</v>
      </c>
      <c r="E1123" t="s">
        <v>783</v>
      </c>
      <c r="F1123" t="s">
        <v>5347</v>
      </c>
      <c r="G1123">
        <v>49</v>
      </c>
      <c r="J1123" t="s">
        <v>5864</v>
      </c>
      <c r="K1123" t="s">
        <v>5865</v>
      </c>
      <c r="L1123" t="s">
        <v>5866</v>
      </c>
      <c r="M1123" t="s">
        <v>5867</v>
      </c>
      <c r="N1123" t="s">
        <v>5352</v>
      </c>
      <c r="O1123" t="s">
        <v>5353</v>
      </c>
      <c r="P1123" t="s">
        <v>223</v>
      </c>
      <c r="Q1123" t="s">
        <v>5354</v>
      </c>
      <c r="S1123">
        <v>146</v>
      </c>
      <c r="T1123" t="s">
        <v>5868</v>
      </c>
      <c r="U1123">
        <v>4005</v>
      </c>
      <c r="V1123">
        <v>4561</v>
      </c>
      <c r="W1123">
        <v>0.87809999999999999</v>
      </c>
      <c r="X1123" t="s">
        <v>70</v>
      </c>
      <c r="Y1123" t="s">
        <v>5356</v>
      </c>
      <c r="Z1123">
        <v>1068.75</v>
      </c>
      <c r="AA1123">
        <v>156.44999999999999</v>
      </c>
      <c r="AB1123">
        <v>167202</v>
      </c>
      <c r="AC1123" t="b">
        <v>1</v>
      </c>
      <c r="AD1123" t="b">
        <v>1</v>
      </c>
      <c r="AE1123" t="b">
        <v>0</v>
      </c>
      <c r="AF1123" t="b">
        <v>0</v>
      </c>
      <c r="AG1123" t="s">
        <v>58</v>
      </c>
      <c r="AH1123">
        <v>20</v>
      </c>
      <c r="AI1123" t="s">
        <v>59</v>
      </c>
      <c r="AJ1123" t="s">
        <v>71</v>
      </c>
      <c r="AL1123" t="s">
        <v>72</v>
      </c>
      <c r="AM1123" t="s">
        <v>62</v>
      </c>
      <c r="AN1123" t="s">
        <v>63</v>
      </c>
      <c r="AO1123" t="s">
        <v>5357</v>
      </c>
      <c r="AP1123" t="s">
        <v>5865</v>
      </c>
    </row>
    <row r="1124" spans="1:42" x14ac:dyDescent="0.45">
      <c r="A1124" t="s">
        <v>5344</v>
      </c>
      <c r="B1124" t="s">
        <v>5345</v>
      </c>
      <c r="C1124" t="s">
        <v>5346</v>
      </c>
      <c r="D1124">
        <v>2022</v>
      </c>
      <c r="E1124" t="s">
        <v>783</v>
      </c>
      <c r="F1124" t="s">
        <v>5347</v>
      </c>
      <c r="G1124">
        <v>50</v>
      </c>
      <c r="J1124" t="s">
        <v>5869</v>
      </c>
      <c r="K1124" t="s">
        <v>5870</v>
      </c>
      <c r="L1124" t="s">
        <v>5871</v>
      </c>
      <c r="M1124" t="s">
        <v>5872</v>
      </c>
      <c r="N1124" t="s">
        <v>5352</v>
      </c>
      <c r="O1124" t="s">
        <v>5353</v>
      </c>
      <c r="P1124" t="s">
        <v>223</v>
      </c>
      <c r="Q1124" t="s">
        <v>5354</v>
      </c>
      <c r="S1124">
        <v>145</v>
      </c>
      <c r="T1124" t="s">
        <v>5873</v>
      </c>
      <c r="U1124">
        <v>4070</v>
      </c>
      <c r="V1124">
        <v>4561</v>
      </c>
      <c r="W1124">
        <v>0.89229999999999998</v>
      </c>
      <c r="X1124" t="s">
        <v>70</v>
      </c>
      <c r="Y1124" t="s">
        <v>5356</v>
      </c>
      <c r="Z1124">
        <v>1061.75</v>
      </c>
      <c r="AA1124">
        <v>184.96</v>
      </c>
      <c r="AB1124">
        <v>196384</v>
      </c>
      <c r="AC1124" t="b">
        <v>1</v>
      </c>
      <c r="AD1124" t="b">
        <v>1</v>
      </c>
      <c r="AE1124" t="b">
        <v>0</v>
      </c>
      <c r="AF1124" t="b">
        <v>0</v>
      </c>
      <c r="AG1124" t="s">
        <v>58</v>
      </c>
      <c r="AH1124">
        <v>20</v>
      </c>
      <c r="AI1124" t="s">
        <v>59</v>
      </c>
      <c r="AJ1124" t="s">
        <v>71</v>
      </c>
      <c r="AL1124" t="s">
        <v>72</v>
      </c>
      <c r="AM1124" t="s">
        <v>62</v>
      </c>
      <c r="AN1124" t="s">
        <v>63</v>
      </c>
      <c r="AO1124" t="s">
        <v>5357</v>
      </c>
      <c r="AP1124" t="s">
        <v>5870</v>
      </c>
    </row>
    <row r="1125" spans="1:42" x14ac:dyDescent="0.45">
      <c r="A1125" t="s">
        <v>5344</v>
      </c>
      <c r="B1125" t="s">
        <v>5345</v>
      </c>
      <c r="C1125" t="s">
        <v>5346</v>
      </c>
      <c r="D1125">
        <v>2022</v>
      </c>
      <c r="E1125" t="s">
        <v>783</v>
      </c>
      <c r="F1125" t="s">
        <v>5347</v>
      </c>
      <c r="G1125">
        <v>42</v>
      </c>
      <c r="J1125" t="s">
        <v>5874</v>
      </c>
      <c r="K1125" t="s">
        <v>5875</v>
      </c>
      <c r="L1125" t="s">
        <v>5876</v>
      </c>
      <c r="M1125" t="s">
        <v>5877</v>
      </c>
      <c r="N1125" t="s">
        <v>5352</v>
      </c>
      <c r="O1125" t="s">
        <v>5353</v>
      </c>
      <c r="P1125" t="s">
        <v>223</v>
      </c>
      <c r="Q1125" t="s">
        <v>5354</v>
      </c>
      <c r="S1125">
        <v>147</v>
      </c>
      <c r="T1125" t="s">
        <v>5878</v>
      </c>
      <c r="U1125">
        <v>3688</v>
      </c>
      <c r="V1125">
        <v>4561</v>
      </c>
      <c r="W1125">
        <v>0.80859999999999999</v>
      </c>
      <c r="X1125" t="s">
        <v>70</v>
      </c>
      <c r="Y1125" t="s">
        <v>5356</v>
      </c>
      <c r="Z1125">
        <v>1071.76</v>
      </c>
      <c r="AA1125">
        <v>202.67</v>
      </c>
      <c r="AB1125">
        <v>217211</v>
      </c>
      <c r="AC1125" t="b">
        <v>1</v>
      </c>
      <c r="AD1125" t="b">
        <v>1</v>
      </c>
      <c r="AE1125" t="b">
        <v>0</v>
      </c>
      <c r="AF1125" t="b">
        <v>0</v>
      </c>
      <c r="AG1125" t="s">
        <v>58</v>
      </c>
      <c r="AH1125">
        <v>20</v>
      </c>
      <c r="AI1125" t="s">
        <v>59</v>
      </c>
      <c r="AJ1125" t="s">
        <v>71</v>
      </c>
      <c r="AL1125" t="s">
        <v>72</v>
      </c>
      <c r="AM1125" t="s">
        <v>62</v>
      </c>
      <c r="AN1125" t="s">
        <v>63</v>
      </c>
      <c r="AO1125" t="s">
        <v>5357</v>
      </c>
      <c r="AP1125" t="s">
        <v>5875</v>
      </c>
    </row>
    <row r="1126" spans="1:42" x14ac:dyDescent="0.45">
      <c r="A1126" t="s">
        <v>5344</v>
      </c>
      <c r="B1126" t="s">
        <v>5345</v>
      </c>
      <c r="C1126" t="s">
        <v>5346</v>
      </c>
      <c r="D1126">
        <v>2022</v>
      </c>
      <c r="E1126" t="s">
        <v>783</v>
      </c>
      <c r="F1126" t="s">
        <v>5347</v>
      </c>
      <c r="G1126">
        <v>41</v>
      </c>
      <c r="J1126" t="s">
        <v>5879</v>
      </c>
      <c r="K1126" t="s">
        <v>5880</v>
      </c>
      <c r="L1126" t="s">
        <v>5881</v>
      </c>
      <c r="M1126" t="s">
        <v>5882</v>
      </c>
      <c r="N1126" t="s">
        <v>5352</v>
      </c>
      <c r="O1126" t="s">
        <v>5353</v>
      </c>
      <c r="P1126" t="s">
        <v>223</v>
      </c>
      <c r="Q1126" t="s">
        <v>5354</v>
      </c>
      <c r="S1126">
        <v>154</v>
      </c>
      <c r="T1126" t="s">
        <v>5883</v>
      </c>
      <c r="U1126">
        <v>4009</v>
      </c>
      <c r="V1126">
        <v>4561</v>
      </c>
      <c r="W1126">
        <v>0.879</v>
      </c>
      <c r="X1126" t="s">
        <v>70</v>
      </c>
      <c r="Y1126" t="s">
        <v>5356</v>
      </c>
      <c r="Z1126">
        <v>1124.75</v>
      </c>
      <c r="AA1126">
        <v>169.01</v>
      </c>
      <c r="AB1126">
        <v>190097</v>
      </c>
      <c r="AC1126" t="b">
        <v>1</v>
      </c>
      <c r="AD1126" t="b">
        <v>1</v>
      </c>
      <c r="AE1126" t="b">
        <v>0</v>
      </c>
      <c r="AF1126" t="b">
        <v>0</v>
      </c>
      <c r="AG1126" t="s">
        <v>58</v>
      </c>
      <c r="AH1126">
        <v>20</v>
      </c>
      <c r="AI1126" t="s">
        <v>59</v>
      </c>
      <c r="AJ1126" t="s">
        <v>71</v>
      </c>
      <c r="AL1126" t="s">
        <v>72</v>
      </c>
      <c r="AM1126" t="s">
        <v>62</v>
      </c>
      <c r="AN1126" t="s">
        <v>63</v>
      </c>
      <c r="AO1126" t="s">
        <v>5357</v>
      </c>
      <c r="AP1126" t="s">
        <v>5880</v>
      </c>
    </row>
    <row r="1127" spans="1:42" x14ac:dyDescent="0.45">
      <c r="A1127" t="s">
        <v>5344</v>
      </c>
      <c r="B1127" t="s">
        <v>5345</v>
      </c>
      <c r="C1127" t="s">
        <v>5346</v>
      </c>
      <c r="D1127">
        <v>2022</v>
      </c>
      <c r="E1127" t="s">
        <v>783</v>
      </c>
      <c r="F1127" t="s">
        <v>5347</v>
      </c>
      <c r="G1127">
        <v>45</v>
      </c>
      <c r="J1127" t="s">
        <v>5884</v>
      </c>
      <c r="K1127" t="s">
        <v>5885</v>
      </c>
      <c r="L1127" t="s">
        <v>5886</v>
      </c>
      <c r="M1127" t="s">
        <v>5887</v>
      </c>
      <c r="N1127" t="s">
        <v>5352</v>
      </c>
      <c r="O1127" t="s">
        <v>5353</v>
      </c>
      <c r="P1127" t="s">
        <v>223</v>
      </c>
      <c r="Q1127" t="s">
        <v>5354</v>
      </c>
      <c r="S1127">
        <v>151</v>
      </c>
      <c r="T1127" t="s">
        <v>5888</v>
      </c>
      <c r="U1127">
        <v>4068</v>
      </c>
      <c r="V1127">
        <v>4561</v>
      </c>
      <c r="W1127">
        <v>0.89190000000000003</v>
      </c>
      <c r="X1127" t="s">
        <v>70</v>
      </c>
      <c r="Y1127" t="s">
        <v>5356</v>
      </c>
      <c r="Z1127">
        <v>1096.75</v>
      </c>
      <c r="AA1127">
        <v>108.89</v>
      </c>
      <c r="AB1127">
        <v>119425</v>
      </c>
      <c r="AC1127" t="b">
        <v>1</v>
      </c>
      <c r="AD1127" t="b">
        <v>1</v>
      </c>
      <c r="AE1127" t="b">
        <v>0</v>
      </c>
      <c r="AF1127" t="b">
        <v>0</v>
      </c>
      <c r="AG1127" t="s">
        <v>58</v>
      </c>
      <c r="AH1127">
        <v>20</v>
      </c>
      <c r="AI1127" t="s">
        <v>59</v>
      </c>
      <c r="AJ1127" t="s">
        <v>71</v>
      </c>
      <c r="AL1127" t="s">
        <v>72</v>
      </c>
      <c r="AM1127" t="s">
        <v>62</v>
      </c>
      <c r="AN1127" t="s">
        <v>63</v>
      </c>
      <c r="AO1127" t="s">
        <v>5357</v>
      </c>
      <c r="AP1127" t="s">
        <v>5885</v>
      </c>
    </row>
    <row r="1128" spans="1:42" x14ac:dyDescent="0.45">
      <c r="A1128" t="s">
        <v>5344</v>
      </c>
      <c r="B1128" t="s">
        <v>5345</v>
      </c>
      <c r="C1128" t="s">
        <v>5346</v>
      </c>
      <c r="D1128">
        <v>2022</v>
      </c>
      <c r="E1128" t="s">
        <v>783</v>
      </c>
      <c r="F1128" t="s">
        <v>5347</v>
      </c>
      <c r="G1128">
        <v>47</v>
      </c>
      <c r="J1128" t="s">
        <v>5889</v>
      </c>
      <c r="K1128" t="s">
        <v>5890</v>
      </c>
      <c r="L1128" t="s">
        <v>5891</v>
      </c>
      <c r="M1128" t="s">
        <v>5892</v>
      </c>
      <c r="N1128" t="s">
        <v>5352</v>
      </c>
      <c r="O1128" t="s">
        <v>5353</v>
      </c>
      <c r="P1128" t="s">
        <v>223</v>
      </c>
      <c r="Q1128" t="s">
        <v>5354</v>
      </c>
      <c r="S1128">
        <v>149</v>
      </c>
      <c r="T1128" t="s">
        <v>5893</v>
      </c>
      <c r="U1128">
        <v>4085</v>
      </c>
      <c r="V1128">
        <v>4561</v>
      </c>
      <c r="W1128">
        <v>0.89559999999999995</v>
      </c>
      <c r="X1128" t="s">
        <v>70</v>
      </c>
      <c r="Y1128" t="s">
        <v>5356</v>
      </c>
      <c r="Z1128">
        <v>1082.75</v>
      </c>
      <c r="AA1128">
        <v>147.5</v>
      </c>
      <c r="AB1128">
        <v>159702</v>
      </c>
      <c r="AC1128" t="b">
        <v>1</v>
      </c>
      <c r="AD1128" t="b">
        <v>1</v>
      </c>
      <c r="AE1128" t="b">
        <v>0</v>
      </c>
      <c r="AF1128" t="b">
        <v>0</v>
      </c>
      <c r="AG1128" t="s">
        <v>58</v>
      </c>
      <c r="AH1128">
        <v>20</v>
      </c>
      <c r="AI1128" t="s">
        <v>59</v>
      </c>
      <c r="AJ1128" t="s">
        <v>71</v>
      </c>
      <c r="AL1128" t="s">
        <v>72</v>
      </c>
      <c r="AM1128" t="s">
        <v>62</v>
      </c>
      <c r="AN1128" t="s">
        <v>63</v>
      </c>
      <c r="AO1128" t="s">
        <v>5357</v>
      </c>
      <c r="AP1128" t="s">
        <v>5890</v>
      </c>
    </row>
    <row r="1129" spans="1:42" x14ac:dyDescent="0.45">
      <c r="A1129" t="s">
        <v>5344</v>
      </c>
      <c r="B1129" t="s">
        <v>5345</v>
      </c>
      <c r="C1129" t="s">
        <v>5346</v>
      </c>
      <c r="D1129">
        <v>2022</v>
      </c>
      <c r="E1129" t="s">
        <v>783</v>
      </c>
      <c r="F1129" t="s">
        <v>5347</v>
      </c>
      <c r="G1129">
        <v>38</v>
      </c>
      <c r="J1129" t="s">
        <v>5894</v>
      </c>
      <c r="K1129" t="s">
        <v>5895</v>
      </c>
      <c r="L1129" t="s">
        <v>5896</v>
      </c>
      <c r="M1129" t="s">
        <v>5897</v>
      </c>
      <c r="N1129" t="s">
        <v>5352</v>
      </c>
      <c r="O1129" t="s">
        <v>5353</v>
      </c>
      <c r="P1129" t="s">
        <v>223</v>
      </c>
      <c r="Q1129" t="s">
        <v>5354</v>
      </c>
      <c r="S1129">
        <v>157</v>
      </c>
      <c r="T1129" t="s">
        <v>5898</v>
      </c>
      <c r="U1129">
        <v>4057</v>
      </c>
      <c r="V1129">
        <v>4561</v>
      </c>
      <c r="W1129">
        <v>0.88949999999999996</v>
      </c>
      <c r="X1129" t="s">
        <v>70</v>
      </c>
      <c r="Y1129" t="s">
        <v>5356</v>
      </c>
      <c r="Z1129">
        <v>1145.75</v>
      </c>
      <c r="AA1129">
        <v>418.68</v>
      </c>
      <c r="AB1129">
        <v>479707</v>
      </c>
      <c r="AC1129" t="b">
        <v>1</v>
      </c>
      <c r="AD1129" t="b">
        <v>1</v>
      </c>
      <c r="AE1129" t="b">
        <v>0</v>
      </c>
      <c r="AF1129" t="b">
        <v>0</v>
      </c>
      <c r="AG1129" t="s">
        <v>58</v>
      </c>
      <c r="AH1129">
        <v>20</v>
      </c>
      <c r="AI1129" t="s">
        <v>59</v>
      </c>
      <c r="AJ1129" t="s">
        <v>71</v>
      </c>
      <c r="AL1129" t="s">
        <v>72</v>
      </c>
      <c r="AM1129" t="s">
        <v>62</v>
      </c>
      <c r="AN1129" t="s">
        <v>63</v>
      </c>
      <c r="AO1129" t="s">
        <v>5357</v>
      </c>
      <c r="AP1129" t="s">
        <v>5895</v>
      </c>
    </row>
    <row r="1130" spans="1:42" x14ac:dyDescent="0.45">
      <c r="A1130" t="s">
        <v>5344</v>
      </c>
      <c r="B1130" t="s">
        <v>5345</v>
      </c>
      <c r="C1130" t="s">
        <v>5346</v>
      </c>
      <c r="D1130">
        <v>2022</v>
      </c>
      <c r="E1130" t="s">
        <v>783</v>
      </c>
      <c r="F1130" t="s">
        <v>5347</v>
      </c>
      <c r="G1130">
        <v>43</v>
      </c>
      <c r="J1130" t="s">
        <v>5899</v>
      </c>
      <c r="K1130" t="s">
        <v>5900</v>
      </c>
      <c r="L1130" t="s">
        <v>5901</v>
      </c>
      <c r="M1130" t="s">
        <v>5902</v>
      </c>
      <c r="N1130" t="s">
        <v>5352</v>
      </c>
      <c r="O1130" t="s">
        <v>5353</v>
      </c>
      <c r="P1130" t="s">
        <v>223</v>
      </c>
      <c r="Q1130" t="s">
        <v>5354</v>
      </c>
      <c r="S1130">
        <v>153</v>
      </c>
      <c r="T1130" t="s">
        <v>5903</v>
      </c>
      <c r="U1130">
        <v>4024</v>
      </c>
      <c r="V1130">
        <v>4561</v>
      </c>
      <c r="W1130">
        <v>0.88229999999999997</v>
      </c>
      <c r="X1130" t="s">
        <v>70</v>
      </c>
      <c r="Y1130" t="s">
        <v>5356</v>
      </c>
      <c r="Z1130">
        <v>1110.75</v>
      </c>
      <c r="AA1130">
        <v>169.58</v>
      </c>
      <c r="AB1130">
        <v>188363</v>
      </c>
      <c r="AC1130" t="b">
        <v>1</v>
      </c>
      <c r="AD1130" t="b">
        <v>1</v>
      </c>
      <c r="AE1130" t="b">
        <v>0</v>
      </c>
      <c r="AF1130" t="b">
        <v>0</v>
      </c>
      <c r="AG1130" t="s">
        <v>58</v>
      </c>
      <c r="AH1130">
        <v>20</v>
      </c>
      <c r="AI1130" t="s">
        <v>59</v>
      </c>
      <c r="AJ1130" t="s">
        <v>71</v>
      </c>
      <c r="AL1130" t="s">
        <v>72</v>
      </c>
      <c r="AM1130" t="s">
        <v>62</v>
      </c>
      <c r="AN1130" t="s">
        <v>63</v>
      </c>
      <c r="AO1130" t="s">
        <v>5357</v>
      </c>
      <c r="AP1130" t="s">
        <v>5900</v>
      </c>
    </row>
    <row r="1131" spans="1:42" x14ac:dyDescent="0.45">
      <c r="A1131" t="s">
        <v>5344</v>
      </c>
      <c r="B1131" t="s">
        <v>5345</v>
      </c>
      <c r="C1131" t="s">
        <v>5346</v>
      </c>
      <c r="D1131">
        <v>2022</v>
      </c>
      <c r="E1131" t="s">
        <v>783</v>
      </c>
      <c r="F1131" t="s">
        <v>5347</v>
      </c>
      <c r="G1131">
        <v>35</v>
      </c>
      <c r="J1131" t="s">
        <v>5904</v>
      </c>
      <c r="K1131" t="s">
        <v>5905</v>
      </c>
      <c r="L1131" t="s">
        <v>5906</v>
      </c>
      <c r="M1131" t="s">
        <v>5907</v>
      </c>
      <c r="N1131" t="s">
        <v>5352</v>
      </c>
      <c r="O1131" t="s">
        <v>5353</v>
      </c>
      <c r="P1131" t="s">
        <v>223</v>
      </c>
      <c r="Q1131" t="s">
        <v>5354</v>
      </c>
      <c r="S1131">
        <v>160</v>
      </c>
      <c r="T1131" t="s">
        <v>5908</v>
      </c>
      <c r="U1131">
        <v>3968</v>
      </c>
      <c r="V1131">
        <v>4561</v>
      </c>
      <c r="W1131">
        <v>0.87</v>
      </c>
      <c r="X1131" t="s">
        <v>70</v>
      </c>
      <c r="Y1131" t="s">
        <v>5356</v>
      </c>
      <c r="Z1131">
        <v>1166.75</v>
      </c>
      <c r="AA1131">
        <v>194.92</v>
      </c>
      <c r="AB1131">
        <v>227420</v>
      </c>
      <c r="AC1131" t="b">
        <v>0</v>
      </c>
      <c r="AD1131" t="b">
        <v>0</v>
      </c>
      <c r="AE1131" t="b">
        <v>0</v>
      </c>
      <c r="AF1131" t="b">
        <v>0</v>
      </c>
      <c r="AG1131" t="s">
        <v>58</v>
      </c>
      <c r="AH1131">
        <v>16</v>
      </c>
      <c r="AI1131" t="s">
        <v>59</v>
      </c>
      <c r="AJ1131" t="s">
        <v>60</v>
      </c>
      <c r="AL1131" t="s">
        <v>225</v>
      </c>
      <c r="AM1131" t="s">
        <v>62</v>
      </c>
      <c r="AN1131" t="s">
        <v>63</v>
      </c>
      <c r="AO1131" t="s">
        <v>5357</v>
      </c>
      <c r="AP1131" t="s">
        <v>5905</v>
      </c>
    </row>
    <row r="1132" spans="1:42" x14ac:dyDescent="0.45">
      <c r="A1132" t="s">
        <v>5344</v>
      </c>
      <c r="B1132" t="s">
        <v>5345</v>
      </c>
      <c r="C1132" t="s">
        <v>5346</v>
      </c>
      <c r="D1132">
        <v>2022</v>
      </c>
      <c r="E1132" t="s">
        <v>783</v>
      </c>
      <c r="F1132" t="s">
        <v>5347</v>
      </c>
      <c r="G1132">
        <v>34</v>
      </c>
      <c r="J1132" t="s">
        <v>5909</v>
      </c>
      <c r="K1132" t="s">
        <v>5910</v>
      </c>
      <c r="L1132" t="s">
        <v>5911</v>
      </c>
      <c r="M1132" t="s">
        <v>5912</v>
      </c>
      <c r="N1132" t="s">
        <v>5352</v>
      </c>
      <c r="O1132" t="s">
        <v>5353</v>
      </c>
      <c r="P1132" t="s">
        <v>223</v>
      </c>
      <c r="Q1132" t="s">
        <v>5354</v>
      </c>
      <c r="S1132">
        <v>161</v>
      </c>
      <c r="T1132" t="s">
        <v>5913</v>
      </c>
      <c r="U1132">
        <v>3923</v>
      </c>
      <c r="V1132">
        <v>4561</v>
      </c>
      <c r="W1132">
        <v>0.86009999999999998</v>
      </c>
      <c r="X1132" t="s">
        <v>70</v>
      </c>
      <c r="Y1132" t="s">
        <v>5356</v>
      </c>
      <c r="Z1132">
        <v>1173.75</v>
      </c>
      <c r="AA1132">
        <v>163.28</v>
      </c>
      <c r="AB1132">
        <v>191648</v>
      </c>
      <c r="AC1132" t="b">
        <v>1</v>
      </c>
      <c r="AD1132" t="b">
        <v>1</v>
      </c>
      <c r="AE1132" t="b">
        <v>0</v>
      </c>
      <c r="AF1132" t="b">
        <v>0</v>
      </c>
      <c r="AG1132" t="s">
        <v>58</v>
      </c>
      <c r="AH1132">
        <v>20</v>
      </c>
      <c r="AI1132" t="s">
        <v>59</v>
      </c>
      <c r="AJ1132" t="s">
        <v>71</v>
      </c>
      <c r="AL1132" t="s">
        <v>72</v>
      </c>
      <c r="AM1132" t="s">
        <v>62</v>
      </c>
      <c r="AN1132" t="s">
        <v>63</v>
      </c>
      <c r="AO1132" t="s">
        <v>5357</v>
      </c>
      <c r="AP1132" t="s">
        <v>5910</v>
      </c>
    </row>
    <row r="1133" spans="1:42" x14ac:dyDescent="0.45">
      <c r="A1133" t="s">
        <v>5344</v>
      </c>
      <c r="B1133" t="s">
        <v>5345</v>
      </c>
      <c r="C1133" t="s">
        <v>5346</v>
      </c>
      <c r="D1133">
        <v>2022</v>
      </c>
      <c r="E1133" t="s">
        <v>783</v>
      </c>
      <c r="F1133" t="s">
        <v>5347</v>
      </c>
      <c r="G1133">
        <v>32</v>
      </c>
      <c r="J1133" t="s">
        <v>5914</v>
      </c>
      <c r="K1133" t="s">
        <v>5915</v>
      </c>
      <c r="L1133" t="s">
        <v>5916</v>
      </c>
      <c r="M1133" t="s">
        <v>5917</v>
      </c>
      <c r="N1133" t="s">
        <v>5352</v>
      </c>
      <c r="O1133" t="s">
        <v>5353</v>
      </c>
      <c r="P1133" t="s">
        <v>223</v>
      </c>
      <c r="Q1133" t="s">
        <v>5354</v>
      </c>
      <c r="S1133">
        <v>163</v>
      </c>
      <c r="T1133" t="s">
        <v>5918</v>
      </c>
      <c r="U1133">
        <v>3354</v>
      </c>
      <c r="V1133">
        <v>4561</v>
      </c>
      <c r="W1133">
        <v>0.73540000000000005</v>
      </c>
      <c r="X1133" t="s">
        <v>70</v>
      </c>
      <c r="Y1133" t="s">
        <v>5356</v>
      </c>
      <c r="Z1133">
        <v>1187.75</v>
      </c>
      <c r="AA1133">
        <v>192.69</v>
      </c>
      <c r="AB1133">
        <v>228867</v>
      </c>
      <c r="AC1133" t="b">
        <v>1</v>
      </c>
      <c r="AD1133" t="b">
        <v>1</v>
      </c>
      <c r="AE1133" t="b">
        <v>0</v>
      </c>
      <c r="AF1133" t="b">
        <v>0</v>
      </c>
      <c r="AG1133" t="s">
        <v>58</v>
      </c>
      <c r="AH1133">
        <v>20</v>
      </c>
      <c r="AI1133" t="s">
        <v>59</v>
      </c>
      <c r="AJ1133" t="s">
        <v>71</v>
      </c>
      <c r="AL1133" t="s">
        <v>72</v>
      </c>
      <c r="AM1133" t="s">
        <v>62</v>
      </c>
      <c r="AN1133" t="s">
        <v>63</v>
      </c>
      <c r="AO1133" t="s">
        <v>5357</v>
      </c>
      <c r="AP1133" t="s">
        <v>5915</v>
      </c>
    </row>
    <row r="1134" spans="1:42" x14ac:dyDescent="0.45">
      <c r="A1134" t="s">
        <v>5344</v>
      </c>
      <c r="B1134" t="s">
        <v>5345</v>
      </c>
      <c r="C1134" t="s">
        <v>5346</v>
      </c>
      <c r="D1134">
        <v>2022</v>
      </c>
      <c r="E1134" t="s">
        <v>783</v>
      </c>
      <c r="F1134" t="s">
        <v>5347</v>
      </c>
      <c r="G1134">
        <v>29</v>
      </c>
      <c r="J1134" t="s">
        <v>5919</v>
      </c>
      <c r="K1134" t="s">
        <v>5920</v>
      </c>
      <c r="L1134" t="s">
        <v>5921</v>
      </c>
      <c r="M1134" t="s">
        <v>5922</v>
      </c>
      <c r="N1134" t="s">
        <v>5352</v>
      </c>
      <c r="O1134" t="s">
        <v>5353</v>
      </c>
      <c r="P1134" t="s">
        <v>223</v>
      </c>
      <c r="Q1134" t="s">
        <v>5354</v>
      </c>
      <c r="S1134">
        <v>166</v>
      </c>
      <c r="T1134" t="s">
        <v>5923</v>
      </c>
      <c r="U1134">
        <v>3094</v>
      </c>
      <c r="V1134">
        <v>4561</v>
      </c>
      <c r="W1134">
        <v>0.6784</v>
      </c>
      <c r="X1134" t="s">
        <v>70</v>
      </c>
      <c r="Y1134" t="s">
        <v>5356</v>
      </c>
      <c r="Z1134">
        <v>1208.74</v>
      </c>
      <c r="AA1134">
        <v>102</v>
      </c>
      <c r="AB1134">
        <v>123289</v>
      </c>
      <c r="AC1134" t="b">
        <v>1</v>
      </c>
      <c r="AD1134" t="b">
        <v>1</v>
      </c>
      <c r="AE1134" t="b">
        <v>0</v>
      </c>
      <c r="AF1134" t="b">
        <v>0</v>
      </c>
      <c r="AG1134" t="s">
        <v>58</v>
      </c>
      <c r="AH1134">
        <v>20</v>
      </c>
      <c r="AI1134" t="s">
        <v>59</v>
      </c>
      <c r="AJ1134" t="s">
        <v>71</v>
      </c>
      <c r="AL1134" t="s">
        <v>72</v>
      </c>
      <c r="AM1134" t="s">
        <v>62</v>
      </c>
      <c r="AN1134" t="s">
        <v>63</v>
      </c>
      <c r="AO1134" t="s">
        <v>5357</v>
      </c>
      <c r="AP1134" t="s">
        <v>5920</v>
      </c>
    </row>
    <row r="1135" spans="1:42" x14ac:dyDescent="0.45">
      <c r="A1135" t="s">
        <v>5344</v>
      </c>
      <c r="B1135" t="s">
        <v>5345</v>
      </c>
      <c r="C1135" t="s">
        <v>5346</v>
      </c>
      <c r="D1135">
        <v>2022</v>
      </c>
      <c r="E1135" t="s">
        <v>783</v>
      </c>
      <c r="F1135" t="s">
        <v>5347</v>
      </c>
      <c r="G1135">
        <v>74</v>
      </c>
      <c r="J1135" t="s">
        <v>5924</v>
      </c>
      <c r="K1135" t="s">
        <v>5925</v>
      </c>
      <c r="L1135" t="s">
        <v>5926</v>
      </c>
      <c r="M1135" t="s">
        <v>5927</v>
      </c>
      <c r="N1135" t="s">
        <v>5352</v>
      </c>
      <c r="O1135" t="s">
        <v>5353</v>
      </c>
      <c r="P1135" t="s">
        <v>223</v>
      </c>
      <c r="Q1135" t="s">
        <v>5354</v>
      </c>
      <c r="S1135">
        <v>122</v>
      </c>
      <c r="T1135" t="s">
        <v>5928</v>
      </c>
      <c r="U1135">
        <v>4286</v>
      </c>
      <c r="V1135">
        <v>4561</v>
      </c>
      <c r="W1135">
        <v>0.93969999999999998</v>
      </c>
      <c r="X1135" t="s">
        <v>70</v>
      </c>
      <c r="Y1135" t="s">
        <v>5356</v>
      </c>
      <c r="Z1135">
        <v>886.75</v>
      </c>
      <c r="AA1135">
        <v>331.99</v>
      </c>
      <c r="AB1135">
        <v>294389</v>
      </c>
      <c r="AC1135" t="b">
        <v>1</v>
      </c>
      <c r="AD1135" t="b">
        <v>1</v>
      </c>
      <c r="AE1135" t="b">
        <v>0</v>
      </c>
      <c r="AF1135" t="b">
        <v>0</v>
      </c>
      <c r="AG1135" t="s">
        <v>58</v>
      </c>
      <c r="AH1135">
        <v>20</v>
      </c>
      <c r="AI1135" t="s">
        <v>59</v>
      </c>
      <c r="AJ1135" t="s">
        <v>71</v>
      </c>
      <c r="AL1135" t="s">
        <v>72</v>
      </c>
      <c r="AM1135" t="s">
        <v>62</v>
      </c>
      <c r="AN1135" t="s">
        <v>63</v>
      </c>
      <c r="AO1135" t="s">
        <v>5357</v>
      </c>
      <c r="AP1135" t="s">
        <v>5925</v>
      </c>
    </row>
    <row r="1136" spans="1:42" x14ac:dyDescent="0.45">
      <c r="A1136" t="s">
        <v>5344</v>
      </c>
      <c r="B1136" t="s">
        <v>5345</v>
      </c>
      <c r="C1136" t="s">
        <v>5346</v>
      </c>
      <c r="D1136">
        <v>2022</v>
      </c>
      <c r="E1136" t="s">
        <v>783</v>
      </c>
      <c r="F1136" t="s">
        <v>5347</v>
      </c>
      <c r="G1136">
        <v>28</v>
      </c>
      <c r="J1136" t="s">
        <v>5929</v>
      </c>
      <c r="K1136" t="s">
        <v>5930</v>
      </c>
      <c r="L1136" t="s">
        <v>5931</v>
      </c>
      <c r="M1136" t="s">
        <v>5932</v>
      </c>
      <c r="N1136" t="s">
        <v>5352</v>
      </c>
      <c r="O1136" t="s">
        <v>5353</v>
      </c>
      <c r="P1136" t="s">
        <v>223</v>
      </c>
      <c r="Q1136" t="s">
        <v>5354</v>
      </c>
      <c r="S1136">
        <v>167</v>
      </c>
      <c r="T1136" t="s">
        <v>5933</v>
      </c>
      <c r="U1136">
        <v>3336</v>
      </c>
      <c r="V1136">
        <v>4561</v>
      </c>
      <c r="W1136">
        <v>0.73140000000000005</v>
      </c>
      <c r="X1136" t="s">
        <v>70</v>
      </c>
      <c r="Y1136" t="s">
        <v>5356</v>
      </c>
      <c r="Z1136">
        <v>1215.74</v>
      </c>
      <c r="AA1136">
        <v>189.88</v>
      </c>
      <c r="AB1136">
        <v>230839</v>
      </c>
      <c r="AC1136" t="b">
        <v>1</v>
      </c>
      <c r="AD1136" t="b">
        <v>1</v>
      </c>
      <c r="AE1136" t="b">
        <v>0</v>
      </c>
      <c r="AF1136" t="b">
        <v>0</v>
      </c>
      <c r="AG1136" t="s">
        <v>58</v>
      </c>
      <c r="AH1136">
        <v>20</v>
      </c>
      <c r="AI1136" t="s">
        <v>59</v>
      </c>
      <c r="AJ1136" t="s">
        <v>71</v>
      </c>
      <c r="AL1136" t="s">
        <v>72</v>
      </c>
      <c r="AM1136" t="s">
        <v>62</v>
      </c>
      <c r="AN1136" t="s">
        <v>63</v>
      </c>
      <c r="AO1136" t="s">
        <v>5357</v>
      </c>
      <c r="AP1136" t="s">
        <v>5930</v>
      </c>
    </row>
    <row r="1137" spans="1:42" x14ac:dyDescent="0.45">
      <c r="A1137" t="s">
        <v>5344</v>
      </c>
      <c r="B1137" t="s">
        <v>5345</v>
      </c>
      <c r="C1137" t="s">
        <v>5346</v>
      </c>
      <c r="D1137">
        <v>2022</v>
      </c>
      <c r="E1137" t="s">
        <v>783</v>
      </c>
      <c r="F1137" t="s">
        <v>5347</v>
      </c>
      <c r="G1137">
        <v>27</v>
      </c>
      <c r="J1137" t="s">
        <v>5934</v>
      </c>
      <c r="K1137" t="s">
        <v>5935</v>
      </c>
      <c r="L1137" t="s">
        <v>5936</v>
      </c>
      <c r="M1137" t="s">
        <v>5937</v>
      </c>
      <c r="N1137" t="s">
        <v>5352</v>
      </c>
      <c r="O1137" t="s">
        <v>5353</v>
      </c>
      <c r="P1137" t="s">
        <v>223</v>
      </c>
      <c r="Q1137" t="s">
        <v>5354</v>
      </c>
      <c r="S1137">
        <v>168</v>
      </c>
      <c r="T1137" t="s">
        <v>5938</v>
      </c>
      <c r="U1137">
        <v>4457</v>
      </c>
      <c r="V1137">
        <v>4561</v>
      </c>
      <c r="W1137">
        <v>0.97719999999999996</v>
      </c>
      <c r="X1137" t="s">
        <v>70</v>
      </c>
      <c r="Y1137" t="s">
        <v>5356</v>
      </c>
      <c r="Z1137">
        <v>1224.74</v>
      </c>
      <c r="AA1137">
        <v>132.74</v>
      </c>
      <c r="AB1137">
        <v>162569</v>
      </c>
      <c r="AC1137" t="b">
        <v>1</v>
      </c>
      <c r="AD1137" t="b">
        <v>1</v>
      </c>
      <c r="AE1137" t="b">
        <v>0</v>
      </c>
      <c r="AF1137" t="b">
        <v>0</v>
      </c>
      <c r="AG1137" t="s">
        <v>58</v>
      </c>
      <c r="AH1137">
        <v>20</v>
      </c>
      <c r="AI1137" t="s">
        <v>59</v>
      </c>
      <c r="AJ1137" t="s">
        <v>71</v>
      </c>
      <c r="AL1137" t="s">
        <v>72</v>
      </c>
      <c r="AM1137" t="s">
        <v>62</v>
      </c>
      <c r="AN1137" t="s">
        <v>63</v>
      </c>
      <c r="AO1137" t="s">
        <v>5357</v>
      </c>
      <c r="AP1137" t="s">
        <v>5935</v>
      </c>
    </row>
    <row r="1138" spans="1:42" x14ac:dyDescent="0.45">
      <c r="A1138" t="s">
        <v>5344</v>
      </c>
      <c r="B1138" t="s">
        <v>5345</v>
      </c>
      <c r="C1138" t="s">
        <v>5346</v>
      </c>
      <c r="D1138">
        <v>2022</v>
      </c>
      <c r="E1138" t="s">
        <v>783</v>
      </c>
      <c r="F1138" t="s">
        <v>5347</v>
      </c>
      <c r="G1138">
        <v>30</v>
      </c>
      <c r="J1138" t="s">
        <v>5939</v>
      </c>
      <c r="K1138" t="s">
        <v>5940</v>
      </c>
      <c r="L1138" t="s">
        <v>5941</v>
      </c>
      <c r="M1138" t="s">
        <v>5942</v>
      </c>
      <c r="N1138" t="s">
        <v>5352</v>
      </c>
      <c r="O1138" t="s">
        <v>5353</v>
      </c>
      <c r="P1138" t="s">
        <v>223</v>
      </c>
      <c r="Q1138" t="s">
        <v>5354</v>
      </c>
      <c r="S1138">
        <v>165</v>
      </c>
      <c r="T1138" t="s">
        <v>5943</v>
      </c>
      <c r="U1138">
        <v>3529</v>
      </c>
      <c r="V1138">
        <v>4561</v>
      </c>
      <c r="W1138">
        <v>0.77370000000000005</v>
      </c>
      <c r="X1138" t="s">
        <v>70</v>
      </c>
      <c r="Y1138" t="s">
        <v>5356</v>
      </c>
      <c r="Z1138">
        <v>1201.74</v>
      </c>
      <c r="AA1138">
        <v>133.19</v>
      </c>
      <c r="AB1138">
        <v>160054</v>
      </c>
      <c r="AC1138" t="b">
        <v>1</v>
      </c>
      <c r="AD1138" t="b">
        <v>1</v>
      </c>
      <c r="AE1138" t="b">
        <v>0</v>
      </c>
      <c r="AF1138" t="b">
        <v>0</v>
      </c>
      <c r="AG1138" t="s">
        <v>58</v>
      </c>
      <c r="AH1138">
        <v>20</v>
      </c>
      <c r="AI1138" t="s">
        <v>59</v>
      </c>
      <c r="AJ1138" t="s">
        <v>71</v>
      </c>
      <c r="AL1138" t="s">
        <v>72</v>
      </c>
      <c r="AM1138" t="s">
        <v>62</v>
      </c>
      <c r="AN1138" t="s">
        <v>63</v>
      </c>
      <c r="AO1138" t="s">
        <v>5357</v>
      </c>
      <c r="AP1138" t="s">
        <v>5940</v>
      </c>
    </row>
    <row r="1139" spans="1:42" x14ac:dyDescent="0.45">
      <c r="A1139" t="s">
        <v>5344</v>
      </c>
      <c r="B1139" t="s">
        <v>5345</v>
      </c>
      <c r="C1139" t="s">
        <v>5346</v>
      </c>
      <c r="D1139">
        <v>2022</v>
      </c>
      <c r="E1139" t="s">
        <v>783</v>
      </c>
      <c r="F1139" t="s">
        <v>5347</v>
      </c>
      <c r="G1139">
        <v>73</v>
      </c>
      <c r="J1139" t="s">
        <v>5944</v>
      </c>
      <c r="K1139" t="s">
        <v>5945</v>
      </c>
      <c r="L1139" t="s">
        <v>5946</v>
      </c>
      <c r="M1139" t="s">
        <v>5947</v>
      </c>
      <c r="N1139" t="s">
        <v>5352</v>
      </c>
      <c r="O1139" t="s">
        <v>5353</v>
      </c>
      <c r="P1139" t="s">
        <v>223</v>
      </c>
      <c r="Q1139" t="s">
        <v>5354</v>
      </c>
      <c r="S1139">
        <v>123</v>
      </c>
      <c r="T1139" t="s">
        <v>5948</v>
      </c>
      <c r="U1139">
        <v>4241</v>
      </c>
      <c r="V1139">
        <v>4561</v>
      </c>
      <c r="W1139">
        <v>0.92979999999999996</v>
      </c>
      <c r="X1139" t="s">
        <v>70</v>
      </c>
      <c r="Y1139" t="s">
        <v>5356</v>
      </c>
      <c r="Z1139">
        <v>893.75</v>
      </c>
      <c r="AA1139">
        <v>272.72000000000003</v>
      </c>
      <c r="AB1139">
        <v>243746</v>
      </c>
      <c r="AC1139" t="b">
        <v>1</v>
      </c>
      <c r="AD1139" t="b">
        <v>1</v>
      </c>
      <c r="AE1139" t="b">
        <v>0</v>
      </c>
      <c r="AF1139" t="b">
        <v>0</v>
      </c>
      <c r="AG1139" t="s">
        <v>58</v>
      </c>
      <c r="AH1139">
        <v>20</v>
      </c>
      <c r="AI1139" t="s">
        <v>59</v>
      </c>
      <c r="AJ1139" t="s">
        <v>71</v>
      </c>
      <c r="AL1139" t="s">
        <v>72</v>
      </c>
      <c r="AM1139" t="s">
        <v>62</v>
      </c>
      <c r="AN1139" t="s">
        <v>63</v>
      </c>
      <c r="AO1139" t="s">
        <v>5357</v>
      </c>
      <c r="AP1139" t="s">
        <v>5945</v>
      </c>
    </row>
    <row r="1140" spans="1:42" x14ac:dyDescent="0.45">
      <c r="A1140" t="s">
        <v>5344</v>
      </c>
      <c r="B1140" t="s">
        <v>5345</v>
      </c>
      <c r="C1140" t="s">
        <v>5346</v>
      </c>
      <c r="D1140">
        <v>2022</v>
      </c>
      <c r="E1140" t="s">
        <v>783</v>
      </c>
      <c r="F1140" t="s">
        <v>5347</v>
      </c>
      <c r="G1140">
        <v>70</v>
      </c>
      <c r="J1140" t="s">
        <v>5949</v>
      </c>
      <c r="K1140" t="s">
        <v>5950</v>
      </c>
      <c r="L1140" t="s">
        <v>5951</v>
      </c>
      <c r="M1140" t="s">
        <v>5952</v>
      </c>
      <c r="N1140" t="s">
        <v>5352</v>
      </c>
      <c r="O1140" t="s">
        <v>5353</v>
      </c>
      <c r="P1140" t="s">
        <v>223</v>
      </c>
      <c r="Q1140" t="s">
        <v>5354</v>
      </c>
      <c r="S1140">
        <v>126</v>
      </c>
      <c r="T1140" t="s">
        <v>5953</v>
      </c>
      <c r="U1140">
        <v>4594</v>
      </c>
      <c r="V1140">
        <v>4561</v>
      </c>
      <c r="W1140">
        <v>1.0072000000000001</v>
      </c>
      <c r="X1140" t="s">
        <v>70</v>
      </c>
      <c r="Y1140" t="s">
        <v>5356</v>
      </c>
      <c r="Z1140">
        <v>921.75</v>
      </c>
      <c r="AA1140">
        <v>205.26</v>
      </c>
      <c r="AB1140">
        <v>189197</v>
      </c>
      <c r="AC1140" t="b">
        <v>1</v>
      </c>
      <c r="AD1140" t="b">
        <v>1</v>
      </c>
      <c r="AE1140" t="b">
        <v>0</v>
      </c>
      <c r="AF1140" t="b">
        <v>0</v>
      </c>
      <c r="AG1140" t="s">
        <v>58</v>
      </c>
      <c r="AH1140">
        <v>20</v>
      </c>
      <c r="AI1140" t="s">
        <v>59</v>
      </c>
      <c r="AJ1140" t="s">
        <v>71</v>
      </c>
      <c r="AL1140" t="s">
        <v>72</v>
      </c>
      <c r="AM1140" t="s">
        <v>62</v>
      </c>
      <c r="AN1140" t="s">
        <v>63</v>
      </c>
      <c r="AO1140" t="s">
        <v>5357</v>
      </c>
      <c r="AP1140" t="s">
        <v>5950</v>
      </c>
    </row>
    <row r="1141" spans="1:42" x14ac:dyDescent="0.45">
      <c r="A1141" t="s">
        <v>5344</v>
      </c>
      <c r="B1141" t="s">
        <v>5345</v>
      </c>
      <c r="C1141" t="s">
        <v>5346</v>
      </c>
      <c r="D1141">
        <v>2022</v>
      </c>
      <c r="E1141" t="s">
        <v>783</v>
      </c>
      <c r="F1141" t="s">
        <v>5347</v>
      </c>
      <c r="G1141">
        <v>72</v>
      </c>
      <c r="J1141" t="s">
        <v>5954</v>
      </c>
      <c r="K1141" t="s">
        <v>5955</v>
      </c>
      <c r="L1141" t="s">
        <v>5956</v>
      </c>
      <c r="M1141" t="s">
        <v>5957</v>
      </c>
      <c r="N1141" t="s">
        <v>5352</v>
      </c>
      <c r="O1141" t="s">
        <v>5353</v>
      </c>
      <c r="P1141" t="s">
        <v>223</v>
      </c>
      <c r="Q1141" t="s">
        <v>5354</v>
      </c>
      <c r="S1141">
        <v>124</v>
      </c>
      <c r="T1141" t="s">
        <v>5958</v>
      </c>
      <c r="U1141">
        <v>4622</v>
      </c>
      <c r="V1141">
        <v>4561</v>
      </c>
      <c r="W1141">
        <v>1.0134000000000001</v>
      </c>
      <c r="X1141" t="s">
        <v>70</v>
      </c>
      <c r="Y1141" t="s">
        <v>5356</v>
      </c>
      <c r="Z1141">
        <v>900.75</v>
      </c>
      <c r="AA1141">
        <v>308.19</v>
      </c>
      <c r="AB1141">
        <v>277598</v>
      </c>
      <c r="AC1141" t="b">
        <v>1</v>
      </c>
      <c r="AD1141" t="b">
        <v>1</v>
      </c>
      <c r="AE1141" t="b">
        <v>0</v>
      </c>
      <c r="AF1141" t="b">
        <v>0</v>
      </c>
      <c r="AG1141" t="s">
        <v>58</v>
      </c>
      <c r="AH1141">
        <v>20</v>
      </c>
      <c r="AI1141" t="s">
        <v>59</v>
      </c>
      <c r="AJ1141" t="s">
        <v>71</v>
      </c>
      <c r="AL1141" t="s">
        <v>72</v>
      </c>
      <c r="AM1141" t="s">
        <v>62</v>
      </c>
      <c r="AN1141" t="s">
        <v>63</v>
      </c>
      <c r="AO1141" t="s">
        <v>5357</v>
      </c>
      <c r="AP1141" t="s">
        <v>5955</v>
      </c>
    </row>
    <row r="1142" spans="1:42" x14ac:dyDescent="0.45">
      <c r="A1142" t="s">
        <v>5344</v>
      </c>
      <c r="B1142" t="s">
        <v>5345</v>
      </c>
      <c r="C1142" t="s">
        <v>5346</v>
      </c>
      <c r="D1142">
        <v>2022</v>
      </c>
      <c r="E1142" t="s">
        <v>783</v>
      </c>
      <c r="F1142" t="s">
        <v>5347</v>
      </c>
      <c r="G1142">
        <v>61</v>
      </c>
      <c r="J1142" t="s">
        <v>5959</v>
      </c>
      <c r="K1142" t="s">
        <v>5960</v>
      </c>
      <c r="L1142" t="s">
        <v>5961</v>
      </c>
      <c r="M1142" t="s">
        <v>5962</v>
      </c>
      <c r="N1142" t="s">
        <v>5352</v>
      </c>
      <c r="O1142" t="s">
        <v>5353</v>
      </c>
      <c r="P1142" t="s">
        <v>223</v>
      </c>
      <c r="Q1142" t="s">
        <v>5354</v>
      </c>
      <c r="S1142">
        <v>134</v>
      </c>
      <c r="T1142" t="s">
        <v>5963</v>
      </c>
      <c r="U1142">
        <v>4294</v>
      </c>
      <c r="V1142">
        <v>4561</v>
      </c>
      <c r="W1142">
        <v>0.9415</v>
      </c>
      <c r="X1142" t="s">
        <v>70</v>
      </c>
      <c r="Y1142" t="s">
        <v>5356</v>
      </c>
      <c r="Z1142">
        <v>984.75</v>
      </c>
      <c r="AA1142">
        <v>186.4</v>
      </c>
      <c r="AB1142">
        <v>183561</v>
      </c>
      <c r="AC1142" t="b">
        <v>1</v>
      </c>
      <c r="AD1142" t="b">
        <v>1</v>
      </c>
      <c r="AE1142" t="b">
        <v>0</v>
      </c>
      <c r="AF1142" t="b">
        <v>0</v>
      </c>
      <c r="AG1142" t="s">
        <v>58</v>
      </c>
      <c r="AH1142">
        <v>20</v>
      </c>
      <c r="AI1142" t="s">
        <v>59</v>
      </c>
      <c r="AJ1142" t="s">
        <v>71</v>
      </c>
      <c r="AL1142" t="s">
        <v>72</v>
      </c>
      <c r="AM1142" t="s">
        <v>62</v>
      </c>
      <c r="AN1142" t="s">
        <v>63</v>
      </c>
      <c r="AO1142" t="s">
        <v>5357</v>
      </c>
      <c r="AP1142" t="s">
        <v>5960</v>
      </c>
    </row>
    <row r="1143" spans="1:42" x14ac:dyDescent="0.45">
      <c r="A1143" t="s">
        <v>5344</v>
      </c>
      <c r="B1143" t="s">
        <v>5345</v>
      </c>
      <c r="C1143" t="s">
        <v>5346</v>
      </c>
      <c r="D1143">
        <v>2022</v>
      </c>
      <c r="E1143" t="s">
        <v>783</v>
      </c>
      <c r="F1143" t="s">
        <v>5347</v>
      </c>
      <c r="G1143">
        <v>69</v>
      </c>
      <c r="J1143" t="s">
        <v>5964</v>
      </c>
      <c r="K1143" t="s">
        <v>5965</v>
      </c>
      <c r="L1143" t="s">
        <v>5966</v>
      </c>
      <c r="M1143" t="s">
        <v>5967</v>
      </c>
      <c r="N1143" t="s">
        <v>5352</v>
      </c>
      <c r="O1143" t="s">
        <v>5353</v>
      </c>
      <c r="P1143" t="s">
        <v>223</v>
      </c>
      <c r="Q1143" t="s">
        <v>5354</v>
      </c>
      <c r="S1143">
        <v>127</v>
      </c>
      <c r="T1143" t="s">
        <v>5968</v>
      </c>
      <c r="U1143">
        <v>4327</v>
      </c>
      <c r="V1143">
        <v>4561</v>
      </c>
      <c r="W1143">
        <v>0.94869999999999999</v>
      </c>
      <c r="X1143" t="s">
        <v>70</v>
      </c>
      <c r="Y1143" t="s">
        <v>5356</v>
      </c>
      <c r="Z1143">
        <v>928.75</v>
      </c>
      <c r="AA1143">
        <v>169.51</v>
      </c>
      <c r="AB1143">
        <v>157437</v>
      </c>
      <c r="AC1143" t="b">
        <v>1</v>
      </c>
      <c r="AD1143" t="b">
        <v>1</v>
      </c>
      <c r="AE1143" t="b">
        <v>0</v>
      </c>
      <c r="AF1143" t="b">
        <v>0</v>
      </c>
      <c r="AG1143" t="s">
        <v>58</v>
      </c>
      <c r="AH1143">
        <v>20</v>
      </c>
      <c r="AI1143" t="s">
        <v>59</v>
      </c>
      <c r="AJ1143" t="s">
        <v>71</v>
      </c>
      <c r="AL1143" t="s">
        <v>72</v>
      </c>
      <c r="AM1143" t="s">
        <v>62</v>
      </c>
      <c r="AN1143" t="s">
        <v>63</v>
      </c>
      <c r="AO1143" t="s">
        <v>5357</v>
      </c>
      <c r="AP1143" t="s">
        <v>5965</v>
      </c>
    </row>
    <row r="1144" spans="1:42" x14ac:dyDescent="0.45">
      <c r="A1144" t="s">
        <v>5344</v>
      </c>
      <c r="B1144" t="s">
        <v>5345</v>
      </c>
      <c r="C1144" t="s">
        <v>5346</v>
      </c>
      <c r="D1144">
        <v>2022</v>
      </c>
      <c r="E1144" t="s">
        <v>783</v>
      </c>
      <c r="F1144" t="s">
        <v>5347</v>
      </c>
      <c r="G1144">
        <v>60</v>
      </c>
      <c r="J1144" t="s">
        <v>5969</v>
      </c>
      <c r="K1144" t="s">
        <v>5970</v>
      </c>
      <c r="L1144" t="s">
        <v>5971</v>
      </c>
      <c r="M1144" t="s">
        <v>5972</v>
      </c>
      <c r="N1144" t="s">
        <v>5352</v>
      </c>
      <c r="O1144" t="s">
        <v>5353</v>
      </c>
      <c r="P1144" t="s">
        <v>223</v>
      </c>
      <c r="Q1144" t="s">
        <v>5354</v>
      </c>
      <c r="S1144">
        <v>135</v>
      </c>
      <c r="T1144" t="s">
        <v>5973</v>
      </c>
      <c r="U1144">
        <v>4283</v>
      </c>
      <c r="V1144">
        <v>4561</v>
      </c>
      <c r="W1144">
        <v>0.93899999999999995</v>
      </c>
      <c r="X1144" t="s">
        <v>70</v>
      </c>
      <c r="Y1144" t="s">
        <v>5356</v>
      </c>
      <c r="Z1144">
        <v>991.75</v>
      </c>
      <c r="AA1144">
        <v>385.7</v>
      </c>
      <c r="AB1144">
        <v>382522</v>
      </c>
      <c r="AC1144" t="b">
        <v>1</v>
      </c>
      <c r="AD1144" t="b">
        <v>1</v>
      </c>
      <c r="AE1144" t="b">
        <v>0</v>
      </c>
      <c r="AF1144" t="b">
        <v>0</v>
      </c>
      <c r="AG1144" t="s">
        <v>58</v>
      </c>
      <c r="AH1144">
        <v>20</v>
      </c>
      <c r="AI1144" t="s">
        <v>59</v>
      </c>
      <c r="AJ1144" t="s">
        <v>71</v>
      </c>
      <c r="AL1144" t="s">
        <v>72</v>
      </c>
      <c r="AM1144" t="s">
        <v>62</v>
      </c>
      <c r="AN1144" t="s">
        <v>63</v>
      </c>
      <c r="AO1144" t="s">
        <v>5357</v>
      </c>
      <c r="AP1144" t="s">
        <v>5970</v>
      </c>
    </row>
    <row r="1145" spans="1:42" x14ac:dyDescent="0.45">
      <c r="A1145" t="s">
        <v>5344</v>
      </c>
      <c r="B1145" t="s">
        <v>5345</v>
      </c>
      <c r="C1145" t="s">
        <v>5346</v>
      </c>
      <c r="D1145">
        <v>2022</v>
      </c>
      <c r="E1145" t="s">
        <v>783</v>
      </c>
      <c r="F1145" t="s">
        <v>5347</v>
      </c>
      <c r="G1145">
        <v>58</v>
      </c>
      <c r="J1145" t="s">
        <v>5974</v>
      </c>
      <c r="K1145" t="s">
        <v>5975</v>
      </c>
      <c r="L1145" t="s">
        <v>5976</v>
      </c>
      <c r="M1145" t="s">
        <v>5977</v>
      </c>
      <c r="N1145" t="s">
        <v>5352</v>
      </c>
      <c r="O1145" t="s">
        <v>5353</v>
      </c>
      <c r="P1145" t="s">
        <v>223</v>
      </c>
      <c r="Q1145" t="s">
        <v>5354</v>
      </c>
      <c r="S1145">
        <v>137</v>
      </c>
      <c r="T1145" t="s">
        <v>5978</v>
      </c>
      <c r="U1145">
        <v>4175</v>
      </c>
      <c r="V1145">
        <v>4561</v>
      </c>
      <c r="W1145">
        <v>0.91539999999999999</v>
      </c>
      <c r="X1145" t="s">
        <v>70</v>
      </c>
      <c r="Y1145" t="s">
        <v>5356</v>
      </c>
      <c r="Z1145">
        <v>1005.75</v>
      </c>
      <c r="AA1145">
        <v>436.67</v>
      </c>
      <c r="AB1145">
        <v>439182</v>
      </c>
      <c r="AC1145" t="b">
        <v>1</v>
      </c>
      <c r="AD1145" t="b">
        <v>1</v>
      </c>
      <c r="AE1145" t="b">
        <v>0</v>
      </c>
      <c r="AF1145" t="b">
        <v>0</v>
      </c>
      <c r="AG1145" t="s">
        <v>58</v>
      </c>
      <c r="AH1145">
        <v>20</v>
      </c>
      <c r="AI1145" t="s">
        <v>59</v>
      </c>
      <c r="AJ1145" t="s">
        <v>71</v>
      </c>
      <c r="AL1145" t="s">
        <v>72</v>
      </c>
      <c r="AM1145" t="s">
        <v>62</v>
      </c>
      <c r="AN1145" t="s">
        <v>63</v>
      </c>
      <c r="AO1145" t="s">
        <v>5357</v>
      </c>
      <c r="AP1145" t="s">
        <v>5975</v>
      </c>
    </row>
    <row r="1146" spans="1:42" x14ac:dyDescent="0.45">
      <c r="A1146" t="s">
        <v>5344</v>
      </c>
      <c r="B1146" t="s">
        <v>5345</v>
      </c>
      <c r="C1146" t="s">
        <v>5346</v>
      </c>
      <c r="D1146">
        <v>2022</v>
      </c>
      <c r="E1146" t="s">
        <v>783</v>
      </c>
      <c r="F1146" t="s">
        <v>5347</v>
      </c>
      <c r="G1146">
        <v>64</v>
      </c>
      <c r="J1146" t="s">
        <v>5979</v>
      </c>
      <c r="K1146" t="s">
        <v>5980</v>
      </c>
      <c r="L1146" t="s">
        <v>5981</v>
      </c>
      <c r="M1146" t="s">
        <v>5982</v>
      </c>
      <c r="N1146" t="s">
        <v>5352</v>
      </c>
      <c r="O1146" t="s">
        <v>5353</v>
      </c>
      <c r="P1146" t="s">
        <v>223</v>
      </c>
      <c r="Q1146" t="s">
        <v>5354</v>
      </c>
      <c r="S1146">
        <v>131</v>
      </c>
      <c r="T1146" t="s">
        <v>5983</v>
      </c>
      <c r="U1146">
        <v>4044</v>
      </c>
      <c r="V1146">
        <v>4561</v>
      </c>
      <c r="W1146">
        <v>0.88660000000000005</v>
      </c>
      <c r="X1146" t="s">
        <v>70</v>
      </c>
      <c r="Y1146" t="s">
        <v>5356</v>
      </c>
      <c r="Z1146">
        <v>963.75</v>
      </c>
      <c r="AA1146">
        <v>249.61</v>
      </c>
      <c r="AB1146">
        <v>240566</v>
      </c>
      <c r="AC1146" t="b">
        <v>1</v>
      </c>
      <c r="AD1146" t="b">
        <v>1</v>
      </c>
      <c r="AE1146" t="b">
        <v>0</v>
      </c>
      <c r="AF1146" t="b">
        <v>0</v>
      </c>
      <c r="AG1146" t="s">
        <v>58</v>
      </c>
      <c r="AH1146">
        <v>20</v>
      </c>
      <c r="AI1146" t="s">
        <v>59</v>
      </c>
      <c r="AJ1146" t="s">
        <v>71</v>
      </c>
      <c r="AL1146" t="s">
        <v>72</v>
      </c>
      <c r="AM1146" t="s">
        <v>62</v>
      </c>
      <c r="AN1146" t="s">
        <v>63</v>
      </c>
      <c r="AO1146" t="s">
        <v>5357</v>
      </c>
      <c r="AP1146" t="s">
        <v>5980</v>
      </c>
    </row>
    <row r="1147" spans="1:42" x14ac:dyDescent="0.45">
      <c r="A1147" t="s">
        <v>5344</v>
      </c>
      <c r="B1147" t="s">
        <v>5345</v>
      </c>
      <c r="C1147" t="s">
        <v>5346</v>
      </c>
      <c r="D1147">
        <v>2022</v>
      </c>
      <c r="E1147" t="s">
        <v>783</v>
      </c>
      <c r="F1147" t="s">
        <v>5347</v>
      </c>
      <c r="G1147">
        <v>66</v>
      </c>
      <c r="J1147" t="s">
        <v>5984</v>
      </c>
      <c r="K1147" t="s">
        <v>5985</v>
      </c>
      <c r="L1147" t="s">
        <v>5986</v>
      </c>
      <c r="M1147" t="s">
        <v>5987</v>
      </c>
      <c r="N1147" t="s">
        <v>5352</v>
      </c>
      <c r="O1147" t="s">
        <v>5353</v>
      </c>
      <c r="P1147" t="s">
        <v>223</v>
      </c>
      <c r="Q1147" t="s">
        <v>5354</v>
      </c>
      <c r="S1147">
        <v>130</v>
      </c>
      <c r="T1147" t="s">
        <v>5988</v>
      </c>
      <c r="U1147">
        <v>4274</v>
      </c>
      <c r="V1147">
        <v>4561</v>
      </c>
      <c r="W1147">
        <v>0.93710000000000004</v>
      </c>
      <c r="X1147" t="s">
        <v>70</v>
      </c>
      <c r="Y1147" t="s">
        <v>5356</v>
      </c>
      <c r="Z1147">
        <v>949.75</v>
      </c>
      <c r="AA1147">
        <v>216.01</v>
      </c>
      <c r="AB1147">
        <v>205151</v>
      </c>
      <c r="AC1147" t="b">
        <v>1</v>
      </c>
      <c r="AD1147" t="b">
        <v>1</v>
      </c>
      <c r="AE1147" t="b">
        <v>0</v>
      </c>
      <c r="AF1147" t="b">
        <v>0</v>
      </c>
      <c r="AG1147" t="s">
        <v>58</v>
      </c>
      <c r="AH1147">
        <v>20</v>
      </c>
      <c r="AI1147" t="s">
        <v>59</v>
      </c>
      <c r="AJ1147" t="s">
        <v>71</v>
      </c>
      <c r="AL1147" t="s">
        <v>72</v>
      </c>
      <c r="AM1147" t="s">
        <v>62</v>
      </c>
      <c r="AN1147" t="s">
        <v>63</v>
      </c>
      <c r="AO1147" t="s">
        <v>5357</v>
      </c>
      <c r="AP1147" t="s">
        <v>5985</v>
      </c>
    </row>
    <row r="1148" spans="1:42" x14ac:dyDescent="0.45">
      <c r="A1148" t="s">
        <v>5344</v>
      </c>
      <c r="B1148" t="s">
        <v>5345</v>
      </c>
      <c r="C1148" t="s">
        <v>5346</v>
      </c>
      <c r="D1148">
        <v>2022</v>
      </c>
      <c r="E1148" t="s">
        <v>783</v>
      </c>
      <c r="F1148" t="s">
        <v>5347</v>
      </c>
      <c r="G1148">
        <v>59</v>
      </c>
      <c r="J1148" t="s">
        <v>5989</v>
      </c>
      <c r="K1148" t="s">
        <v>5990</v>
      </c>
      <c r="L1148" t="s">
        <v>5991</v>
      </c>
      <c r="M1148" t="s">
        <v>5992</v>
      </c>
      <c r="N1148" t="s">
        <v>5352</v>
      </c>
      <c r="O1148" t="s">
        <v>5353</v>
      </c>
      <c r="P1148" t="s">
        <v>223</v>
      </c>
      <c r="Q1148" t="s">
        <v>5354</v>
      </c>
      <c r="S1148">
        <v>136</v>
      </c>
      <c r="T1148" t="s">
        <v>5993</v>
      </c>
      <c r="U1148">
        <v>3908</v>
      </c>
      <c r="V1148">
        <v>4561</v>
      </c>
      <c r="W1148">
        <v>0.85680000000000001</v>
      </c>
      <c r="X1148" t="s">
        <v>70</v>
      </c>
      <c r="Y1148" t="s">
        <v>5356</v>
      </c>
      <c r="Z1148">
        <v>998.75</v>
      </c>
      <c r="AA1148">
        <v>203.95</v>
      </c>
      <c r="AB1148">
        <v>203691</v>
      </c>
      <c r="AC1148" t="b">
        <v>1</v>
      </c>
      <c r="AD1148" t="b">
        <v>1</v>
      </c>
      <c r="AE1148" t="b">
        <v>0</v>
      </c>
      <c r="AF1148" t="b">
        <v>0</v>
      </c>
      <c r="AG1148" t="s">
        <v>58</v>
      </c>
      <c r="AH1148">
        <v>20</v>
      </c>
      <c r="AI1148" t="s">
        <v>59</v>
      </c>
      <c r="AJ1148" t="s">
        <v>71</v>
      </c>
      <c r="AL1148" t="s">
        <v>72</v>
      </c>
      <c r="AM1148" t="s">
        <v>62</v>
      </c>
      <c r="AN1148" t="s">
        <v>63</v>
      </c>
      <c r="AO1148" t="s">
        <v>5357</v>
      </c>
      <c r="AP1148" t="s">
        <v>5990</v>
      </c>
    </row>
    <row r="1149" spans="1:42" x14ac:dyDescent="0.45">
      <c r="A1149" t="s">
        <v>5344</v>
      </c>
      <c r="B1149" t="s">
        <v>5345</v>
      </c>
      <c r="C1149" t="s">
        <v>5346</v>
      </c>
      <c r="D1149">
        <v>2022</v>
      </c>
      <c r="E1149" t="s">
        <v>783</v>
      </c>
      <c r="F1149" t="s">
        <v>5347</v>
      </c>
      <c r="G1149">
        <v>53</v>
      </c>
      <c r="J1149" t="s">
        <v>5994</v>
      </c>
      <c r="K1149" t="s">
        <v>5995</v>
      </c>
      <c r="L1149" t="s">
        <v>5996</v>
      </c>
      <c r="M1149" t="s">
        <v>5997</v>
      </c>
      <c r="N1149" t="s">
        <v>5352</v>
      </c>
      <c r="O1149" t="s">
        <v>5353</v>
      </c>
      <c r="P1149" t="s">
        <v>223</v>
      </c>
      <c r="Q1149" t="s">
        <v>5354</v>
      </c>
      <c r="S1149">
        <v>142</v>
      </c>
      <c r="T1149" t="s">
        <v>5998</v>
      </c>
      <c r="U1149">
        <v>4001</v>
      </c>
      <c r="V1149">
        <v>4561</v>
      </c>
      <c r="W1149">
        <v>0.87719999999999998</v>
      </c>
      <c r="X1149" t="s">
        <v>70</v>
      </c>
      <c r="Y1149" t="s">
        <v>5356</v>
      </c>
      <c r="Z1149">
        <v>1040.75</v>
      </c>
      <c r="AA1149">
        <v>344.58</v>
      </c>
      <c r="AB1149">
        <v>358626</v>
      </c>
      <c r="AC1149" t="b">
        <v>1</v>
      </c>
      <c r="AD1149" t="b">
        <v>1</v>
      </c>
      <c r="AE1149" t="b">
        <v>0</v>
      </c>
      <c r="AF1149" t="b">
        <v>0</v>
      </c>
      <c r="AG1149" t="s">
        <v>58</v>
      </c>
      <c r="AH1149">
        <v>20</v>
      </c>
      <c r="AI1149" t="s">
        <v>59</v>
      </c>
      <c r="AJ1149" t="s">
        <v>71</v>
      </c>
      <c r="AL1149" t="s">
        <v>72</v>
      </c>
      <c r="AM1149" t="s">
        <v>62</v>
      </c>
      <c r="AN1149" t="s">
        <v>63</v>
      </c>
      <c r="AO1149" t="s">
        <v>5357</v>
      </c>
      <c r="AP1149" t="s">
        <v>5995</v>
      </c>
    </row>
    <row r="1150" spans="1:42" x14ac:dyDescent="0.45">
      <c r="A1150" t="s">
        <v>5344</v>
      </c>
      <c r="B1150" t="s">
        <v>5345</v>
      </c>
      <c r="C1150" t="s">
        <v>5346</v>
      </c>
      <c r="D1150">
        <v>2022</v>
      </c>
      <c r="E1150" t="s">
        <v>783</v>
      </c>
      <c r="F1150" t="s">
        <v>5347</v>
      </c>
      <c r="G1150">
        <v>161</v>
      </c>
      <c r="J1150" t="s">
        <v>5999</v>
      </c>
      <c r="K1150" t="s">
        <v>6000</v>
      </c>
      <c r="L1150" t="s">
        <v>6001</v>
      </c>
      <c r="M1150" t="s">
        <v>6002</v>
      </c>
      <c r="N1150" t="s">
        <v>5352</v>
      </c>
      <c r="O1150" t="s">
        <v>5353</v>
      </c>
      <c r="P1150" t="s">
        <v>223</v>
      </c>
      <c r="Q1150" t="s">
        <v>5354</v>
      </c>
      <c r="S1150">
        <v>35</v>
      </c>
      <c r="T1150" t="s">
        <v>6003</v>
      </c>
      <c r="U1150">
        <v>5430</v>
      </c>
      <c r="V1150">
        <v>4561</v>
      </c>
      <c r="W1150">
        <v>1.1904999999999999</v>
      </c>
      <c r="X1150" t="s">
        <v>70</v>
      </c>
      <c r="Y1150" t="s">
        <v>5356</v>
      </c>
      <c r="Z1150">
        <v>263.79000000000002</v>
      </c>
      <c r="AA1150">
        <v>535.1</v>
      </c>
      <c r="AB1150">
        <v>141151</v>
      </c>
      <c r="AC1150" t="b">
        <v>1</v>
      </c>
      <c r="AD1150" t="b">
        <v>1</v>
      </c>
      <c r="AE1150" t="b">
        <v>0</v>
      </c>
      <c r="AF1150" t="b">
        <v>0</v>
      </c>
      <c r="AG1150" t="s">
        <v>58</v>
      </c>
      <c r="AH1150">
        <v>20</v>
      </c>
      <c r="AI1150" t="s">
        <v>59</v>
      </c>
      <c r="AJ1150" t="s">
        <v>71</v>
      </c>
      <c r="AL1150" t="s">
        <v>72</v>
      </c>
      <c r="AM1150" t="s">
        <v>62</v>
      </c>
      <c r="AN1150" t="s">
        <v>63</v>
      </c>
      <c r="AO1150" t="s">
        <v>5357</v>
      </c>
      <c r="AP1150" t="s">
        <v>6000</v>
      </c>
    </row>
    <row r="1151" spans="1:42" x14ac:dyDescent="0.45">
      <c r="A1151" t="s">
        <v>5344</v>
      </c>
      <c r="B1151" t="s">
        <v>5345</v>
      </c>
      <c r="C1151" t="s">
        <v>5346</v>
      </c>
      <c r="D1151">
        <v>2022</v>
      </c>
      <c r="E1151" t="s">
        <v>783</v>
      </c>
      <c r="F1151" t="s">
        <v>5347</v>
      </c>
      <c r="G1151">
        <v>55</v>
      </c>
      <c r="J1151" t="s">
        <v>6004</v>
      </c>
      <c r="K1151" t="s">
        <v>6005</v>
      </c>
      <c r="L1151" t="s">
        <v>6006</v>
      </c>
      <c r="M1151" t="s">
        <v>6007</v>
      </c>
      <c r="N1151" t="s">
        <v>5352</v>
      </c>
      <c r="O1151" t="s">
        <v>5353</v>
      </c>
      <c r="P1151" t="s">
        <v>223</v>
      </c>
      <c r="Q1151" t="s">
        <v>5354</v>
      </c>
      <c r="S1151">
        <v>140</v>
      </c>
      <c r="T1151" t="s">
        <v>6008</v>
      </c>
      <c r="U1151">
        <v>4092</v>
      </c>
      <c r="V1151">
        <v>4561</v>
      </c>
      <c r="W1151">
        <v>0.8972</v>
      </c>
      <c r="X1151" t="s">
        <v>70</v>
      </c>
      <c r="Y1151" t="s">
        <v>5356</v>
      </c>
      <c r="Z1151">
        <v>1026.75</v>
      </c>
      <c r="AA1151">
        <v>221.84</v>
      </c>
      <c r="AB1151">
        <v>227778</v>
      </c>
      <c r="AC1151" t="b">
        <v>1</v>
      </c>
      <c r="AD1151" t="b">
        <v>1</v>
      </c>
      <c r="AE1151" t="b">
        <v>0</v>
      </c>
      <c r="AF1151" t="b">
        <v>0</v>
      </c>
      <c r="AG1151" t="s">
        <v>58</v>
      </c>
      <c r="AH1151">
        <v>20</v>
      </c>
      <c r="AI1151" t="s">
        <v>59</v>
      </c>
      <c r="AJ1151" t="s">
        <v>71</v>
      </c>
      <c r="AL1151" t="s">
        <v>72</v>
      </c>
      <c r="AM1151" t="s">
        <v>62</v>
      </c>
      <c r="AN1151" t="s">
        <v>63</v>
      </c>
      <c r="AO1151" t="s">
        <v>5357</v>
      </c>
      <c r="AP1151" t="s">
        <v>6005</v>
      </c>
    </row>
    <row r="1152" spans="1:42" x14ac:dyDescent="0.45">
      <c r="A1152" t="s">
        <v>5344</v>
      </c>
      <c r="B1152" t="s">
        <v>5345</v>
      </c>
      <c r="C1152" t="s">
        <v>5346</v>
      </c>
      <c r="D1152">
        <v>2022</v>
      </c>
      <c r="E1152" t="s">
        <v>783</v>
      </c>
      <c r="F1152" t="s">
        <v>5347</v>
      </c>
      <c r="G1152">
        <v>51</v>
      </c>
      <c r="J1152" t="s">
        <v>6009</v>
      </c>
      <c r="K1152" t="s">
        <v>6010</v>
      </c>
      <c r="L1152" t="s">
        <v>6011</v>
      </c>
      <c r="M1152" t="s">
        <v>6012</v>
      </c>
      <c r="N1152" t="s">
        <v>5352</v>
      </c>
      <c r="O1152" t="s">
        <v>5353</v>
      </c>
      <c r="P1152" t="s">
        <v>223</v>
      </c>
      <c r="Q1152" t="s">
        <v>5354</v>
      </c>
      <c r="S1152">
        <v>144</v>
      </c>
      <c r="T1152" t="s">
        <v>6013</v>
      </c>
      <c r="U1152">
        <v>4016</v>
      </c>
      <c r="V1152">
        <v>4561</v>
      </c>
      <c r="W1152">
        <v>0.88049999999999995</v>
      </c>
      <c r="X1152" t="s">
        <v>70</v>
      </c>
      <c r="Y1152" t="s">
        <v>5356</v>
      </c>
      <c r="Z1152">
        <v>1054.75</v>
      </c>
      <c r="AA1152">
        <v>211.76</v>
      </c>
      <c r="AB1152">
        <v>223351</v>
      </c>
      <c r="AC1152" t="b">
        <v>1</v>
      </c>
      <c r="AD1152" t="b">
        <v>1</v>
      </c>
      <c r="AE1152" t="b">
        <v>0</v>
      </c>
      <c r="AF1152" t="b">
        <v>0</v>
      </c>
      <c r="AG1152" t="s">
        <v>58</v>
      </c>
      <c r="AH1152">
        <v>20</v>
      </c>
      <c r="AI1152" t="s">
        <v>59</v>
      </c>
      <c r="AJ1152" t="s">
        <v>71</v>
      </c>
      <c r="AL1152" t="s">
        <v>72</v>
      </c>
      <c r="AM1152" t="s">
        <v>62</v>
      </c>
      <c r="AN1152" t="s">
        <v>63</v>
      </c>
      <c r="AO1152" t="s">
        <v>5357</v>
      </c>
      <c r="AP1152" t="s">
        <v>6010</v>
      </c>
    </row>
    <row r="1153" spans="1:42" x14ac:dyDescent="0.45">
      <c r="A1153" t="s">
        <v>5344</v>
      </c>
      <c r="B1153" t="s">
        <v>5345</v>
      </c>
      <c r="C1153" t="s">
        <v>5346</v>
      </c>
      <c r="D1153">
        <v>2022</v>
      </c>
      <c r="E1153" t="s">
        <v>783</v>
      </c>
      <c r="F1153" t="s">
        <v>5347</v>
      </c>
      <c r="G1153">
        <v>152</v>
      </c>
      <c r="J1153" t="s">
        <v>6014</v>
      </c>
      <c r="K1153" t="s">
        <v>6015</v>
      </c>
      <c r="L1153" t="s">
        <v>6016</v>
      </c>
      <c r="M1153" t="s">
        <v>6017</v>
      </c>
      <c r="N1153" t="s">
        <v>5352</v>
      </c>
      <c r="O1153" t="s">
        <v>5353</v>
      </c>
      <c r="P1153" t="s">
        <v>223</v>
      </c>
      <c r="Q1153" t="s">
        <v>5354</v>
      </c>
      <c r="S1153">
        <v>44</v>
      </c>
      <c r="T1153" t="s">
        <v>6018</v>
      </c>
      <c r="U1153">
        <v>4826</v>
      </c>
      <c r="V1153">
        <v>4561</v>
      </c>
      <c r="W1153">
        <v>1.0581</v>
      </c>
      <c r="X1153" t="s">
        <v>70</v>
      </c>
      <c r="Y1153" t="s">
        <v>5356</v>
      </c>
      <c r="Z1153">
        <v>326.75</v>
      </c>
      <c r="AA1153">
        <v>739.09</v>
      </c>
      <c r="AB1153">
        <v>241497</v>
      </c>
      <c r="AC1153" t="b">
        <v>1</v>
      </c>
      <c r="AD1153" t="b">
        <v>1</v>
      </c>
      <c r="AE1153" t="b">
        <v>0</v>
      </c>
      <c r="AF1153" t="b">
        <v>0</v>
      </c>
      <c r="AG1153" t="s">
        <v>58</v>
      </c>
      <c r="AH1153">
        <v>20</v>
      </c>
      <c r="AI1153" t="s">
        <v>59</v>
      </c>
      <c r="AJ1153" t="s">
        <v>71</v>
      </c>
      <c r="AL1153" t="s">
        <v>72</v>
      </c>
      <c r="AM1153" t="s">
        <v>62</v>
      </c>
      <c r="AN1153" t="s">
        <v>63</v>
      </c>
      <c r="AO1153" t="s">
        <v>5357</v>
      </c>
      <c r="AP1153" t="s">
        <v>6015</v>
      </c>
    </row>
    <row r="1154" spans="1:42" x14ac:dyDescent="0.45">
      <c r="A1154" t="s">
        <v>5344</v>
      </c>
      <c r="B1154" t="s">
        <v>5345</v>
      </c>
      <c r="C1154" t="s">
        <v>5346</v>
      </c>
      <c r="D1154">
        <v>2022</v>
      </c>
      <c r="E1154" t="s">
        <v>783</v>
      </c>
      <c r="F1154" t="s">
        <v>5347</v>
      </c>
      <c r="G1154">
        <v>149</v>
      </c>
      <c r="J1154" t="s">
        <v>6019</v>
      </c>
      <c r="K1154" t="s">
        <v>6020</v>
      </c>
      <c r="L1154" t="s">
        <v>6021</v>
      </c>
      <c r="M1154" t="s">
        <v>6022</v>
      </c>
      <c r="N1154" t="s">
        <v>5352</v>
      </c>
      <c r="O1154" t="s">
        <v>5353</v>
      </c>
      <c r="P1154" t="s">
        <v>223</v>
      </c>
      <c r="Q1154" t="s">
        <v>5354</v>
      </c>
      <c r="S1154">
        <v>47</v>
      </c>
      <c r="T1154" t="s">
        <v>6023</v>
      </c>
      <c r="U1154">
        <v>5718</v>
      </c>
      <c r="V1154">
        <v>4561</v>
      </c>
      <c r="W1154">
        <v>1.2537</v>
      </c>
      <c r="X1154" t="s">
        <v>70</v>
      </c>
      <c r="Y1154" t="s">
        <v>5356</v>
      </c>
      <c r="Z1154">
        <v>347.75</v>
      </c>
      <c r="AA1154">
        <v>604.19000000000005</v>
      </c>
      <c r="AB1154">
        <v>210109</v>
      </c>
      <c r="AC1154" t="b">
        <v>1</v>
      </c>
      <c r="AD1154" t="b">
        <v>1</v>
      </c>
      <c r="AE1154" t="b">
        <v>0</v>
      </c>
      <c r="AF1154" t="b">
        <v>0</v>
      </c>
      <c r="AG1154" t="s">
        <v>58</v>
      </c>
      <c r="AH1154">
        <v>20</v>
      </c>
      <c r="AI1154" t="s">
        <v>59</v>
      </c>
      <c r="AJ1154" t="s">
        <v>71</v>
      </c>
      <c r="AL1154" t="s">
        <v>72</v>
      </c>
      <c r="AM1154" t="s">
        <v>62</v>
      </c>
      <c r="AN1154" t="s">
        <v>63</v>
      </c>
      <c r="AO1154" t="s">
        <v>5357</v>
      </c>
      <c r="AP1154" t="s">
        <v>6020</v>
      </c>
    </row>
    <row r="1155" spans="1:42" x14ac:dyDescent="0.45">
      <c r="A1155" t="s">
        <v>5344</v>
      </c>
      <c r="B1155" t="s">
        <v>5345</v>
      </c>
      <c r="C1155" t="s">
        <v>5346</v>
      </c>
      <c r="D1155">
        <v>2022</v>
      </c>
      <c r="E1155" t="s">
        <v>783</v>
      </c>
      <c r="F1155" t="s">
        <v>5347</v>
      </c>
      <c r="G1155">
        <v>56</v>
      </c>
      <c r="J1155" t="s">
        <v>6024</v>
      </c>
      <c r="K1155" t="s">
        <v>6025</v>
      </c>
      <c r="L1155" t="s">
        <v>6026</v>
      </c>
      <c r="M1155" t="s">
        <v>6027</v>
      </c>
      <c r="N1155" t="s">
        <v>5352</v>
      </c>
      <c r="O1155" t="s">
        <v>5353</v>
      </c>
      <c r="P1155" t="s">
        <v>223</v>
      </c>
      <c r="Q1155" t="s">
        <v>5354</v>
      </c>
      <c r="S1155">
        <v>139</v>
      </c>
      <c r="T1155" t="s">
        <v>6028</v>
      </c>
      <c r="U1155">
        <v>4250</v>
      </c>
      <c r="V1155">
        <v>4561</v>
      </c>
      <c r="W1155">
        <v>0.93179999999999996</v>
      </c>
      <c r="X1155" t="s">
        <v>70</v>
      </c>
      <c r="Y1155" t="s">
        <v>5356</v>
      </c>
      <c r="Z1155">
        <v>1019.75</v>
      </c>
      <c r="AA1155">
        <v>283.66000000000003</v>
      </c>
      <c r="AB1155">
        <v>289261</v>
      </c>
      <c r="AC1155" t="b">
        <v>1</v>
      </c>
      <c r="AD1155" t="b">
        <v>1</v>
      </c>
      <c r="AE1155" t="b">
        <v>0</v>
      </c>
      <c r="AF1155" t="b">
        <v>0</v>
      </c>
      <c r="AG1155" t="s">
        <v>58</v>
      </c>
      <c r="AH1155">
        <v>20</v>
      </c>
      <c r="AI1155" t="s">
        <v>59</v>
      </c>
      <c r="AJ1155" t="s">
        <v>71</v>
      </c>
      <c r="AL1155" t="s">
        <v>72</v>
      </c>
      <c r="AM1155" t="s">
        <v>62</v>
      </c>
      <c r="AN1155" t="s">
        <v>63</v>
      </c>
      <c r="AO1155" t="s">
        <v>5357</v>
      </c>
      <c r="AP1155" t="s">
        <v>6025</v>
      </c>
    </row>
    <row r="1156" spans="1:42" x14ac:dyDescent="0.45">
      <c r="A1156" t="s">
        <v>5344</v>
      </c>
      <c r="B1156" t="s">
        <v>5345</v>
      </c>
      <c r="C1156" t="s">
        <v>5346</v>
      </c>
      <c r="D1156">
        <v>2022</v>
      </c>
      <c r="E1156" t="s">
        <v>783</v>
      </c>
      <c r="F1156" t="s">
        <v>5347</v>
      </c>
      <c r="G1156">
        <v>57</v>
      </c>
      <c r="J1156" t="s">
        <v>6029</v>
      </c>
      <c r="K1156" t="s">
        <v>6030</v>
      </c>
      <c r="L1156" t="s">
        <v>6031</v>
      </c>
      <c r="M1156" t="s">
        <v>6032</v>
      </c>
      <c r="N1156" t="s">
        <v>5352</v>
      </c>
      <c r="O1156" t="s">
        <v>5353</v>
      </c>
      <c r="P1156" t="s">
        <v>223</v>
      </c>
      <c r="Q1156" t="s">
        <v>5354</v>
      </c>
      <c r="S1156">
        <v>138</v>
      </c>
      <c r="T1156" t="s">
        <v>6033</v>
      </c>
      <c r="U1156">
        <v>4137</v>
      </c>
      <c r="V1156">
        <v>4561</v>
      </c>
      <c r="W1156">
        <v>0.90700000000000003</v>
      </c>
      <c r="X1156" t="s">
        <v>70</v>
      </c>
      <c r="Y1156" t="s">
        <v>5356</v>
      </c>
      <c r="Z1156">
        <v>1012.75</v>
      </c>
      <c r="AA1156">
        <v>444.32</v>
      </c>
      <c r="AB1156">
        <v>449984</v>
      </c>
      <c r="AC1156" t="b">
        <v>1</v>
      </c>
      <c r="AD1156" t="b">
        <v>1</v>
      </c>
      <c r="AE1156" t="b">
        <v>0</v>
      </c>
      <c r="AF1156" t="b">
        <v>0</v>
      </c>
      <c r="AG1156" t="s">
        <v>58</v>
      </c>
      <c r="AH1156">
        <v>20</v>
      </c>
      <c r="AI1156" t="s">
        <v>59</v>
      </c>
      <c r="AJ1156" t="s">
        <v>71</v>
      </c>
      <c r="AL1156" t="s">
        <v>72</v>
      </c>
      <c r="AM1156" t="s">
        <v>62</v>
      </c>
      <c r="AN1156" t="s">
        <v>63</v>
      </c>
      <c r="AO1156" t="s">
        <v>5357</v>
      </c>
      <c r="AP1156" t="s">
        <v>6030</v>
      </c>
    </row>
    <row r="1157" spans="1:42" x14ac:dyDescent="0.45">
      <c r="A1157" t="s">
        <v>5344</v>
      </c>
      <c r="B1157" t="s">
        <v>5345</v>
      </c>
      <c r="C1157" t="s">
        <v>5346</v>
      </c>
      <c r="D1157">
        <v>2022</v>
      </c>
      <c r="E1157" t="s">
        <v>783</v>
      </c>
      <c r="F1157" t="s">
        <v>5347</v>
      </c>
      <c r="G1157">
        <v>120</v>
      </c>
      <c r="J1157" t="s">
        <v>6034</v>
      </c>
      <c r="K1157" t="s">
        <v>6035</v>
      </c>
      <c r="L1157" t="s">
        <v>6036</v>
      </c>
      <c r="M1157" t="s">
        <v>6037</v>
      </c>
      <c r="N1157" t="s">
        <v>5352</v>
      </c>
      <c r="O1157" t="s">
        <v>5353</v>
      </c>
      <c r="P1157" t="s">
        <v>223</v>
      </c>
      <c r="Q1157" t="s">
        <v>5354</v>
      </c>
      <c r="S1157">
        <v>75</v>
      </c>
      <c r="T1157" t="s">
        <v>6038</v>
      </c>
      <c r="U1157">
        <v>4043</v>
      </c>
      <c r="V1157">
        <v>4561</v>
      </c>
      <c r="W1157">
        <v>0.88639999999999997</v>
      </c>
      <c r="X1157" t="s">
        <v>70</v>
      </c>
      <c r="Y1157" t="s">
        <v>5356</v>
      </c>
      <c r="Z1157">
        <v>550.75</v>
      </c>
      <c r="AA1157">
        <v>163.63999999999999</v>
      </c>
      <c r="AB1157">
        <v>90123</v>
      </c>
      <c r="AC1157" t="b">
        <v>1</v>
      </c>
      <c r="AD1157" t="b">
        <v>1</v>
      </c>
      <c r="AE1157" t="b">
        <v>0</v>
      </c>
      <c r="AF1157" t="b">
        <v>0</v>
      </c>
      <c r="AG1157" t="s">
        <v>58</v>
      </c>
      <c r="AH1157">
        <v>20</v>
      </c>
      <c r="AI1157" t="s">
        <v>59</v>
      </c>
      <c r="AJ1157" t="s">
        <v>71</v>
      </c>
      <c r="AL1157" t="s">
        <v>72</v>
      </c>
      <c r="AM1157" t="s">
        <v>62</v>
      </c>
      <c r="AN1157" t="s">
        <v>63</v>
      </c>
      <c r="AO1157" t="s">
        <v>5357</v>
      </c>
      <c r="AP1157" t="s">
        <v>6035</v>
      </c>
    </row>
    <row r="1158" spans="1:42" x14ac:dyDescent="0.45">
      <c r="A1158" t="s">
        <v>5344</v>
      </c>
      <c r="B1158" t="s">
        <v>5345</v>
      </c>
      <c r="C1158" t="s">
        <v>5346</v>
      </c>
      <c r="D1158">
        <v>2022</v>
      </c>
      <c r="E1158" t="s">
        <v>783</v>
      </c>
      <c r="F1158" t="s">
        <v>5347</v>
      </c>
      <c r="G1158">
        <v>145</v>
      </c>
      <c r="J1158" t="s">
        <v>6039</v>
      </c>
      <c r="K1158" t="s">
        <v>6040</v>
      </c>
      <c r="L1158" t="s">
        <v>6041</v>
      </c>
      <c r="M1158" t="s">
        <v>6042</v>
      </c>
      <c r="N1158" t="s">
        <v>5352</v>
      </c>
      <c r="O1158" t="s">
        <v>5353</v>
      </c>
      <c r="P1158" t="s">
        <v>223</v>
      </c>
      <c r="Q1158" t="s">
        <v>5354</v>
      </c>
      <c r="S1158">
        <v>51</v>
      </c>
      <c r="T1158" t="s">
        <v>6043</v>
      </c>
      <c r="U1158">
        <v>5949</v>
      </c>
      <c r="V1158">
        <v>4561</v>
      </c>
      <c r="W1158">
        <v>1.3043</v>
      </c>
      <c r="X1158" t="s">
        <v>70</v>
      </c>
      <c r="Y1158" t="s">
        <v>5356</v>
      </c>
      <c r="Z1158">
        <v>375.75</v>
      </c>
      <c r="AA1158">
        <v>469.33</v>
      </c>
      <c r="AB1158">
        <v>176351</v>
      </c>
      <c r="AC1158" t="b">
        <v>1</v>
      </c>
      <c r="AD1158" t="b">
        <v>1</v>
      </c>
      <c r="AE1158" t="b">
        <v>0</v>
      </c>
      <c r="AF1158" t="b">
        <v>0</v>
      </c>
      <c r="AG1158" t="s">
        <v>58</v>
      </c>
      <c r="AH1158">
        <v>20</v>
      </c>
      <c r="AI1158" t="s">
        <v>59</v>
      </c>
      <c r="AJ1158" t="s">
        <v>71</v>
      </c>
      <c r="AL1158" t="s">
        <v>72</v>
      </c>
      <c r="AM1158" t="s">
        <v>62</v>
      </c>
      <c r="AN1158" t="s">
        <v>63</v>
      </c>
      <c r="AO1158" t="s">
        <v>5357</v>
      </c>
      <c r="AP1158" t="s">
        <v>6040</v>
      </c>
    </row>
    <row r="1159" spans="1:42" x14ac:dyDescent="0.45">
      <c r="A1159" t="s">
        <v>5344</v>
      </c>
      <c r="B1159" t="s">
        <v>5345</v>
      </c>
      <c r="C1159" t="s">
        <v>5346</v>
      </c>
      <c r="D1159">
        <v>2022</v>
      </c>
      <c r="E1159" t="s">
        <v>783</v>
      </c>
      <c r="F1159" t="s">
        <v>5347</v>
      </c>
      <c r="G1159">
        <v>121</v>
      </c>
      <c r="J1159" t="s">
        <v>6044</v>
      </c>
      <c r="K1159" t="s">
        <v>6045</v>
      </c>
      <c r="L1159" t="s">
        <v>6046</v>
      </c>
      <c r="M1159" t="s">
        <v>6047</v>
      </c>
      <c r="N1159" t="s">
        <v>5352</v>
      </c>
      <c r="O1159" t="s">
        <v>5353</v>
      </c>
      <c r="P1159" t="s">
        <v>223</v>
      </c>
      <c r="Q1159" t="s">
        <v>5354</v>
      </c>
      <c r="S1159">
        <v>74</v>
      </c>
      <c r="T1159" t="s">
        <v>6048</v>
      </c>
      <c r="U1159">
        <v>4690</v>
      </c>
      <c r="V1159">
        <v>4561</v>
      </c>
      <c r="W1159">
        <v>1.0283</v>
      </c>
      <c r="X1159" t="s">
        <v>70</v>
      </c>
      <c r="Y1159" t="s">
        <v>5356</v>
      </c>
      <c r="Z1159">
        <v>543.75</v>
      </c>
      <c r="AA1159">
        <v>404.17</v>
      </c>
      <c r="AB1159">
        <v>219770</v>
      </c>
      <c r="AC1159" t="b">
        <v>1</v>
      </c>
      <c r="AD1159" t="b">
        <v>1</v>
      </c>
      <c r="AE1159" t="b">
        <v>0</v>
      </c>
      <c r="AF1159" t="b">
        <v>0</v>
      </c>
      <c r="AG1159" t="s">
        <v>58</v>
      </c>
      <c r="AH1159">
        <v>20</v>
      </c>
      <c r="AI1159" t="s">
        <v>59</v>
      </c>
      <c r="AJ1159" t="s">
        <v>71</v>
      </c>
      <c r="AL1159" t="s">
        <v>72</v>
      </c>
      <c r="AM1159" t="s">
        <v>62</v>
      </c>
      <c r="AN1159" t="s">
        <v>63</v>
      </c>
      <c r="AO1159" t="s">
        <v>5357</v>
      </c>
      <c r="AP1159" t="s">
        <v>6045</v>
      </c>
    </row>
    <row r="1160" spans="1:42" x14ac:dyDescent="0.45">
      <c r="A1160" t="s">
        <v>5344</v>
      </c>
      <c r="B1160" t="s">
        <v>5345</v>
      </c>
      <c r="C1160" t="s">
        <v>5346</v>
      </c>
      <c r="D1160">
        <v>2022</v>
      </c>
      <c r="E1160" t="s">
        <v>783</v>
      </c>
      <c r="F1160" t="s">
        <v>5347</v>
      </c>
      <c r="G1160">
        <v>127</v>
      </c>
      <c r="J1160" t="s">
        <v>6049</v>
      </c>
      <c r="K1160" t="s">
        <v>6050</v>
      </c>
      <c r="L1160" t="s">
        <v>6051</v>
      </c>
      <c r="M1160" t="s">
        <v>6052</v>
      </c>
      <c r="N1160" t="s">
        <v>5352</v>
      </c>
      <c r="O1160" t="s">
        <v>5353</v>
      </c>
      <c r="P1160" t="s">
        <v>223</v>
      </c>
      <c r="Q1160" t="s">
        <v>5354</v>
      </c>
      <c r="S1160">
        <v>68</v>
      </c>
      <c r="T1160" t="s">
        <v>6053</v>
      </c>
      <c r="U1160">
        <v>5358</v>
      </c>
      <c r="V1160">
        <v>4561</v>
      </c>
      <c r="W1160">
        <v>1.1747000000000001</v>
      </c>
      <c r="X1160" t="s">
        <v>70</v>
      </c>
      <c r="Y1160" t="s">
        <v>5356</v>
      </c>
      <c r="Z1160">
        <v>501.75</v>
      </c>
      <c r="AA1160">
        <v>498.74</v>
      </c>
      <c r="AB1160">
        <v>250243</v>
      </c>
      <c r="AC1160" t="b">
        <v>1</v>
      </c>
      <c r="AD1160" t="b">
        <v>1</v>
      </c>
      <c r="AE1160" t="b">
        <v>0</v>
      </c>
      <c r="AF1160" t="b">
        <v>0</v>
      </c>
      <c r="AG1160" t="s">
        <v>58</v>
      </c>
      <c r="AH1160">
        <v>20</v>
      </c>
      <c r="AI1160" t="s">
        <v>59</v>
      </c>
      <c r="AJ1160" t="s">
        <v>71</v>
      </c>
      <c r="AL1160" t="s">
        <v>72</v>
      </c>
      <c r="AM1160" t="s">
        <v>62</v>
      </c>
      <c r="AN1160" t="s">
        <v>63</v>
      </c>
      <c r="AO1160" t="s">
        <v>5357</v>
      </c>
      <c r="AP1160" t="s">
        <v>6050</v>
      </c>
    </row>
    <row r="1161" spans="1:42" x14ac:dyDescent="0.45">
      <c r="A1161" t="s">
        <v>5344</v>
      </c>
      <c r="B1161" t="s">
        <v>5345</v>
      </c>
      <c r="C1161" t="s">
        <v>5346</v>
      </c>
      <c r="D1161">
        <v>2022</v>
      </c>
      <c r="E1161" t="s">
        <v>783</v>
      </c>
      <c r="F1161" t="s">
        <v>5347</v>
      </c>
      <c r="J1161" t="s">
        <v>6054</v>
      </c>
      <c r="K1161" t="s">
        <v>6055</v>
      </c>
      <c r="L1161" t="s">
        <v>6056</v>
      </c>
      <c r="M1161" t="s">
        <v>6057</v>
      </c>
      <c r="N1161" t="s">
        <v>5352</v>
      </c>
      <c r="O1161" t="s">
        <v>5353</v>
      </c>
      <c r="P1161" t="s">
        <v>223</v>
      </c>
      <c r="Q1161" t="s">
        <v>5354</v>
      </c>
      <c r="S1161">
        <v>31</v>
      </c>
      <c r="T1161" t="s">
        <v>6058</v>
      </c>
      <c r="U1161">
        <v>5187</v>
      </c>
      <c r="V1161">
        <v>4561</v>
      </c>
      <c r="W1161">
        <v>1.1373</v>
      </c>
      <c r="X1161" t="s">
        <v>70</v>
      </c>
      <c r="Y1161" t="s">
        <v>5356</v>
      </c>
      <c r="Z1161">
        <v>235.79</v>
      </c>
      <c r="AA1161">
        <v>355.11</v>
      </c>
      <c r="AB1161">
        <v>83729</v>
      </c>
      <c r="AC1161" t="b">
        <v>0</v>
      </c>
      <c r="AD1161" t="b">
        <v>0</v>
      </c>
      <c r="AE1161" t="b">
        <v>0</v>
      </c>
      <c r="AF1161" t="b">
        <v>0</v>
      </c>
      <c r="AG1161" t="s">
        <v>58</v>
      </c>
      <c r="AH1161">
        <v>16</v>
      </c>
      <c r="AI1161" t="s">
        <v>386</v>
      </c>
      <c r="AJ1161" t="s">
        <v>387</v>
      </c>
      <c r="AL1161" t="s">
        <v>1330</v>
      </c>
      <c r="AM1161" t="s">
        <v>62</v>
      </c>
      <c r="AN1161" t="s">
        <v>63</v>
      </c>
      <c r="AO1161" t="s">
        <v>5357</v>
      </c>
      <c r="AP1161" t="s">
        <v>6055</v>
      </c>
    </row>
    <row r="1162" spans="1:42" x14ac:dyDescent="0.45">
      <c r="A1162" t="s">
        <v>5344</v>
      </c>
      <c r="B1162" t="s">
        <v>5345</v>
      </c>
      <c r="C1162" t="s">
        <v>5346</v>
      </c>
      <c r="D1162">
        <v>2022</v>
      </c>
      <c r="E1162" t="s">
        <v>783</v>
      </c>
      <c r="F1162" t="s">
        <v>5347</v>
      </c>
      <c r="G1162">
        <v>136</v>
      </c>
      <c r="J1162" t="s">
        <v>6059</v>
      </c>
      <c r="K1162" t="s">
        <v>6060</v>
      </c>
      <c r="L1162" t="s">
        <v>6061</v>
      </c>
      <c r="M1162" t="s">
        <v>6062</v>
      </c>
      <c r="N1162" t="s">
        <v>5352</v>
      </c>
      <c r="O1162" t="s">
        <v>5353</v>
      </c>
      <c r="P1162" t="s">
        <v>223</v>
      </c>
      <c r="Q1162" t="s">
        <v>5354</v>
      </c>
      <c r="S1162">
        <v>60</v>
      </c>
      <c r="T1162" t="s">
        <v>6063</v>
      </c>
      <c r="U1162">
        <v>5604</v>
      </c>
      <c r="V1162">
        <v>4561</v>
      </c>
      <c r="W1162">
        <v>1.2286999999999999</v>
      </c>
      <c r="X1162" t="s">
        <v>70</v>
      </c>
      <c r="Y1162" t="s">
        <v>5356</v>
      </c>
      <c r="Z1162">
        <v>438.75</v>
      </c>
      <c r="AA1162">
        <v>559.57000000000005</v>
      </c>
      <c r="AB1162">
        <v>245512</v>
      </c>
      <c r="AC1162" t="b">
        <v>1</v>
      </c>
      <c r="AD1162" t="b">
        <v>1</v>
      </c>
      <c r="AE1162" t="b">
        <v>0</v>
      </c>
      <c r="AF1162" t="b">
        <v>0</v>
      </c>
      <c r="AG1162" t="s">
        <v>58</v>
      </c>
      <c r="AH1162">
        <v>20</v>
      </c>
      <c r="AI1162" t="s">
        <v>59</v>
      </c>
      <c r="AJ1162" t="s">
        <v>71</v>
      </c>
      <c r="AL1162" t="s">
        <v>72</v>
      </c>
      <c r="AM1162" t="s">
        <v>62</v>
      </c>
      <c r="AN1162" t="s">
        <v>63</v>
      </c>
      <c r="AO1162" t="s">
        <v>5357</v>
      </c>
      <c r="AP1162" t="s">
        <v>6060</v>
      </c>
    </row>
    <row r="1163" spans="1:42" x14ac:dyDescent="0.45">
      <c r="A1163" t="s">
        <v>5344</v>
      </c>
      <c r="B1163" t="s">
        <v>5345</v>
      </c>
      <c r="C1163" t="s">
        <v>5346</v>
      </c>
      <c r="D1163">
        <v>2022</v>
      </c>
      <c r="E1163" t="s">
        <v>783</v>
      </c>
      <c r="F1163" t="s">
        <v>5347</v>
      </c>
      <c r="G1163">
        <v>112</v>
      </c>
      <c r="J1163" t="s">
        <v>6064</v>
      </c>
      <c r="K1163" t="s">
        <v>6065</v>
      </c>
      <c r="L1163" t="s">
        <v>6066</v>
      </c>
      <c r="M1163" t="s">
        <v>6067</v>
      </c>
      <c r="N1163" t="s">
        <v>5352</v>
      </c>
      <c r="O1163" t="s">
        <v>5353</v>
      </c>
      <c r="P1163" t="s">
        <v>223</v>
      </c>
      <c r="Q1163" t="s">
        <v>5354</v>
      </c>
      <c r="S1163">
        <v>83</v>
      </c>
      <c r="T1163" t="s">
        <v>6068</v>
      </c>
      <c r="U1163">
        <v>4826</v>
      </c>
      <c r="V1163">
        <v>4561</v>
      </c>
      <c r="W1163">
        <v>1.0581</v>
      </c>
      <c r="X1163" t="s">
        <v>70</v>
      </c>
      <c r="Y1163" t="s">
        <v>5356</v>
      </c>
      <c r="Z1163">
        <v>613.70000000000005</v>
      </c>
      <c r="AA1163">
        <v>406.13</v>
      </c>
      <c r="AB1163">
        <v>249240</v>
      </c>
      <c r="AC1163" t="b">
        <v>1</v>
      </c>
      <c r="AD1163" t="b">
        <v>1</v>
      </c>
      <c r="AE1163" t="b">
        <v>0</v>
      </c>
      <c r="AF1163" t="b">
        <v>0</v>
      </c>
      <c r="AG1163" t="s">
        <v>58</v>
      </c>
      <c r="AH1163">
        <v>20</v>
      </c>
      <c r="AI1163" t="s">
        <v>59</v>
      </c>
      <c r="AJ1163" t="s">
        <v>71</v>
      </c>
      <c r="AL1163" t="s">
        <v>72</v>
      </c>
      <c r="AM1163" t="s">
        <v>62</v>
      </c>
      <c r="AN1163" t="s">
        <v>63</v>
      </c>
      <c r="AO1163" t="s">
        <v>5357</v>
      </c>
      <c r="AP1163" t="s">
        <v>6065</v>
      </c>
    </row>
    <row r="1164" spans="1:42" x14ac:dyDescent="0.45">
      <c r="A1164" t="s">
        <v>5344</v>
      </c>
      <c r="B1164" t="s">
        <v>5345</v>
      </c>
      <c r="C1164" t="s">
        <v>5346</v>
      </c>
      <c r="D1164">
        <v>2022</v>
      </c>
      <c r="E1164" t="s">
        <v>783</v>
      </c>
      <c r="F1164" t="s">
        <v>5347</v>
      </c>
      <c r="G1164">
        <v>132</v>
      </c>
      <c r="J1164" t="s">
        <v>6069</v>
      </c>
      <c r="K1164" t="s">
        <v>6070</v>
      </c>
      <c r="L1164" t="s">
        <v>6071</v>
      </c>
      <c r="M1164" t="s">
        <v>6072</v>
      </c>
      <c r="N1164" t="s">
        <v>5352</v>
      </c>
      <c r="O1164" t="s">
        <v>5353</v>
      </c>
      <c r="P1164" t="s">
        <v>223</v>
      </c>
      <c r="Q1164" t="s">
        <v>5354</v>
      </c>
      <c r="S1164">
        <v>63</v>
      </c>
      <c r="T1164" t="s">
        <v>6073</v>
      </c>
      <c r="U1164">
        <v>5655</v>
      </c>
      <c r="V1164">
        <v>4561</v>
      </c>
      <c r="W1164">
        <v>1.2399</v>
      </c>
      <c r="X1164" t="s">
        <v>70</v>
      </c>
      <c r="Y1164" t="s">
        <v>5356</v>
      </c>
      <c r="Z1164">
        <v>466.75</v>
      </c>
      <c r="AA1164">
        <v>352.09</v>
      </c>
      <c r="AB1164">
        <v>164340</v>
      </c>
      <c r="AC1164" t="b">
        <v>1</v>
      </c>
      <c r="AD1164" t="b">
        <v>1</v>
      </c>
      <c r="AE1164" t="b">
        <v>0</v>
      </c>
      <c r="AF1164" t="b">
        <v>0</v>
      </c>
      <c r="AG1164" t="s">
        <v>58</v>
      </c>
      <c r="AH1164">
        <v>20</v>
      </c>
      <c r="AI1164" t="s">
        <v>59</v>
      </c>
      <c r="AJ1164" t="s">
        <v>71</v>
      </c>
      <c r="AL1164" t="s">
        <v>72</v>
      </c>
      <c r="AM1164" t="s">
        <v>62</v>
      </c>
      <c r="AN1164" t="s">
        <v>63</v>
      </c>
      <c r="AO1164" t="s">
        <v>5357</v>
      </c>
      <c r="AP1164" t="s">
        <v>6070</v>
      </c>
    </row>
    <row r="1165" spans="1:42" x14ac:dyDescent="0.45">
      <c r="A1165" t="s">
        <v>5344</v>
      </c>
      <c r="B1165" t="s">
        <v>5345</v>
      </c>
      <c r="C1165" t="s">
        <v>5346</v>
      </c>
      <c r="D1165">
        <v>2022</v>
      </c>
      <c r="E1165" t="s">
        <v>783</v>
      </c>
      <c r="F1165" t="s">
        <v>5347</v>
      </c>
      <c r="G1165">
        <v>144</v>
      </c>
      <c r="J1165" t="s">
        <v>6074</v>
      </c>
      <c r="K1165" t="s">
        <v>6075</v>
      </c>
      <c r="L1165" t="s">
        <v>6076</v>
      </c>
      <c r="M1165" t="s">
        <v>6077</v>
      </c>
      <c r="N1165" t="s">
        <v>5352</v>
      </c>
      <c r="O1165" t="s">
        <v>5353</v>
      </c>
      <c r="P1165" t="s">
        <v>223</v>
      </c>
      <c r="Q1165" t="s">
        <v>5354</v>
      </c>
      <c r="S1165">
        <v>52</v>
      </c>
      <c r="T1165" t="s">
        <v>6078</v>
      </c>
      <c r="U1165">
        <v>5976</v>
      </c>
      <c r="V1165">
        <v>4561</v>
      </c>
      <c r="W1165">
        <v>1.3102</v>
      </c>
      <c r="X1165" t="s">
        <v>70</v>
      </c>
      <c r="Y1165" t="s">
        <v>5356</v>
      </c>
      <c r="Z1165">
        <v>382.75</v>
      </c>
      <c r="AA1165">
        <v>342.3</v>
      </c>
      <c r="AB1165">
        <v>131014</v>
      </c>
      <c r="AC1165" t="b">
        <v>1</v>
      </c>
      <c r="AD1165" t="b">
        <v>1</v>
      </c>
      <c r="AE1165" t="b">
        <v>0</v>
      </c>
      <c r="AF1165" t="b">
        <v>0</v>
      </c>
      <c r="AG1165" t="s">
        <v>58</v>
      </c>
      <c r="AH1165">
        <v>20</v>
      </c>
      <c r="AI1165" t="s">
        <v>59</v>
      </c>
      <c r="AJ1165" t="s">
        <v>71</v>
      </c>
      <c r="AL1165" t="s">
        <v>72</v>
      </c>
      <c r="AM1165" t="s">
        <v>62</v>
      </c>
      <c r="AN1165" t="s">
        <v>63</v>
      </c>
      <c r="AO1165" t="s">
        <v>5357</v>
      </c>
      <c r="AP1165" t="s">
        <v>6075</v>
      </c>
    </row>
    <row r="1166" spans="1:42" x14ac:dyDescent="0.45">
      <c r="A1166" t="s">
        <v>5344</v>
      </c>
      <c r="B1166" t="s">
        <v>5345</v>
      </c>
      <c r="C1166" t="s">
        <v>5346</v>
      </c>
      <c r="D1166">
        <v>2022</v>
      </c>
      <c r="E1166" t="s">
        <v>783</v>
      </c>
      <c r="F1166" t="s">
        <v>5347</v>
      </c>
      <c r="G1166">
        <v>107</v>
      </c>
      <c r="J1166" t="s">
        <v>6079</v>
      </c>
      <c r="K1166" t="s">
        <v>6080</v>
      </c>
      <c r="L1166" t="s">
        <v>6081</v>
      </c>
      <c r="M1166" t="s">
        <v>6082</v>
      </c>
      <c r="N1166" t="s">
        <v>5352</v>
      </c>
      <c r="O1166" t="s">
        <v>5353</v>
      </c>
      <c r="P1166" t="s">
        <v>223</v>
      </c>
      <c r="Q1166" t="s">
        <v>5354</v>
      </c>
      <c r="S1166">
        <v>88</v>
      </c>
      <c r="T1166" t="s">
        <v>6083</v>
      </c>
      <c r="U1166">
        <v>4258</v>
      </c>
      <c r="V1166">
        <v>4561</v>
      </c>
      <c r="W1166">
        <v>0.93359999999999999</v>
      </c>
      <c r="X1166" t="s">
        <v>70</v>
      </c>
      <c r="Y1166" t="s">
        <v>5356</v>
      </c>
      <c r="Z1166">
        <v>648.75</v>
      </c>
      <c r="AA1166">
        <v>296.51</v>
      </c>
      <c r="AB1166">
        <v>192362</v>
      </c>
      <c r="AC1166" t="b">
        <v>1</v>
      </c>
      <c r="AD1166" t="b">
        <v>1</v>
      </c>
      <c r="AE1166" t="b">
        <v>0</v>
      </c>
      <c r="AF1166" t="b">
        <v>0</v>
      </c>
      <c r="AG1166" t="s">
        <v>58</v>
      </c>
      <c r="AH1166">
        <v>20</v>
      </c>
      <c r="AI1166" t="s">
        <v>59</v>
      </c>
      <c r="AJ1166" t="s">
        <v>71</v>
      </c>
      <c r="AL1166" t="s">
        <v>72</v>
      </c>
      <c r="AM1166" t="s">
        <v>62</v>
      </c>
      <c r="AN1166" t="s">
        <v>63</v>
      </c>
      <c r="AO1166" t="s">
        <v>5357</v>
      </c>
      <c r="AP1166" t="s">
        <v>6080</v>
      </c>
    </row>
    <row r="1167" spans="1:42" x14ac:dyDescent="0.45">
      <c r="A1167" t="s">
        <v>5344</v>
      </c>
      <c r="B1167" t="s">
        <v>5345</v>
      </c>
      <c r="C1167" t="s">
        <v>5346</v>
      </c>
      <c r="D1167">
        <v>2022</v>
      </c>
      <c r="E1167" t="s">
        <v>783</v>
      </c>
      <c r="F1167" t="s">
        <v>5347</v>
      </c>
      <c r="G1167">
        <v>108</v>
      </c>
      <c r="J1167" t="s">
        <v>6084</v>
      </c>
      <c r="K1167" t="s">
        <v>6085</v>
      </c>
      <c r="L1167" t="s">
        <v>6086</v>
      </c>
      <c r="M1167" t="s">
        <v>6087</v>
      </c>
      <c r="N1167" t="s">
        <v>5352</v>
      </c>
      <c r="O1167" t="s">
        <v>5353</v>
      </c>
      <c r="P1167" t="s">
        <v>223</v>
      </c>
      <c r="Q1167" t="s">
        <v>5354</v>
      </c>
      <c r="S1167">
        <v>87</v>
      </c>
      <c r="T1167" t="s">
        <v>6088</v>
      </c>
      <c r="U1167">
        <v>4514</v>
      </c>
      <c r="V1167">
        <v>4561</v>
      </c>
      <c r="W1167">
        <v>0.98970000000000002</v>
      </c>
      <c r="X1167" t="s">
        <v>70</v>
      </c>
      <c r="Y1167" t="s">
        <v>5356</v>
      </c>
      <c r="Z1167">
        <v>641.75</v>
      </c>
      <c r="AA1167">
        <v>334.3</v>
      </c>
      <c r="AB1167">
        <v>214536</v>
      </c>
      <c r="AC1167" t="b">
        <v>1</v>
      </c>
      <c r="AD1167" t="b">
        <v>1</v>
      </c>
      <c r="AE1167" t="b">
        <v>0</v>
      </c>
      <c r="AF1167" t="b">
        <v>0</v>
      </c>
      <c r="AG1167" t="s">
        <v>58</v>
      </c>
      <c r="AH1167">
        <v>20</v>
      </c>
      <c r="AI1167" t="s">
        <v>59</v>
      </c>
      <c r="AJ1167" t="s">
        <v>71</v>
      </c>
      <c r="AL1167" t="s">
        <v>72</v>
      </c>
      <c r="AM1167" t="s">
        <v>62</v>
      </c>
      <c r="AN1167" t="s">
        <v>63</v>
      </c>
      <c r="AO1167" t="s">
        <v>5357</v>
      </c>
      <c r="AP1167" t="s">
        <v>6085</v>
      </c>
    </row>
    <row r="1168" spans="1:42" x14ac:dyDescent="0.45">
      <c r="A1168" t="s">
        <v>5344</v>
      </c>
      <c r="B1168" t="s">
        <v>5345</v>
      </c>
      <c r="C1168" t="s">
        <v>5346</v>
      </c>
      <c r="D1168">
        <v>2022</v>
      </c>
      <c r="E1168" t="s">
        <v>783</v>
      </c>
      <c r="F1168" t="s">
        <v>5347</v>
      </c>
      <c r="G1168">
        <v>98</v>
      </c>
      <c r="J1168" t="s">
        <v>6089</v>
      </c>
      <c r="K1168" t="s">
        <v>6090</v>
      </c>
      <c r="L1168" t="s">
        <v>6091</v>
      </c>
      <c r="M1168" t="s">
        <v>6092</v>
      </c>
      <c r="N1168" t="s">
        <v>5352</v>
      </c>
      <c r="O1168" t="s">
        <v>5353</v>
      </c>
      <c r="P1168" t="s">
        <v>223</v>
      </c>
      <c r="Q1168" t="s">
        <v>5354</v>
      </c>
      <c r="S1168">
        <v>97</v>
      </c>
      <c r="T1168" t="s">
        <v>6093</v>
      </c>
      <c r="U1168">
        <v>4634</v>
      </c>
      <c r="V1168">
        <v>4561</v>
      </c>
      <c r="W1168">
        <v>1.016</v>
      </c>
      <c r="X1168" t="s">
        <v>70</v>
      </c>
      <c r="Y1168" t="s">
        <v>5356</v>
      </c>
      <c r="Z1168">
        <v>711.75</v>
      </c>
      <c r="AA1168">
        <v>467.24</v>
      </c>
      <c r="AB1168">
        <v>332561</v>
      </c>
      <c r="AC1168" t="b">
        <v>1</v>
      </c>
      <c r="AD1168" t="b">
        <v>1</v>
      </c>
      <c r="AE1168" t="b">
        <v>0</v>
      </c>
      <c r="AF1168" t="b">
        <v>0</v>
      </c>
      <c r="AG1168" t="s">
        <v>58</v>
      </c>
      <c r="AH1168">
        <v>20</v>
      </c>
      <c r="AI1168" t="s">
        <v>59</v>
      </c>
      <c r="AJ1168" t="s">
        <v>71</v>
      </c>
      <c r="AL1168" t="s">
        <v>72</v>
      </c>
      <c r="AM1168" t="s">
        <v>62</v>
      </c>
      <c r="AN1168" t="s">
        <v>63</v>
      </c>
      <c r="AO1168" t="s">
        <v>5357</v>
      </c>
      <c r="AP1168" t="s">
        <v>6090</v>
      </c>
    </row>
    <row r="1169" spans="1:42" x14ac:dyDescent="0.45">
      <c r="A1169" t="s">
        <v>5344</v>
      </c>
      <c r="B1169" t="s">
        <v>5345</v>
      </c>
      <c r="C1169" t="s">
        <v>5346</v>
      </c>
      <c r="D1169">
        <v>2022</v>
      </c>
      <c r="E1169" t="s">
        <v>783</v>
      </c>
      <c r="F1169" t="s">
        <v>5347</v>
      </c>
      <c r="G1169">
        <v>194</v>
      </c>
      <c r="J1169" t="s">
        <v>6094</v>
      </c>
      <c r="K1169" t="s">
        <v>6095</v>
      </c>
      <c r="L1169" t="s">
        <v>6096</v>
      </c>
      <c r="M1169" t="s">
        <v>6097</v>
      </c>
      <c r="N1169" t="s">
        <v>5352</v>
      </c>
      <c r="O1169" t="s">
        <v>5353</v>
      </c>
      <c r="P1169" t="s">
        <v>223</v>
      </c>
      <c r="Q1169" t="s">
        <v>5354</v>
      </c>
      <c r="S1169">
        <v>4</v>
      </c>
      <c r="T1169" t="s">
        <v>6098</v>
      </c>
      <c r="U1169">
        <v>5782</v>
      </c>
      <c r="V1169">
        <v>4561</v>
      </c>
      <c r="W1169">
        <v>1.2677</v>
      </c>
      <c r="X1169" t="s">
        <v>70</v>
      </c>
      <c r="Y1169" t="s">
        <v>5356</v>
      </c>
      <c r="Z1169">
        <v>32.76</v>
      </c>
      <c r="AA1169">
        <v>8271.43</v>
      </c>
      <c r="AB1169">
        <v>270983</v>
      </c>
      <c r="AC1169" t="b">
        <v>1</v>
      </c>
      <c r="AD1169" t="b">
        <v>1</v>
      </c>
      <c r="AE1169" t="b">
        <v>0</v>
      </c>
      <c r="AF1169" t="b">
        <v>0</v>
      </c>
      <c r="AG1169" t="s">
        <v>58</v>
      </c>
      <c r="AH1169">
        <v>20</v>
      </c>
      <c r="AI1169" t="s">
        <v>59</v>
      </c>
      <c r="AJ1169" t="s">
        <v>71</v>
      </c>
      <c r="AL1169" t="s">
        <v>72</v>
      </c>
      <c r="AM1169" t="s">
        <v>62</v>
      </c>
      <c r="AN1169" t="s">
        <v>63</v>
      </c>
      <c r="AO1169" t="s">
        <v>5357</v>
      </c>
      <c r="AP1169" t="s">
        <v>6095</v>
      </c>
    </row>
    <row r="1170" spans="1:42" x14ac:dyDescent="0.45">
      <c r="A1170" t="s">
        <v>5344</v>
      </c>
      <c r="B1170" t="s">
        <v>5345</v>
      </c>
      <c r="C1170" t="s">
        <v>5346</v>
      </c>
      <c r="D1170">
        <v>2022</v>
      </c>
      <c r="E1170" t="s">
        <v>783</v>
      </c>
      <c r="F1170" t="s">
        <v>5347</v>
      </c>
      <c r="G1170">
        <v>195</v>
      </c>
      <c r="J1170" t="s">
        <v>6099</v>
      </c>
      <c r="K1170" t="s">
        <v>6100</v>
      </c>
      <c r="L1170" t="s">
        <v>6101</v>
      </c>
      <c r="M1170" t="s">
        <v>6102</v>
      </c>
      <c r="N1170" t="s">
        <v>5352</v>
      </c>
      <c r="O1170" t="s">
        <v>5353</v>
      </c>
      <c r="P1170" t="s">
        <v>223</v>
      </c>
      <c r="Q1170" t="s">
        <v>5354</v>
      </c>
      <c r="S1170">
        <v>3</v>
      </c>
      <c r="T1170" t="s">
        <v>6103</v>
      </c>
      <c r="U1170">
        <v>5448</v>
      </c>
      <c r="V1170">
        <v>4561</v>
      </c>
      <c r="W1170">
        <v>1.1944999999999999</v>
      </c>
      <c r="X1170" t="s">
        <v>70</v>
      </c>
      <c r="Y1170" t="s">
        <v>5356</v>
      </c>
      <c r="Z1170">
        <v>25.76</v>
      </c>
      <c r="AA1170">
        <v>5428.41</v>
      </c>
      <c r="AB1170">
        <v>139843</v>
      </c>
      <c r="AC1170" t="b">
        <v>1</v>
      </c>
      <c r="AD1170" t="b">
        <v>1</v>
      </c>
      <c r="AE1170" t="b">
        <v>0</v>
      </c>
      <c r="AF1170" t="b">
        <v>0</v>
      </c>
      <c r="AG1170" t="s">
        <v>58</v>
      </c>
      <c r="AH1170">
        <v>20</v>
      </c>
      <c r="AI1170" t="s">
        <v>59</v>
      </c>
      <c r="AJ1170" t="s">
        <v>71</v>
      </c>
      <c r="AL1170" t="s">
        <v>72</v>
      </c>
      <c r="AM1170" t="s">
        <v>62</v>
      </c>
      <c r="AN1170" t="s">
        <v>63</v>
      </c>
      <c r="AO1170" t="s">
        <v>5357</v>
      </c>
      <c r="AP1170" t="s">
        <v>6100</v>
      </c>
    </row>
    <row r="1171" spans="1:42" x14ac:dyDescent="0.45">
      <c r="A1171" t="s">
        <v>5344</v>
      </c>
      <c r="B1171" t="s">
        <v>5345</v>
      </c>
      <c r="C1171" t="s">
        <v>5346</v>
      </c>
      <c r="D1171">
        <v>2022</v>
      </c>
      <c r="E1171" t="s">
        <v>783</v>
      </c>
      <c r="F1171" t="s">
        <v>5347</v>
      </c>
      <c r="G1171">
        <v>23</v>
      </c>
      <c r="J1171" t="s">
        <v>6104</v>
      </c>
      <c r="K1171" t="s">
        <v>6105</v>
      </c>
      <c r="L1171" t="s">
        <v>6106</v>
      </c>
      <c r="M1171" t="s">
        <v>6107</v>
      </c>
      <c r="N1171" t="s">
        <v>5352</v>
      </c>
      <c r="O1171" t="s">
        <v>5353</v>
      </c>
      <c r="P1171" t="s">
        <v>223</v>
      </c>
      <c r="Q1171" t="s">
        <v>5354</v>
      </c>
      <c r="S1171">
        <v>172</v>
      </c>
      <c r="T1171" t="s">
        <v>6108</v>
      </c>
      <c r="U1171">
        <v>4861</v>
      </c>
      <c r="V1171">
        <v>4561</v>
      </c>
      <c r="W1171">
        <v>1.0658000000000001</v>
      </c>
      <c r="X1171" t="s">
        <v>70</v>
      </c>
      <c r="Y1171" t="s">
        <v>5356</v>
      </c>
      <c r="Z1171">
        <v>1252.74</v>
      </c>
      <c r="AA1171">
        <v>286.77</v>
      </c>
      <c r="AB1171">
        <v>359253</v>
      </c>
      <c r="AC1171" t="b">
        <v>1</v>
      </c>
      <c r="AD1171" t="b">
        <v>1</v>
      </c>
      <c r="AE1171" t="b">
        <v>0</v>
      </c>
      <c r="AF1171" t="b">
        <v>0</v>
      </c>
      <c r="AG1171" t="s">
        <v>58</v>
      </c>
      <c r="AH1171">
        <v>20</v>
      </c>
      <c r="AI1171" t="s">
        <v>59</v>
      </c>
      <c r="AJ1171" t="s">
        <v>71</v>
      </c>
      <c r="AL1171" t="s">
        <v>72</v>
      </c>
      <c r="AM1171" t="s">
        <v>62</v>
      </c>
      <c r="AN1171" t="s">
        <v>63</v>
      </c>
      <c r="AO1171" t="s">
        <v>5357</v>
      </c>
      <c r="AP1171" t="s">
        <v>6105</v>
      </c>
    </row>
    <row r="1172" spans="1:42" x14ac:dyDescent="0.45">
      <c r="A1172" t="s">
        <v>5344</v>
      </c>
      <c r="B1172" t="s">
        <v>5345</v>
      </c>
      <c r="C1172" t="s">
        <v>5346</v>
      </c>
      <c r="D1172">
        <v>2022</v>
      </c>
      <c r="E1172" t="s">
        <v>783</v>
      </c>
      <c r="F1172" t="s">
        <v>5347</v>
      </c>
      <c r="G1172">
        <v>179</v>
      </c>
      <c r="J1172" t="s">
        <v>6109</v>
      </c>
      <c r="K1172" t="s">
        <v>6110</v>
      </c>
      <c r="L1172" t="s">
        <v>6111</v>
      </c>
      <c r="M1172" t="s">
        <v>6112</v>
      </c>
      <c r="N1172" t="s">
        <v>5352</v>
      </c>
      <c r="O1172" t="s">
        <v>5353</v>
      </c>
      <c r="P1172" t="s">
        <v>223</v>
      </c>
      <c r="Q1172" t="s">
        <v>5354</v>
      </c>
      <c r="S1172">
        <v>18</v>
      </c>
      <c r="T1172" t="s">
        <v>6113</v>
      </c>
      <c r="U1172">
        <v>4550</v>
      </c>
      <c r="V1172">
        <v>4561</v>
      </c>
      <c r="W1172">
        <v>0.99760000000000004</v>
      </c>
      <c r="X1172" t="s">
        <v>70</v>
      </c>
      <c r="Y1172" t="s">
        <v>5356</v>
      </c>
      <c r="Z1172">
        <v>137.79</v>
      </c>
      <c r="AA1172">
        <v>1361.8</v>
      </c>
      <c r="AB1172">
        <v>187636</v>
      </c>
      <c r="AC1172" t="b">
        <v>1</v>
      </c>
      <c r="AD1172" t="b">
        <v>1</v>
      </c>
      <c r="AE1172" t="b">
        <v>0</v>
      </c>
      <c r="AF1172" t="b">
        <v>0</v>
      </c>
      <c r="AG1172" t="s">
        <v>58</v>
      </c>
      <c r="AH1172">
        <v>20</v>
      </c>
      <c r="AI1172" t="s">
        <v>59</v>
      </c>
      <c r="AJ1172" t="s">
        <v>71</v>
      </c>
      <c r="AL1172" t="s">
        <v>72</v>
      </c>
      <c r="AM1172" t="s">
        <v>62</v>
      </c>
      <c r="AN1172" t="s">
        <v>63</v>
      </c>
      <c r="AO1172" t="s">
        <v>5357</v>
      </c>
      <c r="AP1172" t="s">
        <v>6110</v>
      </c>
    </row>
    <row r="1173" spans="1:42" x14ac:dyDescent="0.45">
      <c r="A1173" t="s">
        <v>5344</v>
      </c>
      <c r="B1173" t="s">
        <v>5345</v>
      </c>
      <c r="C1173" t="s">
        <v>5346</v>
      </c>
      <c r="D1173">
        <v>2022</v>
      </c>
      <c r="E1173" t="s">
        <v>783</v>
      </c>
      <c r="F1173" t="s">
        <v>5347</v>
      </c>
      <c r="G1173">
        <v>21</v>
      </c>
      <c r="J1173" t="s">
        <v>6114</v>
      </c>
      <c r="K1173" t="s">
        <v>6115</v>
      </c>
      <c r="L1173" t="s">
        <v>6116</v>
      </c>
      <c r="M1173" t="s">
        <v>6117</v>
      </c>
      <c r="N1173" t="s">
        <v>5352</v>
      </c>
      <c r="O1173" t="s">
        <v>5353</v>
      </c>
      <c r="P1173" t="s">
        <v>223</v>
      </c>
      <c r="Q1173" t="s">
        <v>5354</v>
      </c>
      <c r="S1173">
        <v>174</v>
      </c>
      <c r="T1173" t="s">
        <v>6118</v>
      </c>
      <c r="U1173">
        <v>4293</v>
      </c>
      <c r="V1173">
        <v>4561</v>
      </c>
      <c r="W1173">
        <v>0.94120000000000004</v>
      </c>
      <c r="X1173" t="s">
        <v>70</v>
      </c>
      <c r="Y1173" t="s">
        <v>5356</v>
      </c>
      <c r="Z1173">
        <v>1266.74</v>
      </c>
      <c r="AA1173">
        <v>136.96</v>
      </c>
      <c r="AB1173">
        <v>173495</v>
      </c>
      <c r="AC1173" t="b">
        <v>1</v>
      </c>
      <c r="AD1173" t="b">
        <v>1</v>
      </c>
      <c r="AE1173" t="b">
        <v>0</v>
      </c>
      <c r="AF1173" t="b">
        <v>0</v>
      </c>
      <c r="AG1173" t="s">
        <v>58</v>
      </c>
      <c r="AH1173">
        <v>20</v>
      </c>
      <c r="AI1173" t="s">
        <v>59</v>
      </c>
      <c r="AJ1173" t="s">
        <v>71</v>
      </c>
      <c r="AL1173" t="s">
        <v>72</v>
      </c>
      <c r="AM1173" t="s">
        <v>62</v>
      </c>
      <c r="AN1173" t="s">
        <v>63</v>
      </c>
      <c r="AO1173" t="s">
        <v>5357</v>
      </c>
      <c r="AP1173" t="s">
        <v>6115</v>
      </c>
    </row>
    <row r="1174" spans="1:42" x14ac:dyDescent="0.45">
      <c r="A1174" t="s">
        <v>5344</v>
      </c>
      <c r="B1174" t="s">
        <v>5345</v>
      </c>
      <c r="C1174" t="s">
        <v>5346</v>
      </c>
      <c r="D1174">
        <v>2022</v>
      </c>
      <c r="E1174" t="s">
        <v>783</v>
      </c>
      <c r="F1174" t="s">
        <v>5347</v>
      </c>
      <c r="G1174">
        <v>177</v>
      </c>
      <c r="J1174" t="s">
        <v>6119</v>
      </c>
      <c r="K1174" t="s">
        <v>6120</v>
      </c>
      <c r="L1174" t="s">
        <v>6121</v>
      </c>
      <c r="M1174" t="s">
        <v>6122</v>
      </c>
      <c r="N1174" t="s">
        <v>5352</v>
      </c>
      <c r="O1174" t="s">
        <v>5353</v>
      </c>
      <c r="P1174" t="s">
        <v>223</v>
      </c>
      <c r="Q1174" t="s">
        <v>5354</v>
      </c>
      <c r="S1174">
        <v>20</v>
      </c>
      <c r="T1174" t="s">
        <v>6123</v>
      </c>
      <c r="U1174">
        <v>5735</v>
      </c>
      <c r="V1174">
        <v>4561</v>
      </c>
      <c r="W1174">
        <v>1.2574000000000001</v>
      </c>
      <c r="X1174" t="s">
        <v>70</v>
      </c>
      <c r="Y1174" t="s">
        <v>5356</v>
      </c>
      <c r="Z1174">
        <v>151.79</v>
      </c>
      <c r="AA1174">
        <v>1347.07</v>
      </c>
      <c r="AB1174">
        <v>204466</v>
      </c>
      <c r="AC1174" t="b">
        <v>1</v>
      </c>
      <c r="AD1174" t="b">
        <v>1</v>
      </c>
      <c r="AE1174" t="b">
        <v>0</v>
      </c>
      <c r="AF1174" t="b">
        <v>0</v>
      </c>
      <c r="AG1174" t="s">
        <v>58</v>
      </c>
      <c r="AH1174">
        <v>20</v>
      </c>
      <c r="AI1174" t="s">
        <v>59</v>
      </c>
      <c r="AJ1174" t="s">
        <v>71</v>
      </c>
      <c r="AL1174" t="s">
        <v>72</v>
      </c>
      <c r="AM1174" t="s">
        <v>62</v>
      </c>
      <c r="AN1174" t="s">
        <v>63</v>
      </c>
      <c r="AO1174" t="s">
        <v>5357</v>
      </c>
      <c r="AP1174" t="s">
        <v>6120</v>
      </c>
    </row>
    <row r="1175" spans="1:42" x14ac:dyDescent="0.45">
      <c r="A1175" t="s">
        <v>5344</v>
      </c>
      <c r="B1175" t="s">
        <v>5345</v>
      </c>
      <c r="C1175" t="s">
        <v>5346</v>
      </c>
      <c r="D1175">
        <v>2022</v>
      </c>
      <c r="E1175" t="s">
        <v>783</v>
      </c>
      <c r="F1175" t="s">
        <v>5347</v>
      </c>
      <c r="G1175">
        <v>183</v>
      </c>
      <c r="J1175" t="s">
        <v>6124</v>
      </c>
      <c r="K1175" t="s">
        <v>6125</v>
      </c>
      <c r="L1175" t="s">
        <v>6126</v>
      </c>
      <c r="M1175" t="s">
        <v>6127</v>
      </c>
      <c r="N1175" t="s">
        <v>5352</v>
      </c>
      <c r="O1175" t="s">
        <v>5353</v>
      </c>
      <c r="P1175" t="s">
        <v>223</v>
      </c>
      <c r="Q1175" t="s">
        <v>5354</v>
      </c>
      <c r="S1175">
        <v>15</v>
      </c>
      <c r="T1175" t="s">
        <v>6128</v>
      </c>
      <c r="U1175">
        <v>5555</v>
      </c>
      <c r="V1175">
        <v>4561</v>
      </c>
      <c r="W1175">
        <v>1.2179</v>
      </c>
      <c r="X1175" t="s">
        <v>70</v>
      </c>
      <c r="Y1175" t="s">
        <v>5356</v>
      </c>
      <c r="Z1175">
        <v>109.76</v>
      </c>
      <c r="AA1175">
        <v>1869.37</v>
      </c>
      <c r="AB1175">
        <v>205184</v>
      </c>
      <c r="AC1175" t="b">
        <v>0</v>
      </c>
      <c r="AD1175" t="b">
        <v>0</v>
      </c>
      <c r="AE1175" t="b">
        <v>0</v>
      </c>
      <c r="AF1175" t="b">
        <v>0</v>
      </c>
      <c r="AG1175" t="s">
        <v>58</v>
      </c>
      <c r="AH1175">
        <v>16</v>
      </c>
      <c r="AI1175" t="s">
        <v>59</v>
      </c>
      <c r="AJ1175" t="s">
        <v>60</v>
      </c>
      <c r="AL1175" t="s">
        <v>225</v>
      </c>
      <c r="AM1175" t="s">
        <v>62</v>
      </c>
      <c r="AN1175" t="s">
        <v>63</v>
      </c>
      <c r="AO1175" t="s">
        <v>5357</v>
      </c>
      <c r="AP1175" t="s">
        <v>6125</v>
      </c>
    </row>
    <row r="1176" spans="1:42" x14ac:dyDescent="0.45">
      <c r="A1176" t="s">
        <v>5344</v>
      </c>
      <c r="B1176" t="s">
        <v>5345</v>
      </c>
      <c r="C1176" t="s">
        <v>5346</v>
      </c>
      <c r="D1176">
        <v>2022</v>
      </c>
      <c r="E1176" t="s">
        <v>783</v>
      </c>
      <c r="F1176" t="s">
        <v>5347</v>
      </c>
      <c r="G1176">
        <v>2</v>
      </c>
      <c r="J1176" t="s">
        <v>6129</v>
      </c>
      <c r="K1176" t="s">
        <v>6130</v>
      </c>
      <c r="L1176" t="s">
        <v>6131</v>
      </c>
      <c r="M1176" t="s">
        <v>6132</v>
      </c>
      <c r="N1176" t="s">
        <v>5352</v>
      </c>
      <c r="O1176" t="s">
        <v>5353</v>
      </c>
      <c r="P1176" t="s">
        <v>223</v>
      </c>
      <c r="Q1176" t="s">
        <v>5354</v>
      </c>
      <c r="S1176">
        <v>193</v>
      </c>
      <c r="T1176" t="s">
        <v>6133</v>
      </c>
      <c r="U1176">
        <v>4973</v>
      </c>
      <c r="V1176">
        <v>4561</v>
      </c>
      <c r="W1176">
        <v>1.0903</v>
      </c>
      <c r="X1176" t="s">
        <v>70</v>
      </c>
      <c r="Y1176" t="s">
        <v>5356</v>
      </c>
      <c r="Z1176">
        <v>1399.74</v>
      </c>
      <c r="AA1176">
        <v>271.31</v>
      </c>
      <c r="AB1176">
        <v>379762</v>
      </c>
      <c r="AC1176" t="b">
        <v>0</v>
      </c>
      <c r="AD1176" t="b">
        <v>0</v>
      </c>
      <c r="AE1176" t="b">
        <v>0</v>
      </c>
      <c r="AF1176" t="b">
        <v>0</v>
      </c>
      <c r="AG1176" t="s">
        <v>58</v>
      </c>
      <c r="AH1176">
        <v>16</v>
      </c>
      <c r="AI1176" t="s">
        <v>59</v>
      </c>
      <c r="AJ1176" t="s">
        <v>60</v>
      </c>
      <c r="AL1176" t="s">
        <v>225</v>
      </c>
      <c r="AM1176" t="s">
        <v>62</v>
      </c>
      <c r="AN1176" t="s">
        <v>63</v>
      </c>
      <c r="AO1176" t="s">
        <v>5357</v>
      </c>
      <c r="AP1176" t="s">
        <v>6130</v>
      </c>
    </row>
    <row r="1177" spans="1:42" x14ac:dyDescent="0.45">
      <c r="A1177" t="s">
        <v>5344</v>
      </c>
      <c r="B1177" t="s">
        <v>5345</v>
      </c>
      <c r="C1177" t="s">
        <v>5346</v>
      </c>
      <c r="D1177">
        <v>2022</v>
      </c>
      <c r="E1177" t="s">
        <v>783</v>
      </c>
      <c r="F1177" t="s">
        <v>5347</v>
      </c>
      <c r="G1177">
        <v>81</v>
      </c>
      <c r="J1177" t="s">
        <v>6134</v>
      </c>
      <c r="K1177" t="s">
        <v>6135</v>
      </c>
      <c r="L1177" t="s">
        <v>6136</v>
      </c>
      <c r="M1177" t="s">
        <v>6137</v>
      </c>
      <c r="N1177" t="s">
        <v>5352</v>
      </c>
      <c r="O1177" t="s">
        <v>5353</v>
      </c>
      <c r="P1177" t="s">
        <v>223</v>
      </c>
      <c r="Q1177" t="s">
        <v>5354</v>
      </c>
      <c r="S1177">
        <v>114</v>
      </c>
      <c r="T1177" t="s">
        <v>6138</v>
      </c>
      <c r="U1177">
        <v>4165</v>
      </c>
      <c r="V1177">
        <v>4561</v>
      </c>
      <c r="W1177">
        <v>0.91320000000000001</v>
      </c>
      <c r="X1177" t="s">
        <v>70</v>
      </c>
      <c r="Y1177" t="s">
        <v>5356</v>
      </c>
      <c r="Z1177">
        <v>837.75</v>
      </c>
      <c r="AA1177">
        <v>993.47</v>
      </c>
      <c r="AB1177">
        <v>832279</v>
      </c>
      <c r="AC1177" t="b">
        <v>1</v>
      </c>
      <c r="AD1177" t="b">
        <v>1</v>
      </c>
      <c r="AE1177" t="b">
        <v>0</v>
      </c>
      <c r="AF1177" t="b">
        <v>0</v>
      </c>
      <c r="AG1177" t="s">
        <v>58</v>
      </c>
      <c r="AH1177">
        <v>20</v>
      </c>
      <c r="AI1177" t="s">
        <v>59</v>
      </c>
      <c r="AJ1177" t="s">
        <v>71</v>
      </c>
      <c r="AL1177" t="s">
        <v>72</v>
      </c>
      <c r="AM1177" t="s">
        <v>62</v>
      </c>
      <c r="AN1177" t="s">
        <v>63</v>
      </c>
      <c r="AO1177" t="s">
        <v>5357</v>
      </c>
      <c r="AP1177" t="s">
        <v>6135</v>
      </c>
    </row>
    <row r="1178" spans="1:42" x14ac:dyDescent="0.45">
      <c r="A1178" t="s">
        <v>5344</v>
      </c>
      <c r="B1178" t="s">
        <v>5345</v>
      </c>
      <c r="C1178" t="s">
        <v>5346</v>
      </c>
      <c r="D1178">
        <v>2022</v>
      </c>
      <c r="E1178" t="s">
        <v>783</v>
      </c>
      <c r="F1178" t="s">
        <v>5347</v>
      </c>
      <c r="G1178">
        <v>80</v>
      </c>
      <c r="J1178" t="s">
        <v>6139</v>
      </c>
      <c r="K1178" t="s">
        <v>6140</v>
      </c>
      <c r="L1178" t="s">
        <v>6141</v>
      </c>
      <c r="M1178" t="s">
        <v>6142</v>
      </c>
      <c r="N1178" t="s">
        <v>5352</v>
      </c>
      <c r="O1178" t="s">
        <v>5353</v>
      </c>
      <c r="P1178" t="s">
        <v>223</v>
      </c>
      <c r="Q1178" t="s">
        <v>5354</v>
      </c>
      <c r="S1178">
        <v>115</v>
      </c>
      <c r="T1178" t="s">
        <v>6143</v>
      </c>
      <c r="U1178">
        <v>4028</v>
      </c>
      <c r="V1178">
        <v>4561</v>
      </c>
      <c r="W1178">
        <v>0.8831</v>
      </c>
      <c r="X1178" t="s">
        <v>70</v>
      </c>
      <c r="Y1178" t="s">
        <v>5356</v>
      </c>
      <c r="Z1178">
        <v>844.75</v>
      </c>
      <c r="AA1178">
        <v>271.5</v>
      </c>
      <c r="AB1178">
        <v>229347</v>
      </c>
      <c r="AC1178" t="b">
        <v>1</v>
      </c>
      <c r="AD1178" t="b">
        <v>1</v>
      </c>
      <c r="AE1178" t="b">
        <v>0</v>
      </c>
      <c r="AF1178" t="b">
        <v>0</v>
      </c>
      <c r="AG1178" t="s">
        <v>58</v>
      </c>
      <c r="AH1178">
        <v>20</v>
      </c>
      <c r="AI1178" t="s">
        <v>59</v>
      </c>
      <c r="AJ1178" t="s">
        <v>71</v>
      </c>
      <c r="AL1178" t="s">
        <v>72</v>
      </c>
      <c r="AM1178" t="s">
        <v>62</v>
      </c>
      <c r="AN1178" t="s">
        <v>63</v>
      </c>
      <c r="AO1178" t="s">
        <v>5357</v>
      </c>
      <c r="AP1178" t="s">
        <v>6140</v>
      </c>
    </row>
    <row r="1179" spans="1:42" x14ac:dyDescent="0.45">
      <c r="A1179" t="s">
        <v>5344</v>
      </c>
      <c r="B1179" t="s">
        <v>5345</v>
      </c>
      <c r="C1179" t="s">
        <v>5346</v>
      </c>
      <c r="D1179">
        <v>2022</v>
      </c>
      <c r="E1179" t="s">
        <v>783</v>
      </c>
      <c r="F1179" t="s">
        <v>5347</v>
      </c>
      <c r="G1179">
        <v>93</v>
      </c>
      <c r="J1179" t="s">
        <v>6144</v>
      </c>
      <c r="K1179" t="s">
        <v>6145</v>
      </c>
      <c r="L1179" t="s">
        <v>6146</v>
      </c>
      <c r="M1179" t="s">
        <v>6147</v>
      </c>
      <c r="N1179" t="s">
        <v>5352</v>
      </c>
      <c r="O1179" t="s">
        <v>5353</v>
      </c>
      <c r="P1179" t="s">
        <v>223</v>
      </c>
      <c r="Q1179" t="s">
        <v>5354</v>
      </c>
      <c r="S1179">
        <v>102</v>
      </c>
      <c r="T1179" t="s">
        <v>6148</v>
      </c>
      <c r="U1179">
        <v>4006</v>
      </c>
      <c r="V1179">
        <v>4561</v>
      </c>
      <c r="W1179">
        <v>0.87829999999999997</v>
      </c>
      <c r="X1179" t="s">
        <v>70</v>
      </c>
      <c r="Y1179" t="s">
        <v>5356</v>
      </c>
      <c r="Z1179">
        <v>753.75</v>
      </c>
      <c r="AA1179">
        <v>383.61</v>
      </c>
      <c r="AB1179">
        <v>289145</v>
      </c>
      <c r="AC1179" t="b">
        <v>1</v>
      </c>
      <c r="AD1179" t="b">
        <v>1</v>
      </c>
      <c r="AE1179" t="b">
        <v>0</v>
      </c>
      <c r="AF1179" t="b">
        <v>0</v>
      </c>
      <c r="AG1179" t="s">
        <v>58</v>
      </c>
      <c r="AH1179">
        <v>20</v>
      </c>
      <c r="AI1179" t="s">
        <v>59</v>
      </c>
      <c r="AJ1179" t="s">
        <v>71</v>
      </c>
      <c r="AL1179" t="s">
        <v>72</v>
      </c>
      <c r="AM1179" t="s">
        <v>62</v>
      </c>
      <c r="AN1179" t="s">
        <v>63</v>
      </c>
      <c r="AO1179" t="s">
        <v>5357</v>
      </c>
      <c r="AP1179" t="s">
        <v>6145</v>
      </c>
    </row>
    <row r="1180" spans="1:42" x14ac:dyDescent="0.45">
      <c r="A1180" t="s">
        <v>5344</v>
      </c>
      <c r="B1180" t="s">
        <v>5345</v>
      </c>
      <c r="C1180" t="s">
        <v>5346</v>
      </c>
      <c r="D1180">
        <v>2022</v>
      </c>
      <c r="E1180" t="s">
        <v>783</v>
      </c>
      <c r="F1180" t="s">
        <v>5347</v>
      </c>
      <c r="G1180">
        <v>79</v>
      </c>
      <c r="J1180" t="s">
        <v>6149</v>
      </c>
      <c r="K1180" t="s">
        <v>6150</v>
      </c>
      <c r="L1180" t="s">
        <v>6151</v>
      </c>
      <c r="M1180" t="s">
        <v>6152</v>
      </c>
      <c r="N1180" t="s">
        <v>5352</v>
      </c>
      <c r="O1180" t="s">
        <v>5353</v>
      </c>
      <c r="P1180" t="s">
        <v>223</v>
      </c>
      <c r="Q1180" t="s">
        <v>5354</v>
      </c>
      <c r="S1180">
        <v>116</v>
      </c>
      <c r="T1180" t="s">
        <v>6153</v>
      </c>
      <c r="U1180">
        <v>4188</v>
      </c>
      <c r="V1180">
        <v>4561</v>
      </c>
      <c r="W1180">
        <v>0.91820000000000002</v>
      </c>
      <c r="X1180" t="s">
        <v>70</v>
      </c>
      <c r="Y1180" t="s">
        <v>5356</v>
      </c>
      <c r="Z1180">
        <v>851.75</v>
      </c>
      <c r="AA1180">
        <v>148.80000000000001</v>
      </c>
      <c r="AB1180">
        <v>126738</v>
      </c>
      <c r="AC1180" t="b">
        <v>1</v>
      </c>
      <c r="AD1180" t="b">
        <v>1</v>
      </c>
      <c r="AE1180" t="b">
        <v>0</v>
      </c>
      <c r="AF1180" t="b">
        <v>0</v>
      </c>
      <c r="AG1180" t="s">
        <v>58</v>
      </c>
      <c r="AH1180">
        <v>20</v>
      </c>
      <c r="AI1180" t="s">
        <v>59</v>
      </c>
      <c r="AJ1180" t="s">
        <v>71</v>
      </c>
      <c r="AL1180" t="s">
        <v>72</v>
      </c>
      <c r="AM1180" t="s">
        <v>62</v>
      </c>
      <c r="AN1180" t="s">
        <v>63</v>
      </c>
      <c r="AO1180" t="s">
        <v>5357</v>
      </c>
      <c r="AP1180" t="s">
        <v>6150</v>
      </c>
    </row>
    <row r="1181" spans="1:42" x14ac:dyDescent="0.45">
      <c r="A1181" t="s">
        <v>5344</v>
      </c>
      <c r="B1181" t="s">
        <v>5345</v>
      </c>
      <c r="C1181" t="s">
        <v>5346</v>
      </c>
      <c r="D1181">
        <v>2022</v>
      </c>
      <c r="E1181" t="s">
        <v>783</v>
      </c>
      <c r="F1181" t="s">
        <v>5347</v>
      </c>
      <c r="G1181">
        <v>44</v>
      </c>
      <c r="J1181" t="s">
        <v>6154</v>
      </c>
      <c r="K1181" t="s">
        <v>6155</v>
      </c>
      <c r="L1181" t="s">
        <v>6156</v>
      </c>
      <c r="M1181" t="s">
        <v>6157</v>
      </c>
      <c r="N1181" t="s">
        <v>5352</v>
      </c>
      <c r="O1181" t="s">
        <v>5353</v>
      </c>
      <c r="P1181" t="s">
        <v>223</v>
      </c>
      <c r="Q1181" t="s">
        <v>5354</v>
      </c>
      <c r="S1181">
        <v>152</v>
      </c>
      <c r="T1181" t="s">
        <v>6158</v>
      </c>
      <c r="U1181">
        <v>4729</v>
      </c>
      <c r="V1181">
        <v>4561</v>
      </c>
      <c r="W1181">
        <v>1.0367999999999999</v>
      </c>
      <c r="X1181" t="s">
        <v>70</v>
      </c>
      <c r="Y1181" t="s">
        <v>5356</v>
      </c>
      <c r="Z1181">
        <v>1103.75</v>
      </c>
      <c r="AA1181">
        <v>244.41</v>
      </c>
      <c r="AB1181">
        <v>269766</v>
      </c>
      <c r="AC1181" t="b">
        <v>1</v>
      </c>
      <c r="AD1181" t="b">
        <v>1</v>
      </c>
      <c r="AE1181" t="b">
        <v>0</v>
      </c>
      <c r="AF1181" t="b">
        <v>0</v>
      </c>
      <c r="AG1181" t="s">
        <v>58</v>
      </c>
      <c r="AH1181">
        <v>20</v>
      </c>
      <c r="AI1181" t="s">
        <v>59</v>
      </c>
      <c r="AJ1181" t="s">
        <v>71</v>
      </c>
      <c r="AL1181" t="s">
        <v>72</v>
      </c>
      <c r="AM1181" t="s">
        <v>62</v>
      </c>
      <c r="AN1181" t="s">
        <v>63</v>
      </c>
      <c r="AO1181" t="s">
        <v>5357</v>
      </c>
      <c r="AP1181" t="s">
        <v>6155</v>
      </c>
    </row>
    <row r="1182" spans="1:42" x14ac:dyDescent="0.45">
      <c r="A1182" t="s">
        <v>5344</v>
      </c>
      <c r="B1182" t="s">
        <v>5345</v>
      </c>
      <c r="C1182" t="s">
        <v>5346</v>
      </c>
      <c r="D1182">
        <v>2022</v>
      </c>
      <c r="E1182" t="s">
        <v>783</v>
      </c>
      <c r="F1182" t="s">
        <v>5347</v>
      </c>
      <c r="G1182">
        <v>78</v>
      </c>
      <c r="J1182" t="s">
        <v>6159</v>
      </c>
      <c r="K1182" t="s">
        <v>6160</v>
      </c>
      <c r="L1182" t="s">
        <v>6161</v>
      </c>
      <c r="M1182" t="s">
        <v>6162</v>
      </c>
      <c r="N1182" t="s">
        <v>5352</v>
      </c>
      <c r="O1182" t="s">
        <v>5353</v>
      </c>
      <c r="P1182" t="s">
        <v>223</v>
      </c>
      <c r="Q1182" t="s">
        <v>5354</v>
      </c>
      <c r="S1182">
        <v>117</v>
      </c>
      <c r="T1182" t="s">
        <v>6163</v>
      </c>
      <c r="U1182">
        <v>4039</v>
      </c>
      <c r="V1182">
        <v>4561</v>
      </c>
      <c r="W1182">
        <v>0.88560000000000005</v>
      </c>
      <c r="X1182" t="s">
        <v>70</v>
      </c>
      <c r="Y1182" t="s">
        <v>5356</v>
      </c>
      <c r="Z1182">
        <v>858.75</v>
      </c>
      <c r="AA1182">
        <v>150.4</v>
      </c>
      <c r="AB1182">
        <v>129154</v>
      </c>
      <c r="AC1182" t="b">
        <v>1</v>
      </c>
      <c r="AD1182" t="b">
        <v>1</v>
      </c>
      <c r="AE1182" t="b">
        <v>0</v>
      </c>
      <c r="AF1182" t="b">
        <v>0</v>
      </c>
      <c r="AG1182" t="s">
        <v>58</v>
      </c>
      <c r="AH1182">
        <v>20</v>
      </c>
      <c r="AI1182" t="s">
        <v>59</v>
      </c>
      <c r="AJ1182" t="s">
        <v>71</v>
      </c>
      <c r="AL1182" t="s">
        <v>72</v>
      </c>
      <c r="AM1182" t="s">
        <v>62</v>
      </c>
      <c r="AN1182" t="s">
        <v>63</v>
      </c>
      <c r="AO1182" t="s">
        <v>5357</v>
      </c>
      <c r="AP1182" t="s">
        <v>6160</v>
      </c>
    </row>
    <row r="1183" spans="1:42" x14ac:dyDescent="0.45">
      <c r="A1183" t="s">
        <v>5344</v>
      </c>
      <c r="B1183" t="s">
        <v>5345</v>
      </c>
      <c r="C1183" t="s">
        <v>5346</v>
      </c>
      <c r="D1183">
        <v>2022</v>
      </c>
      <c r="E1183" t="s">
        <v>783</v>
      </c>
      <c r="F1183" t="s">
        <v>5347</v>
      </c>
      <c r="G1183">
        <v>48</v>
      </c>
      <c r="J1183" t="s">
        <v>6164</v>
      </c>
      <c r="K1183" t="s">
        <v>6165</v>
      </c>
      <c r="L1183" t="s">
        <v>6166</v>
      </c>
      <c r="M1183" t="s">
        <v>6167</v>
      </c>
      <c r="N1183" t="s">
        <v>5352</v>
      </c>
      <c r="O1183" t="s">
        <v>5353</v>
      </c>
      <c r="P1183" t="s">
        <v>223</v>
      </c>
      <c r="Q1183" t="s">
        <v>5354</v>
      </c>
      <c r="S1183">
        <v>148</v>
      </c>
      <c r="T1183" t="s">
        <v>6168</v>
      </c>
      <c r="U1183">
        <v>4524</v>
      </c>
      <c r="V1183">
        <v>4561</v>
      </c>
      <c r="W1183">
        <v>0.9919</v>
      </c>
      <c r="X1183" t="s">
        <v>70</v>
      </c>
      <c r="Y1183" t="s">
        <v>5356</v>
      </c>
      <c r="Z1183">
        <v>1075.75</v>
      </c>
      <c r="AA1183">
        <v>209.74</v>
      </c>
      <c r="AB1183">
        <v>225629</v>
      </c>
      <c r="AC1183" t="b">
        <v>1</v>
      </c>
      <c r="AD1183" t="b">
        <v>1</v>
      </c>
      <c r="AE1183" t="b">
        <v>0</v>
      </c>
      <c r="AF1183" t="b">
        <v>0</v>
      </c>
      <c r="AG1183" t="s">
        <v>58</v>
      </c>
      <c r="AH1183">
        <v>20</v>
      </c>
      <c r="AI1183" t="s">
        <v>59</v>
      </c>
      <c r="AJ1183" t="s">
        <v>71</v>
      </c>
      <c r="AL1183" t="s">
        <v>72</v>
      </c>
      <c r="AM1183" t="s">
        <v>62</v>
      </c>
      <c r="AN1183" t="s">
        <v>63</v>
      </c>
      <c r="AO1183" t="s">
        <v>5357</v>
      </c>
      <c r="AP1183" t="s">
        <v>6165</v>
      </c>
    </row>
    <row r="1184" spans="1:42" x14ac:dyDescent="0.45">
      <c r="A1184" t="s">
        <v>5344</v>
      </c>
      <c r="B1184" t="s">
        <v>5345</v>
      </c>
      <c r="C1184" t="s">
        <v>5346</v>
      </c>
      <c r="D1184">
        <v>2022</v>
      </c>
      <c r="E1184" t="s">
        <v>783</v>
      </c>
      <c r="F1184" t="s">
        <v>5347</v>
      </c>
      <c r="G1184">
        <v>40</v>
      </c>
      <c r="J1184" t="s">
        <v>6169</v>
      </c>
      <c r="K1184" t="s">
        <v>6170</v>
      </c>
      <c r="L1184" t="s">
        <v>6171</v>
      </c>
      <c r="M1184" t="s">
        <v>6172</v>
      </c>
      <c r="N1184" t="s">
        <v>5352</v>
      </c>
      <c r="O1184" t="s">
        <v>5353</v>
      </c>
      <c r="P1184" t="s">
        <v>223</v>
      </c>
      <c r="Q1184" t="s">
        <v>5354</v>
      </c>
      <c r="S1184">
        <v>155</v>
      </c>
      <c r="T1184" t="s">
        <v>6173</v>
      </c>
      <c r="U1184">
        <v>4222</v>
      </c>
      <c r="V1184">
        <v>4561</v>
      </c>
      <c r="W1184">
        <v>0.92569999999999997</v>
      </c>
      <c r="X1184" t="s">
        <v>70</v>
      </c>
      <c r="Y1184" t="s">
        <v>5356</v>
      </c>
      <c r="Z1184">
        <v>1131.75</v>
      </c>
      <c r="AA1184">
        <v>256.48</v>
      </c>
      <c r="AB1184">
        <v>290269</v>
      </c>
      <c r="AC1184" t="b">
        <v>1</v>
      </c>
      <c r="AD1184" t="b">
        <v>1</v>
      </c>
      <c r="AE1184" t="b">
        <v>0</v>
      </c>
      <c r="AF1184" t="b">
        <v>0</v>
      </c>
      <c r="AG1184" t="s">
        <v>58</v>
      </c>
      <c r="AH1184">
        <v>20</v>
      </c>
      <c r="AI1184" t="s">
        <v>59</v>
      </c>
      <c r="AJ1184" t="s">
        <v>71</v>
      </c>
      <c r="AL1184" t="s">
        <v>72</v>
      </c>
      <c r="AM1184" t="s">
        <v>62</v>
      </c>
      <c r="AN1184" t="s">
        <v>63</v>
      </c>
      <c r="AO1184" t="s">
        <v>5357</v>
      </c>
      <c r="AP1184" t="s">
        <v>6170</v>
      </c>
    </row>
    <row r="1185" spans="1:42" x14ac:dyDescent="0.45">
      <c r="A1185" t="s">
        <v>5344</v>
      </c>
      <c r="B1185" t="s">
        <v>5345</v>
      </c>
      <c r="C1185" t="s">
        <v>5346</v>
      </c>
      <c r="D1185">
        <v>2022</v>
      </c>
      <c r="E1185" t="s">
        <v>783</v>
      </c>
      <c r="F1185" t="s">
        <v>5347</v>
      </c>
      <c r="G1185">
        <v>37</v>
      </c>
      <c r="J1185" t="s">
        <v>6174</v>
      </c>
      <c r="K1185" t="s">
        <v>6175</v>
      </c>
      <c r="L1185" t="s">
        <v>6176</v>
      </c>
      <c r="M1185" t="s">
        <v>6177</v>
      </c>
      <c r="N1185" t="s">
        <v>5352</v>
      </c>
      <c r="O1185" t="s">
        <v>5353</v>
      </c>
      <c r="P1185" t="s">
        <v>223</v>
      </c>
      <c r="Q1185" t="s">
        <v>5354</v>
      </c>
      <c r="S1185">
        <v>158</v>
      </c>
      <c r="T1185" t="s">
        <v>6178</v>
      </c>
      <c r="U1185">
        <v>4126</v>
      </c>
      <c r="V1185">
        <v>4561</v>
      </c>
      <c r="W1185">
        <v>0.90459999999999996</v>
      </c>
      <c r="X1185" t="s">
        <v>70</v>
      </c>
      <c r="Y1185" t="s">
        <v>5356</v>
      </c>
      <c r="Z1185">
        <v>1152.75</v>
      </c>
      <c r="AA1185">
        <v>142.16999999999999</v>
      </c>
      <c r="AB1185">
        <v>163887</v>
      </c>
      <c r="AC1185" t="b">
        <v>0</v>
      </c>
      <c r="AD1185" t="b">
        <v>0</v>
      </c>
      <c r="AE1185" t="b">
        <v>0</v>
      </c>
      <c r="AF1185" t="b">
        <v>0</v>
      </c>
      <c r="AG1185" t="s">
        <v>58</v>
      </c>
      <c r="AH1185">
        <v>16</v>
      </c>
      <c r="AI1185" t="s">
        <v>59</v>
      </c>
      <c r="AJ1185" t="s">
        <v>60</v>
      </c>
      <c r="AL1185" t="s">
        <v>225</v>
      </c>
      <c r="AM1185" t="s">
        <v>62</v>
      </c>
      <c r="AN1185" t="s">
        <v>63</v>
      </c>
      <c r="AO1185" t="s">
        <v>5357</v>
      </c>
      <c r="AP1185" t="s">
        <v>6175</v>
      </c>
    </row>
    <row r="1186" spans="1:42" x14ac:dyDescent="0.45">
      <c r="A1186" t="s">
        <v>5344</v>
      </c>
      <c r="B1186" t="s">
        <v>5345</v>
      </c>
      <c r="C1186" t="s">
        <v>5346</v>
      </c>
      <c r="D1186">
        <v>2022</v>
      </c>
      <c r="E1186" t="s">
        <v>783</v>
      </c>
      <c r="F1186" t="s">
        <v>5347</v>
      </c>
      <c r="G1186">
        <v>26</v>
      </c>
      <c r="J1186" t="s">
        <v>6179</v>
      </c>
      <c r="K1186" t="s">
        <v>6180</v>
      </c>
      <c r="L1186" t="s">
        <v>6181</v>
      </c>
      <c r="M1186" t="s">
        <v>6182</v>
      </c>
      <c r="N1186" t="s">
        <v>5352</v>
      </c>
      <c r="O1186" t="s">
        <v>5353</v>
      </c>
      <c r="P1186" t="s">
        <v>223</v>
      </c>
      <c r="Q1186" t="s">
        <v>5354</v>
      </c>
      <c r="S1186">
        <v>169</v>
      </c>
      <c r="T1186" t="s">
        <v>6183</v>
      </c>
      <c r="U1186">
        <v>4526</v>
      </c>
      <c r="V1186">
        <v>4561</v>
      </c>
      <c r="W1186">
        <v>0.99229999999999996</v>
      </c>
      <c r="X1186" t="s">
        <v>70</v>
      </c>
      <c r="Y1186" t="s">
        <v>5356</v>
      </c>
      <c r="Z1186">
        <v>1231.74</v>
      </c>
      <c r="AA1186">
        <v>232.97</v>
      </c>
      <c r="AB1186">
        <v>286964</v>
      </c>
      <c r="AC1186" t="b">
        <v>1</v>
      </c>
      <c r="AD1186" t="b">
        <v>1</v>
      </c>
      <c r="AE1186" t="b">
        <v>0</v>
      </c>
      <c r="AF1186" t="b">
        <v>0</v>
      </c>
      <c r="AG1186" t="s">
        <v>58</v>
      </c>
      <c r="AH1186">
        <v>20</v>
      </c>
      <c r="AI1186" t="s">
        <v>59</v>
      </c>
      <c r="AJ1186" t="s">
        <v>71</v>
      </c>
      <c r="AL1186" t="s">
        <v>72</v>
      </c>
      <c r="AM1186" t="s">
        <v>62</v>
      </c>
      <c r="AN1186" t="s">
        <v>63</v>
      </c>
      <c r="AO1186" t="s">
        <v>5357</v>
      </c>
      <c r="AP1186" t="s">
        <v>6180</v>
      </c>
    </row>
    <row r="1187" spans="1:42" x14ac:dyDescent="0.45">
      <c r="A1187" t="s">
        <v>5344</v>
      </c>
      <c r="B1187" t="s">
        <v>5345</v>
      </c>
      <c r="C1187" t="s">
        <v>5346</v>
      </c>
      <c r="D1187">
        <v>2022</v>
      </c>
      <c r="E1187" t="s">
        <v>783</v>
      </c>
      <c r="F1187" t="s">
        <v>5347</v>
      </c>
      <c r="G1187">
        <v>65</v>
      </c>
      <c r="J1187" t="s">
        <v>6184</v>
      </c>
      <c r="K1187" t="s">
        <v>6185</v>
      </c>
      <c r="L1187" t="s">
        <v>6186</v>
      </c>
      <c r="M1187" t="s">
        <v>6187</v>
      </c>
      <c r="N1187" t="s">
        <v>5352</v>
      </c>
      <c r="O1187" t="s">
        <v>5353</v>
      </c>
      <c r="P1187" t="s">
        <v>223</v>
      </c>
      <c r="Q1187" t="s">
        <v>5354</v>
      </c>
      <c r="S1187">
        <v>121</v>
      </c>
      <c r="T1187" t="s">
        <v>6188</v>
      </c>
      <c r="U1187">
        <v>4642</v>
      </c>
      <c r="V1187">
        <v>4561</v>
      </c>
      <c r="W1187">
        <v>1.0178</v>
      </c>
      <c r="X1187" t="s">
        <v>70</v>
      </c>
      <c r="Y1187" t="s">
        <v>5356</v>
      </c>
      <c r="Z1187">
        <v>881.76</v>
      </c>
      <c r="AA1187">
        <v>179.78</v>
      </c>
      <c r="AB1187">
        <v>158523</v>
      </c>
      <c r="AC1187" t="b">
        <v>1</v>
      </c>
      <c r="AD1187" t="b">
        <v>1</v>
      </c>
      <c r="AE1187" t="b">
        <v>0</v>
      </c>
      <c r="AF1187" t="b">
        <v>0</v>
      </c>
      <c r="AG1187" t="s">
        <v>58</v>
      </c>
      <c r="AH1187">
        <v>20</v>
      </c>
      <c r="AI1187" t="s">
        <v>59</v>
      </c>
      <c r="AJ1187" t="s">
        <v>71</v>
      </c>
      <c r="AL1187" t="s">
        <v>72</v>
      </c>
      <c r="AM1187" t="s">
        <v>62</v>
      </c>
      <c r="AN1187" t="s">
        <v>63</v>
      </c>
      <c r="AO1187" t="s">
        <v>5357</v>
      </c>
      <c r="AP1187" t="s">
        <v>6185</v>
      </c>
    </row>
    <row r="1188" spans="1:42" x14ac:dyDescent="0.45">
      <c r="A1188" t="s">
        <v>5344</v>
      </c>
      <c r="B1188" t="s">
        <v>5345</v>
      </c>
      <c r="C1188" t="s">
        <v>5346</v>
      </c>
      <c r="D1188">
        <v>2022</v>
      </c>
      <c r="E1188" t="s">
        <v>783</v>
      </c>
      <c r="F1188" t="s">
        <v>5347</v>
      </c>
      <c r="G1188">
        <v>62</v>
      </c>
      <c r="J1188" t="s">
        <v>6189</v>
      </c>
      <c r="K1188" t="s">
        <v>6190</v>
      </c>
      <c r="L1188" t="s">
        <v>6191</v>
      </c>
      <c r="M1188" t="s">
        <v>6192</v>
      </c>
      <c r="N1188" t="s">
        <v>5352</v>
      </c>
      <c r="O1188" t="s">
        <v>5353</v>
      </c>
      <c r="P1188" t="s">
        <v>223</v>
      </c>
      <c r="Q1188" t="s">
        <v>5354</v>
      </c>
      <c r="S1188">
        <v>133</v>
      </c>
      <c r="T1188" t="s">
        <v>6193</v>
      </c>
      <c r="U1188">
        <v>4137</v>
      </c>
      <c r="V1188">
        <v>4561</v>
      </c>
      <c r="W1188">
        <v>0.90700000000000003</v>
      </c>
      <c r="X1188" t="s">
        <v>70</v>
      </c>
      <c r="Y1188" t="s">
        <v>5356</v>
      </c>
      <c r="Z1188">
        <v>977.75</v>
      </c>
      <c r="AA1188">
        <v>247.3</v>
      </c>
      <c r="AB1188">
        <v>241796</v>
      </c>
      <c r="AC1188" t="b">
        <v>1</v>
      </c>
      <c r="AD1188" t="b">
        <v>1</v>
      </c>
      <c r="AE1188" t="b">
        <v>0</v>
      </c>
      <c r="AF1188" t="b">
        <v>0</v>
      </c>
      <c r="AG1188" t="s">
        <v>58</v>
      </c>
      <c r="AH1188">
        <v>20</v>
      </c>
      <c r="AI1188" t="s">
        <v>59</v>
      </c>
      <c r="AJ1188" t="s">
        <v>71</v>
      </c>
      <c r="AL1188" t="s">
        <v>72</v>
      </c>
      <c r="AM1188" t="s">
        <v>62</v>
      </c>
      <c r="AN1188" t="s">
        <v>63</v>
      </c>
      <c r="AO1188" t="s">
        <v>5357</v>
      </c>
      <c r="AP1188" t="s">
        <v>6190</v>
      </c>
    </row>
    <row r="1189" spans="1:42" x14ac:dyDescent="0.45">
      <c r="A1189" t="s">
        <v>5344</v>
      </c>
      <c r="B1189" t="s">
        <v>5345</v>
      </c>
      <c r="C1189" t="s">
        <v>5346</v>
      </c>
      <c r="D1189">
        <v>2022</v>
      </c>
      <c r="E1189" t="s">
        <v>783</v>
      </c>
      <c r="F1189" t="s">
        <v>5347</v>
      </c>
      <c r="G1189">
        <v>75</v>
      </c>
      <c r="J1189" t="s">
        <v>6194</v>
      </c>
      <c r="K1189" t="s">
        <v>6195</v>
      </c>
      <c r="L1189" t="s">
        <v>6196</v>
      </c>
      <c r="M1189" t="s">
        <v>6197</v>
      </c>
      <c r="N1189" t="s">
        <v>5352</v>
      </c>
      <c r="O1189" t="s">
        <v>5353</v>
      </c>
      <c r="P1189" t="s">
        <v>223</v>
      </c>
      <c r="Q1189" t="s">
        <v>5354</v>
      </c>
      <c r="S1189">
        <v>120</v>
      </c>
      <c r="T1189" t="s">
        <v>6198</v>
      </c>
      <c r="U1189">
        <v>4113</v>
      </c>
      <c r="V1189">
        <v>4561</v>
      </c>
      <c r="W1189">
        <v>0.90180000000000005</v>
      </c>
      <c r="X1189" t="s">
        <v>70</v>
      </c>
      <c r="Y1189" t="s">
        <v>5356</v>
      </c>
      <c r="Z1189">
        <v>879.75</v>
      </c>
      <c r="AA1189">
        <v>193.39</v>
      </c>
      <c r="AB1189">
        <v>170139</v>
      </c>
      <c r="AC1189" t="b">
        <v>1</v>
      </c>
      <c r="AD1189" t="b">
        <v>1</v>
      </c>
      <c r="AE1189" t="b">
        <v>0</v>
      </c>
      <c r="AF1189" t="b">
        <v>0</v>
      </c>
      <c r="AG1189" t="s">
        <v>58</v>
      </c>
      <c r="AH1189">
        <v>20</v>
      </c>
      <c r="AI1189" t="s">
        <v>59</v>
      </c>
      <c r="AJ1189" t="s">
        <v>71</v>
      </c>
      <c r="AL1189" t="s">
        <v>72</v>
      </c>
      <c r="AM1189" t="s">
        <v>62</v>
      </c>
      <c r="AN1189" t="s">
        <v>63</v>
      </c>
      <c r="AO1189" t="s">
        <v>5357</v>
      </c>
      <c r="AP1189" t="s">
        <v>6195</v>
      </c>
    </row>
    <row r="1190" spans="1:42" x14ac:dyDescent="0.45">
      <c r="A1190" t="s">
        <v>5344</v>
      </c>
      <c r="B1190" t="s">
        <v>5345</v>
      </c>
      <c r="C1190" t="s">
        <v>5346</v>
      </c>
      <c r="D1190">
        <v>2022</v>
      </c>
      <c r="E1190" t="s">
        <v>783</v>
      </c>
      <c r="F1190" t="s">
        <v>5347</v>
      </c>
      <c r="G1190">
        <v>31</v>
      </c>
      <c r="J1190" t="s">
        <v>6199</v>
      </c>
      <c r="K1190" t="s">
        <v>6200</v>
      </c>
      <c r="L1190" t="s">
        <v>6201</v>
      </c>
      <c r="M1190" t="s">
        <v>6202</v>
      </c>
      <c r="N1190" t="s">
        <v>5352</v>
      </c>
      <c r="O1190" t="s">
        <v>5353</v>
      </c>
      <c r="P1190" t="s">
        <v>223</v>
      </c>
      <c r="Q1190" t="s">
        <v>5354</v>
      </c>
      <c r="S1190">
        <v>164</v>
      </c>
      <c r="T1190" t="s">
        <v>6203</v>
      </c>
      <c r="U1190">
        <v>2876</v>
      </c>
      <c r="V1190">
        <v>4561</v>
      </c>
      <c r="W1190">
        <v>0.63060000000000005</v>
      </c>
      <c r="X1190" t="s">
        <v>70</v>
      </c>
      <c r="Y1190" t="s">
        <v>5356</v>
      </c>
      <c r="Z1190">
        <v>1194.75</v>
      </c>
      <c r="AA1190">
        <v>106.01</v>
      </c>
      <c r="AB1190">
        <v>126654</v>
      </c>
      <c r="AC1190" t="b">
        <v>0</v>
      </c>
      <c r="AD1190" t="b">
        <v>0</v>
      </c>
      <c r="AE1190" t="b">
        <v>0</v>
      </c>
      <c r="AF1190" t="b">
        <v>0</v>
      </c>
      <c r="AG1190" t="s">
        <v>58</v>
      </c>
      <c r="AH1190">
        <v>16</v>
      </c>
      <c r="AI1190" t="s">
        <v>59</v>
      </c>
      <c r="AJ1190" t="s">
        <v>60</v>
      </c>
      <c r="AL1190" t="s">
        <v>225</v>
      </c>
      <c r="AM1190" t="s">
        <v>62</v>
      </c>
      <c r="AN1190" t="s">
        <v>63</v>
      </c>
      <c r="AO1190" t="s">
        <v>5357</v>
      </c>
      <c r="AP1190" t="s">
        <v>6200</v>
      </c>
    </row>
    <row r="1191" spans="1:42" x14ac:dyDescent="0.45">
      <c r="A1191" t="s">
        <v>5344</v>
      </c>
      <c r="B1191" t="s">
        <v>5345</v>
      </c>
      <c r="C1191" t="s">
        <v>5346</v>
      </c>
      <c r="D1191">
        <v>2022</v>
      </c>
      <c r="E1191" t="s">
        <v>783</v>
      </c>
      <c r="F1191" t="s">
        <v>5347</v>
      </c>
      <c r="G1191">
        <v>39</v>
      </c>
      <c r="J1191" t="s">
        <v>6204</v>
      </c>
      <c r="K1191" t="s">
        <v>6205</v>
      </c>
      <c r="L1191" t="s">
        <v>6206</v>
      </c>
      <c r="M1191" t="s">
        <v>6207</v>
      </c>
      <c r="N1191" t="s">
        <v>5352</v>
      </c>
      <c r="O1191" t="s">
        <v>5353</v>
      </c>
      <c r="P1191" t="s">
        <v>223</v>
      </c>
      <c r="Q1191" t="s">
        <v>5354</v>
      </c>
      <c r="S1191">
        <v>156</v>
      </c>
      <c r="T1191" t="s">
        <v>6208</v>
      </c>
      <c r="U1191">
        <v>3908</v>
      </c>
      <c r="V1191">
        <v>4561</v>
      </c>
      <c r="W1191">
        <v>0.85680000000000001</v>
      </c>
      <c r="X1191" t="s">
        <v>70</v>
      </c>
      <c r="Y1191" t="s">
        <v>5356</v>
      </c>
      <c r="Z1191">
        <v>1138.75</v>
      </c>
      <c r="AA1191">
        <v>176.61</v>
      </c>
      <c r="AB1191">
        <v>201110</v>
      </c>
      <c r="AC1191" t="b">
        <v>1</v>
      </c>
      <c r="AD1191" t="b">
        <v>1</v>
      </c>
      <c r="AE1191" t="b">
        <v>0</v>
      </c>
      <c r="AF1191" t="b">
        <v>0</v>
      </c>
      <c r="AG1191" t="s">
        <v>58</v>
      </c>
      <c r="AH1191">
        <v>20</v>
      </c>
      <c r="AI1191" t="s">
        <v>59</v>
      </c>
      <c r="AJ1191" t="s">
        <v>71</v>
      </c>
      <c r="AL1191" t="s">
        <v>72</v>
      </c>
      <c r="AM1191" t="s">
        <v>62</v>
      </c>
      <c r="AN1191" t="s">
        <v>63</v>
      </c>
      <c r="AO1191" t="s">
        <v>5357</v>
      </c>
      <c r="AP1191" t="s">
        <v>6205</v>
      </c>
    </row>
    <row r="1192" spans="1:42" x14ac:dyDescent="0.45">
      <c r="A1192" t="s">
        <v>5344</v>
      </c>
      <c r="B1192" t="s">
        <v>5345</v>
      </c>
      <c r="C1192" t="s">
        <v>5346</v>
      </c>
      <c r="D1192">
        <v>2022</v>
      </c>
      <c r="E1192" t="s">
        <v>783</v>
      </c>
      <c r="F1192" t="s">
        <v>5347</v>
      </c>
      <c r="G1192">
        <v>63</v>
      </c>
      <c r="J1192" t="s">
        <v>6209</v>
      </c>
      <c r="K1192" t="s">
        <v>6210</v>
      </c>
      <c r="L1192" t="s">
        <v>6211</v>
      </c>
      <c r="M1192" t="s">
        <v>6212</v>
      </c>
      <c r="N1192" t="s">
        <v>5352</v>
      </c>
      <c r="O1192" t="s">
        <v>5353</v>
      </c>
      <c r="P1192" t="s">
        <v>223</v>
      </c>
      <c r="Q1192" t="s">
        <v>5354</v>
      </c>
      <c r="S1192">
        <v>132</v>
      </c>
      <c r="T1192" t="s">
        <v>6213</v>
      </c>
      <c r="U1192">
        <v>4249</v>
      </c>
      <c r="V1192">
        <v>4561</v>
      </c>
      <c r="W1192">
        <v>0.93159999999999998</v>
      </c>
      <c r="X1192" t="s">
        <v>70</v>
      </c>
      <c r="Y1192" t="s">
        <v>5356</v>
      </c>
      <c r="Z1192">
        <v>970.75</v>
      </c>
      <c r="AA1192">
        <v>211.16</v>
      </c>
      <c r="AB1192">
        <v>204988</v>
      </c>
      <c r="AC1192" t="b">
        <v>1</v>
      </c>
      <c r="AD1192" t="b">
        <v>1</v>
      </c>
      <c r="AE1192" t="b">
        <v>0</v>
      </c>
      <c r="AF1192" t="b">
        <v>0</v>
      </c>
      <c r="AG1192" t="s">
        <v>58</v>
      </c>
      <c r="AH1192">
        <v>20</v>
      </c>
      <c r="AI1192" t="s">
        <v>59</v>
      </c>
      <c r="AJ1192" t="s">
        <v>71</v>
      </c>
      <c r="AL1192" t="s">
        <v>72</v>
      </c>
      <c r="AM1192" t="s">
        <v>62</v>
      </c>
      <c r="AN1192" t="s">
        <v>63</v>
      </c>
      <c r="AO1192" t="s">
        <v>5357</v>
      </c>
      <c r="AP1192" t="s">
        <v>6210</v>
      </c>
    </row>
    <row r="1193" spans="1:42" x14ac:dyDescent="0.45">
      <c r="A1193" t="s">
        <v>5344</v>
      </c>
      <c r="B1193" t="s">
        <v>5345</v>
      </c>
      <c r="C1193" t="s">
        <v>5346</v>
      </c>
      <c r="D1193">
        <v>2022</v>
      </c>
      <c r="E1193" t="s">
        <v>783</v>
      </c>
      <c r="F1193" t="s">
        <v>5347</v>
      </c>
      <c r="G1193">
        <v>68</v>
      </c>
      <c r="J1193" t="s">
        <v>6214</v>
      </c>
      <c r="K1193" t="s">
        <v>6215</v>
      </c>
      <c r="L1193" t="s">
        <v>6216</v>
      </c>
      <c r="M1193" t="s">
        <v>6217</v>
      </c>
      <c r="N1193" t="s">
        <v>5352</v>
      </c>
      <c r="O1193" t="s">
        <v>5353</v>
      </c>
      <c r="P1193" t="s">
        <v>223</v>
      </c>
      <c r="Q1193" t="s">
        <v>5354</v>
      </c>
      <c r="S1193">
        <v>128</v>
      </c>
      <c r="T1193" t="s">
        <v>6218</v>
      </c>
      <c r="U1193">
        <v>4109</v>
      </c>
      <c r="V1193">
        <v>4561</v>
      </c>
      <c r="W1193">
        <v>0.90090000000000003</v>
      </c>
      <c r="X1193" t="s">
        <v>70</v>
      </c>
      <c r="Y1193" t="s">
        <v>5356</v>
      </c>
      <c r="Z1193">
        <v>935.75</v>
      </c>
      <c r="AA1193">
        <v>181.83</v>
      </c>
      <c r="AB1193">
        <v>170143</v>
      </c>
      <c r="AC1193" t="b">
        <v>1</v>
      </c>
      <c r="AD1193" t="b">
        <v>1</v>
      </c>
      <c r="AE1193" t="b">
        <v>0</v>
      </c>
      <c r="AF1193" t="b">
        <v>0</v>
      </c>
      <c r="AG1193" t="s">
        <v>58</v>
      </c>
      <c r="AH1193">
        <v>20</v>
      </c>
      <c r="AI1193" t="s">
        <v>59</v>
      </c>
      <c r="AJ1193" t="s">
        <v>71</v>
      </c>
      <c r="AL1193" t="s">
        <v>72</v>
      </c>
      <c r="AM1193" t="s">
        <v>62</v>
      </c>
      <c r="AN1193" t="s">
        <v>63</v>
      </c>
      <c r="AO1193" t="s">
        <v>5357</v>
      </c>
      <c r="AP1193" t="s">
        <v>6215</v>
      </c>
    </row>
    <row r="1194" spans="1:42" x14ac:dyDescent="0.45">
      <c r="A1194" t="s">
        <v>5344</v>
      </c>
      <c r="B1194" t="s">
        <v>5345</v>
      </c>
      <c r="C1194" t="s">
        <v>5346</v>
      </c>
      <c r="D1194">
        <v>2022</v>
      </c>
      <c r="E1194" t="s">
        <v>783</v>
      </c>
      <c r="F1194" t="s">
        <v>5347</v>
      </c>
      <c r="G1194">
        <v>143</v>
      </c>
      <c r="J1194" t="s">
        <v>6219</v>
      </c>
      <c r="K1194" t="s">
        <v>6220</v>
      </c>
      <c r="L1194" t="s">
        <v>6221</v>
      </c>
      <c r="M1194" t="s">
        <v>6222</v>
      </c>
      <c r="N1194" t="s">
        <v>5352</v>
      </c>
      <c r="O1194" t="s">
        <v>5353</v>
      </c>
      <c r="P1194" t="s">
        <v>223</v>
      </c>
      <c r="Q1194" t="s">
        <v>5354</v>
      </c>
      <c r="S1194">
        <v>53</v>
      </c>
      <c r="T1194" t="s">
        <v>6223</v>
      </c>
      <c r="U1194">
        <v>4985</v>
      </c>
      <c r="V1194">
        <v>4561</v>
      </c>
      <c r="W1194">
        <v>1.093</v>
      </c>
      <c r="X1194" t="s">
        <v>70</v>
      </c>
      <c r="Y1194" t="s">
        <v>5356</v>
      </c>
      <c r="Z1194">
        <v>389.75</v>
      </c>
      <c r="AA1194">
        <v>403.71</v>
      </c>
      <c r="AB1194">
        <v>157346</v>
      </c>
      <c r="AC1194" t="b">
        <v>1</v>
      </c>
      <c r="AD1194" t="b">
        <v>1</v>
      </c>
      <c r="AE1194" t="b">
        <v>0</v>
      </c>
      <c r="AF1194" t="b">
        <v>0</v>
      </c>
      <c r="AG1194" t="s">
        <v>58</v>
      </c>
      <c r="AH1194">
        <v>20</v>
      </c>
      <c r="AI1194" t="s">
        <v>59</v>
      </c>
      <c r="AJ1194" t="s">
        <v>71</v>
      </c>
      <c r="AL1194" t="s">
        <v>72</v>
      </c>
      <c r="AM1194" t="s">
        <v>62</v>
      </c>
      <c r="AN1194" t="s">
        <v>63</v>
      </c>
      <c r="AO1194" t="s">
        <v>5357</v>
      </c>
      <c r="AP1194" t="s">
        <v>6220</v>
      </c>
    </row>
    <row r="1195" spans="1:42" x14ac:dyDescent="0.45">
      <c r="A1195" t="s">
        <v>5344</v>
      </c>
      <c r="B1195" t="s">
        <v>5345</v>
      </c>
      <c r="C1195" t="s">
        <v>5346</v>
      </c>
      <c r="D1195">
        <v>2022</v>
      </c>
      <c r="E1195" t="s">
        <v>783</v>
      </c>
      <c r="F1195" t="s">
        <v>5347</v>
      </c>
      <c r="G1195">
        <v>67</v>
      </c>
      <c r="J1195" t="s">
        <v>6224</v>
      </c>
      <c r="K1195" t="s">
        <v>6225</v>
      </c>
      <c r="L1195" t="s">
        <v>6226</v>
      </c>
      <c r="M1195" t="s">
        <v>6227</v>
      </c>
      <c r="N1195" t="s">
        <v>5352</v>
      </c>
      <c r="O1195" t="s">
        <v>5353</v>
      </c>
      <c r="P1195" t="s">
        <v>223</v>
      </c>
      <c r="Q1195" t="s">
        <v>5354</v>
      </c>
      <c r="S1195">
        <v>129</v>
      </c>
      <c r="T1195" t="s">
        <v>6228</v>
      </c>
      <c r="U1195">
        <v>3995</v>
      </c>
      <c r="V1195">
        <v>4561</v>
      </c>
      <c r="W1195">
        <v>0.87590000000000001</v>
      </c>
      <c r="X1195" t="s">
        <v>70</v>
      </c>
      <c r="Y1195" t="s">
        <v>5356</v>
      </c>
      <c r="Z1195">
        <v>942.75</v>
      </c>
      <c r="AA1195">
        <v>167.33</v>
      </c>
      <c r="AB1195">
        <v>157754</v>
      </c>
      <c r="AC1195" t="b">
        <v>1</v>
      </c>
      <c r="AD1195" t="b">
        <v>1</v>
      </c>
      <c r="AE1195" t="b">
        <v>0</v>
      </c>
      <c r="AF1195" t="b">
        <v>0</v>
      </c>
      <c r="AG1195" t="s">
        <v>58</v>
      </c>
      <c r="AH1195">
        <v>20</v>
      </c>
      <c r="AI1195" t="s">
        <v>59</v>
      </c>
      <c r="AJ1195" t="s">
        <v>71</v>
      </c>
      <c r="AL1195" t="s">
        <v>72</v>
      </c>
      <c r="AM1195" t="s">
        <v>62</v>
      </c>
      <c r="AN1195" t="s">
        <v>63</v>
      </c>
      <c r="AO1195" t="s">
        <v>5357</v>
      </c>
      <c r="AP1195" t="s">
        <v>6225</v>
      </c>
    </row>
    <row r="1196" spans="1:42" x14ac:dyDescent="0.45">
      <c r="A1196" t="s">
        <v>5344</v>
      </c>
      <c r="B1196" t="s">
        <v>5345</v>
      </c>
      <c r="C1196" t="s">
        <v>5346</v>
      </c>
      <c r="D1196">
        <v>2022</v>
      </c>
      <c r="E1196" t="s">
        <v>783</v>
      </c>
      <c r="F1196" t="s">
        <v>5347</v>
      </c>
      <c r="G1196">
        <v>153</v>
      </c>
      <c r="J1196" t="s">
        <v>6229</v>
      </c>
      <c r="K1196" t="s">
        <v>6230</v>
      </c>
      <c r="L1196" t="s">
        <v>6231</v>
      </c>
      <c r="M1196" t="s">
        <v>6232</v>
      </c>
      <c r="N1196" t="s">
        <v>5352</v>
      </c>
      <c r="O1196" t="s">
        <v>5353</v>
      </c>
      <c r="P1196" t="s">
        <v>223</v>
      </c>
      <c r="Q1196" t="s">
        <v>5354</v>
      </c>
      <c r="S1196">
        <v>43</v>
      </c>
      <c r="T1196" t="s">
        <v>6233</v>
      </c>
      <c r="U1196">
        <v>5006</v>
      </c>
      <c r="V1196">
        <v>4561</v>
      </c>
      <c r="W1196">
        <v>1.0975999999999999</v>
      </c>
      <c r="X1196" t="s">
        <v>70</v>
      </c>
      <c r="Y1196" t="s">
        <v>5356</v>
      </c>
      <c r="Z1196">
        <v>319.75</v>
      </c>
      <c r="AA1196">
        <v>413.47</v>
      </c>
      <c r="AB1196">
        <v>132209</v>
      </c>
      <c r="AC1196" t="b">
        <v>1</v>
      </c>
      <c r="AD1196" t="b">
        <v>1</v>
      </c>
      <c r="AE1196" t="b">
        <v>0</v>
      </c>
      <c r="AF1196" t="b">
        <v>0</v>
      </c>
      <c r="AG1196" t="s">
        <v>58</v>
      </c>
      <c r="AH1196">
        <v>20</v>
      </c>
      <c r="AI1196" t="s">
        <v>59</v>
      </c>
      <c r="AJ1196" t="s">
        <v>71</v>
      </c>
      <c r="AL1196" t="s">
        <v>72</v>
      </c>
      <c r="AM1196" t="s">
        <v>62</v>
      </c>
      <c r="AN1196" t="s">
        <v>63</v>
      </c>
      <c r="AO1196" t="s">
        <v>5357</v>
      </c>
      <c r="AP1196" t="s">
        <v>6230</v>
      </c>
    </row>
    <row r="1197" spans="1:42" x14ac:dyDescent="0.45">
      <c r="A1197" t="s">
        <v>5344</v>
      </c>
      <c r="B1197" t="s">
        <v>5345</v>
      </c>
      <c r="C1197" t="s">
        <v>5346</v>
      </c>
      <c r="D1197">
        <v>2022</v>
      </c>
      <c r="E1197" t="s">
        <v>783</v>
      </c>
      <c r="F1197" t="s">
        <v>5347</v>
      </c>
      <c r="G1197">
        <v>52</v>
      </c>
      <c r="J1197" t="s">
        <v>6234</v>
      </c>
      <c r="K1197" t="s">
        <v>6235</v>
      </c>
      <c r="L1197" t="s">
        <v>6236</v>
      </c>
      <c r="M1197" t="s">
        <v>6237</v>
      </c>
      <c r="N1197" t="s">
        <v>5352</v>
      </c>
      <c r="O1197" t="s">
        <v>5353</v>
      </c>
      <c r="P1197" t="s">
        <v>223</v>
      </c>
      <c r="Q1197" t="s">
        <v>5354</v>
      </c>
      <c r="S1197">
        <v>143</v>
      </c>
      <c r="T1197" t="s">
        <v>6238</v>
      </c>
      <c r="U1197">
        <v>4074</v>
      </c>
      <c r="V1197">
        <v>4561</v>
      </c>
      <c r="W1197">
        <v>0.89319999999999999</v>
      </c>
      <c r="X1197" t="s">
        <v>70</v>
      </c>
      <c r="Y1197" t="s">
        <v>5356</v>
      </c>
      <c r="Z1197">
        <v>1047.75</v>
      </c>
      <c r="AA1197">
        <v>201.73</v>
      </c>
      <c r="AB1197">
        <v>211363</v>
      </c>
      <c r="AC1197" t="b">
        <v>1</v>
      </c>
      <c r="AD1197" t="b">
        <v>1</v>
      </c>
      <c r="AE1197" t="b">
        <v>0</v>
      </c>
      <c r="AF1197" t="b">
        <v>0</v>
      </c>
      <c r="AG1197" t="s">
        <v>58</v>
      </c>
      <c r="AH1197">
        <v>20</v>
      </c>
      <c r="AI1197" t="s">
        <v>59</v>
      </c>
      <c r="AJ1197" t="s">
        <v>71</v>
      </c>
      <c r="AL1197" t="s">
        <v>72</v>
      </c>
      <c r="AM1197" t="s">
        <v>62</v>
      </c>
      <c r="AN1197" t="s">
        <v>63</v>
      </c>
      <c r="AO1197" t="s">
        <v>5357</v>
      </c>
      <c r="AP1197" t="s">
        <v>6235</v>
      </c>
    </row>
    <row r="1198" spans="1:42" x14ac:dyDescent="0.45">
      <c r="A1198" t="s">
        <v>5344</v>
      </c>
      <c r="B1198" t="s">
        <v>5345</v>
      </c>
      <c r="C1198" t="s">
        <v>5346</v>
      </c>
      <c r="D1198">
        <v>2022</v>
      </c>
      <c r="E1198" t="s">
        <v>783</v>
      </c>
      <c r="F1198" t="s">
        <v>5347</v>
      </c>
      <c r="J1198" t="s">
        <v>6239</v>
      </c>
      <c r="K1198" t="s">
        <v>6240</v>
      </c>
      <c r="L1198" t="s">
        <v>6241</v>
      </c>
      <c r="M1198" t="s">
        <v>6242</v>
      </c>
      <c r="N1198" t="s">
        <v>5352</v>
      </c>
      <c r="O1198" t="s">
        <v>5353</v>
      </c>
      <c r="P1198" t="s">
        <v>223</v>
      </c>
      <c r="Q1198" t="s">
        <v>5354</v>
      </c>
      <c r="S1198">
        <v>25</v>
      </c>
      <c r="T1198" t="s">
        <v>6243</v>
      </c>
      <c r="U1198">
        <v>5314</v>
      </c>
      <c r="V1198">
        <v>4561</v>
      </c>
      <c r="W1198">
        <v>1.1651</v>
      </c>
      <c r="X1198" t="s">
        <v>70</v>
      </c>
      <c r="Y1198" t="s">
        <v>5356</v>
      </c>
      <c r="Z1198">
        <v>193.79</v>
      </c>
      <c r="AA1198">
        <v>1148.3399999999999</v>
      </c>
      <c r="AB1198">
        <v>222532</v>
      </c>
      <c r="AC1198" t="b">
        <v>0</v>
      </c>
      <c r="AD1198" t="b">
        <v>0</v>
      </c>
      <c r="AE1198" t="b">
        <v>0</v>
      </c>
      <c r="AF1198" t="b">
        <v>0</v>
      </c>
      <c r="AG1198" t="s">
        <v>58</v>
      </c>
      <c r="AH1198">
        <v>16</v>
      </c>
      <c r="AI1198" t="s">
        <v>386</v>
      </c>
      <c r="AJ1198" t="s">
        <v>387</v>
      </c>
      <c r="AL1198" t="s">
        <v>1330</v>
      </c>
      <c r="AM1198" t="s">
        <v>62</v>
      </c>
      <c r="AN1198" t="s">
        <v>63</v>
      </c>
      <c r="AO1198" t="s">
        <v>5357</v>
      </c>
      <c r="AP1198" t="s">
        <v>6240</v>
      </c>
    </row>
    <row r="1199" spans="1:42" x14ac:dyDescent="0.45">
      <c r="A1199" t="s">
        <v>5344</v>
      </c>
      <c r="B1199" t="s">
        <v>5345</v>
      </c>
      <c r="C1199" t="s">
        <v>5346</v>
      </c>
      <c r="D1199">
        <v>2022</v>
      </c>
      <c r="E1199" t="s">
        <v>783</v>
      </c>
      <c r="F1199" t="s">
        <v>5347</v>
      </c>
      <c r="G1199">
        <v>180</v>
      </c>
      <c r="J1199" t="s">
        <v>6244</v>
      </c>
      <c r="K1199" t="s">
        <v>6245</v>
      </c>
      <c r="L1199" t="s">
        <v>6246</v>
      </c>
      <c r="M1199" t="s">
        <v>6247</v>
      </c>
      <c r="N1199" t="s">
        <v>5352</v>
      </c>
      <c r="O1199" t="s">
        <v>5353</v>
      </c>
      <c r="P1199" t="s">
        <v>223</v>
      </c>
      <c r="Q1199" t="s">
        <v>5354</v>
      </c>
      <c r="S1199">
        <v>17</v>
      </c>
      <c r="T1199" t="s">
        <v>6248</v>
      </c>
      <c r="U1199">
        <v>5677</v>
      </c>
      <c r="V1199">
        <v>4561</v>
      </c>
      <c r="W1199">
        <v>1.2446999999999999</v>
      </c>
      <c r="X1199" t="s">
        <v>70</v>
      </c>
      <c r="Y1199" t="s">
        <v>5356</v>
      </c>
      <c r="Z1199">
        <v>130.76</v>
      </c>
      <c r="AA1199">
        <v>1660.2</v>
      </c>
      <c r="AB1199">
        <v>217090</v>
      </c>
      <c r="AC1199" t="b">
        <v>1</v>
      </c>
      <c r="AD1199" t="b">
        <v>1</v>
      </c>
      <c r="AE1199" t="b">
        <v>0</v>
      </c>
      <c r="AF1199" t="b">
        <v>0</v>
      </c>
      <c r="AG1199" t="s">
        <v>58</v>
      </c>
      <c r="AH1199">
        <v>20</v>
      </c>
      <c r="AI1199" t="s">
        <v>59</v>
      </c>
      <c r="AJ1199" t="s">
        <v>71</v>
      </c>
      <c r="AL1199" t="s">
        <v>72</v>
      </c>
      <c r="AM1199" t="s">
        <v>62</v>
      </c>
      <c r="AN1199" t="s">
        <v>63</v>
      </c>
      <c r="AO1199" t="s">
        <v>5357</v>
      </c>
      <c r="AP1199" t="s">
        <v>6245</v>
      </c>
    </row>
    <row r="1200" spans="1:42" x14ac:dyDescent="0.45">
      <c r="A1200" t="s">
        <v>5344</v>
      </c>
      <c r="B1200" t="s">
        <v>5345</v>
      </c>
      <c r="C1200" t="s">
        <v>5346</v>
      </c>
      <c r="D1200">
        <v>2022</v>
      </c>
      <c r="E1200" t="s">
        <v>783</v>
      </c>
      <c r="F1200" t="s">
        <v>5347</v>
      </c>
      <c r="G1200">
        <v>134</v>
      </c>
      <c r="J1200" t="s">
        <v>6249</v>
      </c>
      <c r="K1200" t="s">
        <v>6250</v>
      </c>
      <c r="L1200" t="s">
        <v>6251</v>
      </c>
      <c r="M1200" t="s">
        <v>6252</v>
      </c>
      <c r="N1200" t="s">
        <v>5352</v>
      </c>
      <c r="O1200" t="s">
        <v>5353</v>
      </c>
      <c r="P1200" t="s">
        <v>223</v>
      </c>
      <c r="Q1200" t="s">
        <v>5354</v>
      </c>
      <c r="S1200">
        <v>61</v>
      </c>
      <c r="T1200" t="s">
        <v>6253</v>
      </c>
      <c r="U1200">
        <v>5593</v>
      </c>
      <c r="V1200">
        <v>4561</v>
      </c>
      <c r="W1200">
        <v>1.2262999999999999</v>
      </c>
      <c r="X1200" t="s">
        <v>70</v>
      </c>
      <c r="Y1200" t="s">
        <v>5356</v>
      </c>
      <c r="Z1200">
        <v>452.75</v>
      </c>
      <c r="AA1200">
        <v>482.67</v>
      </c>
      <c r="AB1200">
        <v>218528</v>
      </c>
      <c r="AC1200" t="b">
        <v>1</v>
      </c>
      <c r="AD1200" t="b">
        <v>1</v>
      </c>
      <c r="AE1200" t="b">
        <v>0</v>
      </c>
      <c r="AF1200" t="b">
        <v>0</v>
      </c>
      <c r="AG1200" t="s">
        <v>58</v>
      </c>
      <c r="AH1200">
        <v>20</v>
      </c>
      <c r="AI1200" t="s">
        <v>59</v>
      </c>
      <c r="AJ1200" t="s">
        <v>71</v>
      </c>
      <c r="AL1200" t="s">
        <v>72</v>
      </c>
      <c r="AM1200" t="s">
        <v>62</v>
      </c>
      <c r="AN1200" t="s">
        <v>63</v>
      </c>
      <c r="AO1200" t="s">
        <v>5357</v>
      </c>
      <c r="AP1200" t="s">
        <v>6250</v>
      </c>
    </row>
    <row r="1201" spans="1:42" x14ac:dyDescent="0.45">
      <c r="A1201" t="s">
        <v>5344</v>
      </c>
      <c r="B1201" t="s">
        <v>5345</v>
      </c>
      <c r="C1201" t="s">
        <v>5346</v>
      </c>
      <c r="D1201">
        <v>2022</v>
      </c>
      <c r="E1201" t="s">
        <v>783</v>
      </c>
      <c r="F1201" t="s">
        <v>5347</v>
      </c>
      <c r="J1201" t="s">
        <v>6254</v>
      </c>
      <c r="K1201" t="s">
        <v>6255</v>
      </c>
      <c r="L1201" t="s">
        <v>6256</v>
      </c>
      <c r="M1201" t="s">
        <v>6257</v>
      </c>
      <c r="N1201" t="s">
        <v>5352</v>
      </c>
      <c r="O1201" t="s">
        <v>5353</v>
      </c>
      <c r="P1201" t="s">
        <v>223</v>
      </c>
      <c r="Q1201" t="s">
        <v>5354</v>
      </c>
      <c r="S1201">
        <v>24</v>
      </c>
      <c r="T1201" t="s">
        <v>6258</v>
      </c>
      <c r="U1201">
        <v>5574</v>
      </c>
      <c r="V1201">
        <v>4561</v>
      </c>
      <c r="W1201">
        <v>1.2221</v>
      </c>
      <c r="X1201" t="s">
        <v>70</v>
      </c>
      <c r="Y1201" t="s">
        <v>5356</v>
      </c>
      <c r="Z1201">
        <v>186.79</v>
      </c>
      <c r="AA1201">
        <v>1520.49</v>
      </c>
      <c r="AB1201">
        <v>284006</v>
      </c>
      <c r="AC1201" t="b">
        <v>0</v>
      </c>
      <c r="AD1201" t="b">
        <v>0</v>
      </c>
      <c r="AE1201" t="b">
        <v>0</v>
      </c>
      <c r="AF1201" t="b">
        <v>0</v>
      </c>
      <c r="AG1201" t="s">
        <v>58</v>
      </c>
      <c r="AH1201">
        <v>16</v>
      </c>
      <c r="AI1201" t="s">
        <v>386</v>
      </c>
      <c r="AJ1201" t="s">
        <v>387</v>
      </c>
      <c r="AL1201" t="s">
        <v>1330</v>
      </c>
      <c r="AM1201" t="s">
        <v>62</v>
      </c>
      <c r="AN1201" t="s">
        <v>63</v>
      </c>
      <c r="AO1201" t="s">
        <v>5357</v>
      </c>
      <c r="AP1201" t="s">
        <v>6255</v>
      </c>
    </row>
    <row r="1202" spans="1:42" x14ac:dyDescent="0.45">
      <c r="A1202" t="s">
        <v>5344</v>
      </c>
      <c r="B1202" t="s">
        <v>5345</v>
      </c>
      <c r="C1202" t="s">
        <v>5346</v>
      </c>
      <c r="D1202">
        <v>2022</v>
      </c>
      <c r="E1202" t="s">
        <v>783</v>
      </c>
      <c r="F1202" t="s">
        <v>5347</v>
      </c>
      <c r="G1202">
        <v>16</v>
      </c>
      <c r="J1202" t="s">
        <v>6259</v>
      </c>
      <c r="K1202" t="s">
        <v>6260</v>
      </c>
      <c r="L1202" t="s">
        <v>6261</v>
      </c>
      <c r="M1202" t="s">
        <v>6262</v>
      </c>
      <c r="N1202" t="s">
        <v>5352</v>
      </c>
      <c r="O1202" t="s">
        <v>5353</v>
      </c>
      <c r="P1202" t="s">
        <v>223</v>
      </c>
      <c r="Q1202" t="s">
        <v>5354</v>
      </c>
      <c r="S1202">
        <v>179</v>
      </c>
      <c r="T1202" t="s">
        <v>6263</v>
      </c>
      <c r="U1202">
        <v>4053</v>
      </c>
      <c r="V1202">
        <v>4561</v>
      </c>
      <c r="W1202">
        <v>0.88859999999999995</v>
      </c>
      <c r="X1202" t="s">
        <v>70</v>
      </c>
      <c r="Y1202" t="s">
        <v>5356</v>
      </c>
      <c r="Z1202">
        <v>1301.74</v>
      </c>
      <c r="AA1202">
        <v>275.06</v>
      </c>
      <c r="AB1202">
        <v>358057</v>
      </c>
      <c r="AC1202" t="b">
        <v>1</v>
      </c>
      <c r="AD1202" t="b">
        <v>1</v>
      </c>
      <c r="AE1202" t="b">
        <v>0</v>
      </c>
      <c r="AF1202" t="b">
        <v>0</v>
      </c>
      <c r="AG1202" t="s">
        <v>58</v>
      </c>
      <c r="AH1202">
        <v>20</v>
      </c>
      <c r="AI1202" t="s">
        <v>59</v>
      </c>
      <c r="AJ1202" t="s">
        <v>71</v>
      </c>
      <c r="AL1202" t="s">
        <v>72</v>
      </c>
      <c r="AM1202" t="s">
        <v>62</v>
      </c>
      <c r="AN1202" t="s">
        <v>63</v>
      </c>
      <c r="AO1202" t="s">
        <v>5357</v>
      </c>
      <c r="AP1202" t="s">
        <v>6260</v>
      </c>
    </row>
    <row r="1203" spans="1:42" x14ac:dyDescent="0.45">
      <c r="A1203" t="s">
        <v>5344</v>
      </c>
      <c r="B1203" t="s">
        <v>5345</v>
      </c>
      <c r="C1203" t="s">
        <v>5346</v>
      </c>
      <c r="D1203">
        <v>2022</v>
      </c>
      <c r="E1203" t="s">
        <v>783</v>
      </c>
      <c r="F1203" t="s">
        <v>5347</v>
      </c>
      <c r="G1203">
        <v>4</v>
      </c>
      <c r="J1203" t="s">
        <v>6264</v>
      </c>
      <c r="K1203" t="s">
        <v>6265</v>
      </c>
      <c r="L1203" t="s">
        <v>6266</v>
      </c>
      <c r="M1203" t="s">
        <v>6267</v>
      </c>
      <c r="N1203" t="s">
        <v>5352</v>
      </c>
      <c r="O1203" t="s">
        <v>5353</v>
      </c>
      <c r="P1203" t="s">
        <v>223</v>
      </c>
      <c r="Q1203" t="s">
        <v>5354</v>
      </c>
      <c r="S1203">
        <v>191</v>
      </c>
      <c r="T1203" t="s">
        <v>6268</v>
      </c>
      <c r="U1203">
        <v>4807</v>
      </c>
      <c r="V1203">
        <v>4561</v>
      </c>
      <c r="W1203">
        <v>1.0539000000000001</v>
      </c>
      <c r="X1203" t="s">
        <v>70</v>
      </c>
      <c r="Y1203" t="s">
        <v>5356</v>
      </c>
      <c r="Z1203">
        <v>1385.74</v>
      </c>
      <c r="AA1203">
        <v>232.44</v>
      </c>
      <c r="AB1203">
        <v>322108</v>
      </c>
      <c r="AC1203" t="b">
        <v>1</v>
      </c>
      <c r="AD1203" t="b">
        <v>1</v>
      </c>
      <c r="AE1203" t="b">
        <v>0</v>
      </c>
      <c r="AF1203" t="b">
        <v>0</v>
      </c>
      <c r="AG1203" t="s">
        <v>58</v>
      </c>
      <c r="AH1203">
        <v>20</v>
      </c>
      <c r="AI1203" t="s">
        <v>59</v>
      </c>
      <c r="AJ1203" t="s">
        <v>71</v>
      </c>
      <c r="AL1203" t="s">
        <v>72</v>
      </c>
      <c r="AM1203" t="s">
        <v>62</v>
      </c>
      <c r="AN1203" t="s">
        <v>63</v>
      </c>
      <c r="AO1203" t="s">
        <v>5357</v>
      </c>
      <c r="AP1203" t="s">
        <v>6265</v>
      </c>
    </row>
    <row r="1204" spans="1:42" x14ac:dyDescent="0.45">
      <c r="A1204" t="s">
        <v>5344</v>
      </c>
      <c r="B1204" t="s">
        <v>5345</v>
      </c>
      <c r="C1204" t="s">
        <v>5346</v>
      </c>
      <c r="D1204">
        <v>2022</v>
      </c>
      <c r="E1204" t="s">
        <v>783</v>
      </c>
      <c r="F1204" t="s">
        <v>5347</v>
      </c>
      <c r="G1204">
        <v>88</v>
      </c>
      <c r="J1204" t="s">
        <v>6269</v>
      </c>
      <c r="K1204" t="s">
        <v>6270</v>
      </c>
      <c r="L1204" t="s">
        <v>6271</v>
      </c>
      <c r="M1204" t="s">
        <v>6272</v>
      </c>
      <c r="N1204" t="s">
        <v>5352</v>
      </c>
      <c r="O1204" t="s">
        <v>5353</v>
      </c>
      <c r="P1204" t="s">
        <v>223</v>
      </c>
      <c r="Q1204" t="s">
        <v>5354</v>
      </c>
      <c r="S1204">
        <v>107</v>
      </c>
      <c r="T1204" t="s">
        <v>6273</v>
      </c>
      <c r="U1204">
        <v>4885</v>
      </c>
      <c r="V1204">
        <v>4561</v>
      </c>
      <c r="W1204">
        <v>1.071</v>
      </c>
      <c r="X1204" t="s">
        <v>70</v>
      </c>
      <c r="Y1204" t="s">
        <v>5356</v>
      </c>
      <c r="Z1204">
        <v>788.75</v>
      </c>
      <c r="AA1204">
        <v>405.83</v>
      </c>
      <c r="AB1204">
        <v>320096</v>
      </c>
      <c r="AC1204" t="b">
        <v>1</v>
      </c>
      <c r="AD1204" t="b">
        <v>1</v>
      </c>
      <c r="AE1204" t="b">
        <v>0</v>
      </c>
      <c r="AF1204" t="b">
        <v>0</v>
      </c>
      <c r="AG1204" t="s">
        <v>58</v>
      </c>
      <c r="AH1204">
        <v>20</v>
      </c>
      <c r="AI1204" t="s">
        <v>59</v>
      </c>
      <c r="AJ1204" t="s">
        <v>71</v>
      </c>
      <c r="AL1204" t="s">
        <v>72</v>
      </c>
      <c r="AM1204" t="s">
        <v>62</v>
      </c>
      <c r="AN1204" t="s">
        <v>63</v>
      </c>
      <c r="AO1204" t="s">
        <v>5357</v>
      </c>
      <c r="AP1204" t="s">
        <v>6270</v>
      </c>
    </row>
    <row r="1205" spans="1:42" x14ac:dyDescent="0.45">
      <c r="A1205" t="s">
        <v>5344</v>
      </c>
      <c r="B1205" t="s">
        <v>5345</v>
      </c>
      <c r="C1205" t="s">
        <v>5346</v>
      </c>
      <c r="D1205">
        <v>2022</v>
      </c>
      <c r="E1205" t="s">
        <v>783</v>
      </c>
      <c r="F1205" t="s">
        <v>5347</v>
      </c>
      <c r="G1205">
        <v>84</v>
      </c>
      <c r="J1205" t="s">
        <v>6274</v>
      </c>
      <c r="K1205" t="s">
        <v>6275</v>
      </c>
      <c r="L1205" t="s">
        <v>6276</v>
      </c>
      <c r="M1205" t="s">
        <v>6277</v>
      </c>
      <c r="N1205" t="s">
        <v>5352</v>
      </c>
      <c r="O1205" t="s">
        <v>5353</v>
      </c>
      <c r="P1205" t="s">
        <v>223</v>
      </c>
      <c r="Q1205" t="s">
        <v>5354</v>
      </c>
      <c r="S1205">
        <v>111</v>
      </c>
      <c r="T1205" t="s">
        <v>6278</v>
      </c>
      <c r="U1205">
        <v>4602</v>
      </c>
      <c r="V1205">
        <v>4561</v>
      </c>
      <c r="W1205">
        <v>1.0089999999999999</v>
      </c>
      <c r="X1205" t="s">
        <v>70</v>
      </c>
      <c r="Y1205" t="s">
        <v>5356</v>
      </c>
      <c r="Z1205">
        <v>816.75</v>
      </c>
      <c r="AA1205">
        <v>209.3</v>
      </c>
      <c r="AB1205">
        <v>170943</v>
      </c>
      <c r="AC1205" t="b">
        <v>1</v>
      </c>
      <c r="AD1205" t="b">
        <v>1</v>
      </c>
      <c r="AE1205" t="b">
        <v>0</v>
      </c>
      <c r="AF1205" t="b">
        <v>0</v>
      </c>
      <c r="AG1205" t="s">
        <v>58</v>
      </c>
      <c r="AH1205">
        <v>20</v>
      </c>
      <c r="AI1205" t="s">
        <v>59</v>
      </c>
      <c r="AJ1205" t="s">
        <v>71</v>
      </c>
      <c r="AL1205" t="s">
        <v>72</v>
      </c>
      <c r="AM1205" t="s">
        <v>62</v>
      </c>
      <c r="AN1205" t="s">
        <v>63</v>
      </c>
      <c r="AO1205" t="s">
        <v>5357</v>
      </c>
      <c r="AP1205" t="s">
        <v>6275</v>
      </c>
    </row>
    <row r="1206" spans="1:42" x14ac:dyDescent="0.45">
      <c r="A1206" t="s">
        <v>5344</v>
      </c>
      <c r="B1206" t="s">
        <v>5345</v>
      </c>
      <c r="C1206" t="s">
        <v>5346</v>
      </c>
      <c r="D1206">
        <v>2022</v>
      </c>
      <c r="E1206" t="s">
        <v>783</v>
      </c>
      <c r="F1206" t="s">
        <v>5347</v>
      </c>
      <c r="G1206">
        <v>19</v>
      </c>
      <c r="J1206" t="s">
        <v>6279</v>
      </c>
      <c r="K1206" t="s">
        <v>6280</v>
      </c>
      <c r="L1206" t="s">
        <v>6281</v>
      </c>
      <c r="M1206" t="s">
        <v>6282</v>
      </c>
      <c r="N1206" t="s">
        <v>5352</v>
      </c>
      <c r="O1206" t="s">
        <v>5353</v>
      </c>
      <c r="P1206" t="s">
        <v>223</v>
      </c>
      <c r="Q1206" t="s">
        <v>5354</v>
      </c>
      <c r="S1206">
        <v>176</v>
      </c>
      <c r="T1206" t="s">
        <v>6283</v>
      </c>
      <c r="U1206">
        <v>4608</v>
      </c>
      <c r="V1206">
        <v>4561</v>
      </c>
      <c r="W1206">
        <v>1.0103</v>
      </c>
      <c r="X1206" t="s">
        <v>70</v>
      </c>
      <c r="Y1206" t="s">
        <v>5356</v>
      </c>
      <c r="Z1206">
        <v>1280.74</v>
      </c>
      <c r="AA1206">
        <v>116.71</v>
      </c>
      <c r="AB1206">
        <v>149478</v>
      </c>
      <c r="AC1206" t="b">
        <v>1</v>
      </c>
      <c r="AD1206" t="b">
        <v>1</v>
      </c>
      <c r="AE1206" t="b">
        <v>0</v>
      </c>
      <c r="AF1206" t="b">
        <v>0</v>
      </c>
      <c r="AG1206" t="s">
        <v>58</v>
      </c>
      <c r="AH1206">
        <v>20</v>
      </c>
      <c r="AI1206" t="s">
        <v>59</v>
      </c>
      <c r="AJ1206" t="s">
        <v>71</v>
      </c>
      <c r="AL1206" t="s">
        <v>72</v>
      </c>
      <c r="AM1206" t="s">
        <v>62</v>
      </c>
      <c r="AN1206" t="s">
        <v>63</v>
      </c>
      <c r="AO1206" t="s">
        <v>5357</v>
      </c>
      <c r="AP1206" t="s">
        <v>6280</v>
      </c>
    </row>
    <row r="1207" spans="1:42" x14ac:dyDescent="0.45">
      <c r="A1207" t="s">
        <v>5344</v>
      </c>
      <c r="B1207" t="s">
        <v>5345</v>
      </c>
      <c r="C1207" t="s">
        <v>5346</v>
      </c>
      <c r="D1207">
        <v>2022</v>
      </c>
      <c r="E1207" t="s">
        <v>783</v>
      </c>
      <c r="F1207" t="s">
        <v>5347</v>
      </c>
      <c r="G1207">
        <v>46</v>
      </c>
      <c r="J1207" t="s">
        <v>6284</v>
      </c>
      <c r="K1207" t="s">
        <v>6285</v>
      </c>
      <c r="L1207" t="s">
        <v>6286</v>
      </c>
      <c r="M1207" t="s">
        <v>6287</v>
      </c>
      <c r="N1207" t="s">
        <v>5352</v>
      </c>
      <c r="O1207" t="s">
        <v>5353</v>
      </c>
      <c r="P1207" t="s">
        <v>223</v>
      </c>
      <c r="Q1207" t="s">
        <v>5354</v>
      </c>
      <c r="S1207">
        <v>150</v>
      </c>
      <c r="T1207" t="s">
        <v>6288</v>
      </c>
      <c r="U1207">
        <v>3927</v>
      </c>
      <c r="V1207">
        <v>4561</v>
      </c>
      <c r="W1207">
        <v>0.86099999999999999</v>
      </c>
      <c r="X1207" t="s">
        <v>70</v>
      </c>
      <c r="Y1207" t="s">
        <v>5356</v>
      </c>
      <c r="Z1207">
        <v>1089.75</v>
      </c>
      <c r="AA1207">
        <v>232.06</v>
      </c>
      <c r="AB1207">
        <v>252891</v>
      </c>
      <c r="AC1207" t="b">
        <v>1</v>
      </c>
      <c r="AD1207" t="b">
        <v>1</v>
      </c>
      <c r="AE1207" t="b">
        <v>0</v>
      </c>
      <c r="AF1207" t="b">
        <v>0</v>
      </c>
      <c r="AG1207" t="s">
        <v>58</v>
      </c>
      <c r="AH1207">
        <v>20</v>
      </c>
      <c r="AI1207" t="s">
        <v>59</v>
      </c>
      <c r="AJ1207" t="s">
        <v>71</v>
      </c>
      <c r="AL1207" t="s">
        <v>72</v>
      </c>
      <c r="AM1207" t="s">
        <v>62</v>
      </c>
      <c r="AN1207" t="s">
        <v>63</v>
      </c>
      <c r="AO1207" t="s">
        <v>5357</v>
      </c>
      <c r="AP1207" t="s">
        <v>6285</v>
      </c>
    </row>
    <row r="1208" spans="1:42" x14ac:dyDescent="0.45">
      <c r="A1208" t="s">
        <v>5344</v>
      </c>
      <c r="B1208" t="s">
        <v>5345</v>
      </c>
      <c r="C1208" t="s">
        <v>5346</v>
      </c>
      <c r="D1208">
        <v>2022</v>
      </c>
      <c r="E1208" t="s">
        <v>783</v>
      </c>
      <c r="F1208" t="s">
        <v>5347</v>
      </c>
      <c r="G1208">
        <v>33</v>
      </c>
      <c r="J1208" t="s">
        <v>6289</v>
      </c>
      <c r="K1208" t="s">
        <v>6290</v>
      </c>
      <c r="L1208" t="s">
        <v>6291</v>
      </c>
      <c r="M1208" t="s">
        <v>6292</v>
      </c>
      <c r="N1208" t="s">
        <v>5352</v>
      </c>
      <c r="O1208" t="s">
        <v>5353</v>
      </c>
      <c r="P1208" t="s">
        <v>223</v>
      </c>
      <c r="Q1208" t="s">
        <v>5354</v>
      </c>
      <c r="S1208">
        <v>162</v>
      </c>
      <c r="T1208" t="s">
        <v>6293</v>
      </c>
      <c r="U1208">
        <v>3895</v>
      </c>
      <c r="V1208">
        <v>4561</v>
      </c>
      <c r="W1208">
        <v>0.85399999999999998</v>
      </c>
      <c r="X1208" t="s">
        <v>70</v>
      </c>
      <c r="Y1208" t="s">
        <v>5356</v>
      </c>
      <c r="Z1208">
        <v>1180.1099999999999</v>
      </c>
      <c r="AA1208">
        <v>91.51</v>
      </c>
      <c r="AB1208">
        <v>107994</v>
      </c>
      <c r="AC1208" t="b">
        <v>0</v>
      </c>
      <c r="AD1208" t="b">
        <v>0</v>
      </c>
      <c r="AE1208" t="b">
        <v>0</v>
      </c>
      <c r="AF1208" t="b">
        <v>0</v>
      </c>
      <c r="AG1208" t="s">
        <v>58</v>
      </c>
      <c r="AH1208">
        <v>16</v>
      </c>
      <c r="AI1208" t="s">
        <v>59</v>
      </c>
      <c r="AJ1208" t="s">
        <v>60</v>
      </c>
      <c r="AL1208" t="s">
        <v>225</v>
      </c>
      <c r="AM1208" t="s">
        <v>62</v>
      </c>
      <c r="AN1208" t="s">
        <v>63</v>
      </c>
      <c r="AO1208" t="s">
        <v>5357</v>
      </c>
      <c r="AP1208" t="s">
        <v>6290</v>
      </c>
    </row>
    <row r="1209" spans="1:42" x14ac:dyDescent="0.45">
      <c r="A1209" t="s">
        <v>5344</v>
      </c>
      <c r="B1209" t="s">
        <v>5345</v>
      </c>
      <c r="C1209" t="s">
        <v>5346</v>
      </c>
      <c r="D1209">
        <v>2022</v>
      </c>
      <c r="E1209" t="s">
        <v>783</v>
      </c>
      <c r="F1209" t="s">
        <v>5347</v>
      </c>
      <c r="G1209">
        <v>71</v>
      </c>
      <c r="J1209" t="s">
        <v>6294</v>
      </c>
      <c r="K1209" t="s">
        <v>6295</v>
      </c>
      <c r="L1209" t="s">
        <v>6296</v>
      </c>
      <c r="M1209" t="s">
        <v>6297</v>
      </c>
      <c r="N1209" t="s">
        <v>5352</v>
      </c>
      <c r="O1209" t="s">
        <v>5353</v>
      </c>
      <c r="P1209" t="s">
        <v>223</v>
      </c>
      <c r="Q1209" t="s">
        <v>5354</v>
      </c>
      <c r="S1209">
        <v>125</v>
      </c>
      <c r="T1209" t="s">
        <v>6298</v>
      </c>
      <c r="U1209">
        <v>4065</v>
      </c>
      <c r="V1209">
        <v>4561</v>
      </c>
      <c r="W1209">
        <v>0.89129999999999998</v>
      </c>
      <c r="X1209" t="s">
        <v>70</v>
      </c>
      <c r="Y1209" t="s">
        <v>5356</v>
      </c>
      <c r="Z1209">
        <v>907.75</v>
      </c>
      <c r="AA1209">
        <v>68.66</v>
      </c>
      <c r="AB1209">
        <v>62323</v>
      </c>
      <c r="AC1209" t="b">
        <v>1</v>
      </c>
      <c r="AD1209" t="b">
        <v>1</v>
      </c>
      <c r="AE1209" t="b">
        <v>0</v>
      </c>
      <c r="AF1209" t="b">
        <v>0</v>
      </c>
      <c r="AG1209" t="s">
        <v>58</v>
      </c>
      <c r="AH1209">
        <v>20</v>
      </c>
      <c r="AI1209" t="s">
        <v>59</v>
      </c>
      <c r="AJ1209" t="s">
        <v>71</v>
      </c>
      <c r="AL1209" t="s">
        <v>72</v>
      </c>
      <c r="AM1209" t="s">
        <v>62</v>
      </c>
      <c r="AN1209" t="s">
        <v>63</v>
      </c>
      <c r="AO1209" t="s">
        <v>5357</v>
      </c>
      <c r="AP1209" t="s">
        <v>6295</v>
      </c>
    </row>
    <row r="1210" spans="1:42" x14ac:dyDescent="0.45">
      <c r="A1210" t="s">
        <v>5344</v>
      </c>
      <c r="B1210" t="s">
        <v>5345</v>
      </c>
      <c r="C1210" t="s">
        <v>5346</v>
      </c>
      <c r="D1210">
        <v>2022</v>
      </c>
      <c r="E1210" t="s">
        <v>783</v>
      </c>
      <c r="F1210" t="s">
        <v>5347</v>
      </c>
      <c r="G1210">
        <v>140</v>
      </c>
      <c r="J1210" t="s">
        <v>6299</v>
      </c>
      <c r="K1210" t="s">
        <v>6300</v>
      </c>
      <c r="L1210" t="s">
        <v>6301</v>
      </c>
      <c r="M1210" t="s">
        <v>6302</v>
      </c>
      <c r="N1210" t="s">
        <v>5352</v>
      </c>
      <c r="O1210" t="s">
        <v>5353</v>
      </c>
      <c r="P1210" t="s">
        <v>223</v>
      </c>
      <c r="Q1210" t="s">
        <v>5354</v>
      </c>
      <c r="S1210">
        <v>56</v>
      </c>
      <c r="T1210" t="s">
        <v>6303</v>
      </c>
      <c r="U1210">
        <v>4971</v>
      </c>
      <c r="V1210">
        <v>4561</v>
      </c>
      <c r="W1210">
        <v>1.0899000000000001</v>
      </c>
      <c r="X1210" t="s">
        <v>70</v>
      </c>
      <c r="Y1210" t="s">
        <v>5356</v>
      </c>
      <c r="Z1210">
        <v>410.75</v>
      </c>
      <c r="AA1210">
        <v>302.52999999999997</v>
      </c>
      <c r="AB1210">
        <v>124266</v>
      </c>
      <c r="AC1210" t="b">
        <v>1</v>
      </c>
      <c r="AD1210" t="b">
        <v>1</v>
      </c>
      <c r="AE1210" t="b">
        <v>0</v>
      </c>
      <c r="AF1210" t="b">
        <v>0</v>
      </c>
      <c r="AG1210" t="s">
        <v>58</v>
      </c>
      <c r="AH1210">
        <v>20</v>
      </c>
      <c r="AI1210" t="s">
        <v>59</v>
      </c>
      <c r="AJ1210" t="s">
        <v>71</v>
      </c>
      <c r="AL1210" t="s">
        <v>72</v>
      </c>
      <c r="AM1210" t="s">
        <v>62</v>
      </c>
      <c r="AN1210" t="s">
        <v>63</v>
      </c>
      <c r="AO1210" t="s">
        <v>5357</v>
      </c>
      <c r="AP1210" t="s">
        <v>6300</v>
      </c>
    </row>
    <row r="1211" spans="1:42" x14ac:dyDescent="0.45">
      <c r="A1211" t="s">
        <v>5344</v>
      </c>
      <c r="B1211" t="s">
        <v>5345</v>
      </c>
      <c r="C1211" t="s">
        <v>5346</v>
      </c>
      <c r="D1211">
        <v>2022</v>
      </c>
      <c r="E1211" t="s">
        <v>783</v>
      </c>
      <c r="F1211" t="s">
        <v>5347</v>
      </c>
      <c r="G1211">
        <v>54</v>
      </c>
      <c r="J1211" t="s">
        <v>6304</v>
      </c>
      <c r="K1211" t="s">
        <v>6305</v>
      </c>
      <c r="L1211" t="s">
        <v>6306</v>
      </c>
      <c r="M1211" t="s">
        <v>6307</v>
      </c>
      <c r="N1211" t="s">
        <v>5352</v>
      </c>
      <c r="O1211" t="s">
        <v>5353</v>
      </c>
      <c r="P1211" t="s">
        <v>223</v>
      </c>
      <c r="Q1211" t="s">
        <v>5354</v>
      </c>
      <c r="S1211">
        <v>141</v>
      </c>
      <c r="T1211" t="s">
        <v>6308</v>
      </c>
      <c r="U1211">
        <v>4154</v>
      </c>
      <c r="V1211">
        <v>4561</v>
      </c>
      <c r="W1211">
        <v>0.91080000000000005</v>
      </c>
      <c r="X1211" t="s">
        <v>70</v>
      </c>
      <c r="Y1211" t="s">
        <v>5356</v>
      </c>
      <c r="Z1211">
        <v>1033.75</v>
      </c>
      <c r="AA1211">
        <v>1053.54</v>
      </c>
      <c r="AB1211">
        <v>1089097</v>
      </c>
      <c r="AC1211" t="b">
        <v>1</v>
      </c>
      <c r="AD1211" t="b">
        <v>1</v>
      </c>
      <c r="AE1211" t="b">
        <v>0</v>
      </c>
      <c r="AF1211" t="b">
        <v>0</v>
      </c>
      <c r="AG1211" t="s">
        <v>58</v>
      </c>
      <c r="AH1211">
        <v>20</v>
      </c>
      <c r="AI1211" t="s">
        <v>59</v>
      </c>
      <c r="AJ1211" t="s">
        <v>71</v>
      </c>
      <c r="AL1211" t="s">
        <v>72</v>
      </c>
      <c r="AM1211" t="s">
        <v>62</v>
      </c>
      <c r="AN1211" t="s">
        <v>63</v>
      </c>
      <c r="AO1211" t="s">
        <v>5357</v>
      </c>
      <c r="AP1211" t="s">
        <v>6305</v>
      </c>
    </row>
    <row r="1212" spans="1:42" x14ac:dyDescent="0.45">
      <c r="A1212" t="s">
        <v>5344</v>
      </c>
      <c r="B1212" t="s">
        <v>5345</v>
      </c>
      <c r="C1212" t="s">
        <v>5346</v>
      </c>
      <c r="D1212">
        <v>2022</v>
      </c>
      <c r="E1212" t="s">
        <v>783</v>
      </c>
      <c r="F1212" t="s">
        <v>5347</v>
      </c>
      <c r="G1212">
        <v>189</v>
      </c>
      <c r="J1212" t="s">
        <v>6309</v>
      </c>
      <c r="K1212" t="s">
        <v>6310</v>
      </c>
      <c r="L1212" t="s">
        <v>6311</v>
      </c>
      <c r="M1212" t="s">
        <v>6312</v>
      </c>
      <c r="N1212" t="s">
        <v>5352</v>
      </c>
      <c r="O1212" t="s">
        <v>5353</v>
      </c>
      <c r="P1212" t="s">
        <v>223</v>
      </c>
      <c r="Q1212" t="s">
        <v>5354</v>
      </c>
      <c r="S1212">
        <v>9</v>
      </c>
      <c r="T1212" t="s">
        <v>6313</v>
      </c>
      <c r="U1212">
        <v>5679</v>
      </c>
      <c r="V1212">
        <v>4561</v>
      </c>
      <c r="W1212">
        <v>1.2451000000000001</v>
      </c>
      <c r="X1212" t="s">
        <v>70</v>
      </c>
      <c r="Y1212" t="s">
        <v>5356</v>
      </c>
      <c r="Z1212">
        <v>67.760000000000005</v>
      </c>
      <c r="AA1212">
        <v>1940.56</v>
      </c>
      <c r="AB1212">
        <v>131495</v>
      </c>
      <c r="AC1212" t="b">
        <v>1</v>
      </c>
      <c r="AD1212" t="b">
        <v>1</v>
      </c>
      <c r="AE1212" t="b">
        <v>0</v>
      </c>
      <c r="AF1212" t="b">
        <v>0</v>
      </c>
      <c r="AG1212" t="s">
        <v>58</v>
      </c>
      <c r="AH1212">
        <v>20</v>
      </c>
      <c r="AI1212" t="s">
        <v>59</v>
      </c>
      <c r="AJ1212" t="s">
        <v>71</v>
      </c>
      <c r="AL1212" t="s">
        <v>72</v>
      </c>
      <c r="AM1212" t="s">
        <v>62</v>
      </c>
      <c r="AN1212" t="s">
        <v>63</v>
      </c>
      <c r="AO1212" t="s">
        <v>5357</v>
      </c>
      <c r="AP1212" t="s">
        <v>6310</v>
      </c>
    </row>
    <row r="1213" spans="1:42" x14ac:dyDescent="0.45">
      <c r="A1213" t="s">
        <v>5344</v>
      </c>
      <c r="B1213" t="s">
        <v>5345</v>
      </c>
      <c r="C1213" t="s">
        <v>5346</v>
      </c>
      <c r="D1213">
        <v>2022</v>
      </c>
      <c r="E1213" t="s">
        <v>783</v>
      </c>
      <c r="F1213" t="s">
        <v>5347</v>
      </c>
      <c r="G1213">
        <v>128</v>
      </c>
      <c r="J1213" t="s">
        <v>6314</v>
      </c>
      <c r="K1213" t="s">
        <v>6315</v>
      </c>
      <c r="L1213" t="s">
        <v>6316</v>
      </c>
      <c r="M1213" t="s">
        <v>6317</v>
      </c>
      <c r="N1213" t="s">
        <v>5352</v>
      </c>
      <c r="O1213" t="s">
        <v>5353</v>
      </c>
      <c r="P1213" t="s">
        <v>223</v>
      </c>
      <c r="Q1213" t="s">
        <v>5354</v>
      </c>
      <c r="S1213">
        <v>67</v>
      </c>
      <c r="T1213" t="s">
        <v>6318</v>
      </c>
      <c r="U1213">
        <v>5336</v>
      </c>
      <c r="V1213">
        <v>4561</v>
      </c>
      <c r="W1213">
        <v>1.1698999999999999</v>
      </c>
      <c r="X1213" t="s">
        <v>70</v>
      </c>
      <c r="Y1213" t="s">
        <v>5356</v>
      </c>
      <c r="Z1213">
        <v>494.75</v>
      </c>
      <c r="AA1213">
        <v>396.11</v>
      </c>
      <c r="AB1213">
        <v>195976</v>
      </c>
      <c r="AC1213" t="b">
        <v>1</v>
      </c>
      <c r="AD1213" t="b">
        <v>1</v>
      </c>
      <c r="AE1213" t="b">
        <v>0</v>
      </c>
      <c r="AF1213" t="b">
        <v>0</v>
      </c>
      <c r="AG1213" t="s">
        <v>58</v>
      </c>
      <c r="AH1213">
        <v>20</v>
      </c>
      <c r="AI1213" t="s">
        <v>59</v>
      </c>
      <c r="AJ1213" t="s">
        <v>71</v>
      </c>
      <c r="AL1213" t="s">
        <v>72</v>
      </c>
      <c r="AM1213" t="s">
        <v>62</v>
      </c>
      <c r="AN1213" t="s">
        <v>63</v>
      </c>
      <c r="AO1213" t="s">
        <v>5357</v>
      </c>
      <c r="AP1213" t="s">
        <v>6315</v>
      </c>
    </row>
    <row r="1214" spans="1:42" x14ac:dyDescent="0.45">
      <c r="A1214" t="s">
        <v>5344</v>
      </c>
      <c r="B1214" t="s">
        <v>5345</v>
      </c>
      <c r="C1214" t="s">
        <v>5346</v>
      </c>
      <c r="D1214">
        <v>2022</v>
      </c>
      <c r="E1214" t="s">
        <v>783</v>
      </c>
      <c r="F1214" t="s">
        <v>5347</v>
      </c>
      <c r="G1214">
        <v>36</v>
      </c>
      <c r="J1214" t="s">
        <v>6319</v>
      </c>
      <c r="K1214" t="s">
        <v>6320</v>
      </c>
      <c r="L1214" t="s">
        <v>6321</v>
      </c>
      <c r="M1214" t="s">
        <v>6322</v>
      </c>
      <c r="N1214" t="s">
        <v>5352</v>
      </c>
      <c r="O1214" t="s">
        <v>5353</v>
      </c>
      <c r="P1214" t="s">
        <v>223</v>
      </c>
      <c r="Q1214" t="s">
        <v>5354</v>
      </c>
      <c r="S1214">
        <v>159</v>
      </c>
      <c r="T1214" t="s">
        <v>6323</v>
      </c>
      <c r="U1214">
        <v>3907</v>
      </c>
      <c r="V1214">
        <v>4561</v>
      </c>
      <c r="W1214">
        <v>0.85660000000000003</v>
      </c>
      <c r="X1214" t="s">
        <v>70</v>
      </c>
      <c r="Y1214" t="s">
        <v>5356</v>
      </c>
      <c r="Z1214">
        <v>1159.75</v>
      </c>
      <c r="AA1214">
        <v>183.83</v>
      </c>
      <c r="AB1214">
        <v>213198</v>
      </c>
      <c r="AC1214" t="b">
        <v>0</v>
      </c>
      <c r="AD1214" t="b">
        <v>0</v>
      </c>
      <c r="AE1214" t="b">
        <v>0</v>
      </c>
      <c r="AF1214" t="b">
        <v>0</v>
      </c>
      <c r="AG1214" t="s">
        <v>58</v>
      </c>
      <c r="AH1214">
        <v>16</v>
      </c>
      <c r="AI1214" t="s">
        <v>59</v>
      </c>
      <c r="AJ1214" t="s">
        <v>60</v>
      </c>
      <c r="AL1214" t="s">
        <v>225</v>
      </c>
      <c r="AM1214" t="s">
        <v>62</v>
      </c>
      <c r="AN1214" t="s">
        <v>63</v>
      </c>
      <c r="AO1214" t="s">
        <v>5357</v>
      </c>
      <c r="AP1214" t="s">
        <v>6320</v>
      </c>
    </row>
    <row r="1215" spans="1:42" x14ac:dyDescent="0.45">
      <c r="A1215" t="s">
        <v>5344</v>
      </c>
      <c r="B1215" t="s">
        <v>5345</v>
      </c>
      <c r="C1215" t="s">
        <v>5346</v>
      </c>
      <c r="D1215">
        <v>2022</v>
      </c>
      <c r="E1215" t="s">
        <v>783</v>
      </c>
      <c r="F1215" t="s">
        <v>5347</v>
      </c>
      <c r="G1215">
        <v>131</v>
      </c>
      <c r="J1215" t="s">
        <v>6324</v>
      </c>
      <c r="K1215" t="s">
        <v>6325</v>
      </c>
      <c r="L1215" t="s">
        <v>6326</v>
      </c>
      <c r="M1215" t="s">
        <v>6327</v>
      </c>
      <c r="N1215" t="s">
        <v>5352</v>
      </c>
      <c r="O1215" t="s">
        <v>5353</v>
      </c>
      <c r="P1215" t="s">
        <v>223</v>
      </c>
      <c r="Q1215" t="s">
        <v>5354</v>
      </c>
      <c r="S1215">
        <v>64</v>
      </c>
      <c r="T1215" t="s">
        <v>6328</v>
      </c>
      <c r="U1215">
        <v>5898</v>
      </c>
      <c r="V1215">
        <v>4561</v>
      </c>
      <c r="W1215">
        <v>1.2930999999999999</v>
      </c>
      <c r="X1215" t="s">
        <v>70</v>
      </c>
      <c r="Y1215" t="s">
        <v>5356</v>
      </c>
      <c r="Z1215">
        <v>473.72</v>
      </c>
      <c r="AA1215">
        <v>624.9</v>
      </c>
      <c r="AB1215">
        <v>296029</v>
      </c>
      <c r="AC1215" t="b">
        <v>1</v>
      </c>
      <c r="AD1215" t="b">
        <v>1</v>
      </c>
      <c r="AE1215" t="b">
        <v>0</v>
      </c>
      <c r="AF1215" t="b">
        <v>0</v>
      </c>
      <c r="AG1215" t="s">
        <v>58</v>
      </c>
      <c r="AH1215">
        <v>20</v>
      </c>
      <c r="AI1215" t="s">
        <v>59</v>
      </c>
      <c r="AJ1215" t="s">
        <v>71</v>
      </c>
      <c r="AL1215" t="s">
        <v>72</v>
      </c>
      <c r="AM1215" t="s">
        <v>62</v>
      </c>
      <c r="AN1215" t="s">
        <v>63</v>
      </c>
      <c r="AO1215" t="s">
        <v>5357</v>
      </c>
      <c r="AP1215" t="s">
        <v>6325</v>
      </c>
    </row>
    <row r="1216" spans="1:42" x14ac:dyDescent="0.45">
      <c r="A1216" t="s">
        <v>6329</v>
      </c>
      <c r="B1216" t="s">
        <v>6330</v>
      </c>
      <c r="C1216" t="s">
        <v>6331</v>
      </c>
      <c r="D1216">
        <v>2026</v>
      </c>
      <c r="E1216" t="s">
        <v>45</v>
      </c>
      <c r="F1216" t="s">
        <v>46</v>
      </c>
      <c r="G1216">
        <v>12</v>
      </c>
      <c r="J1216" t="s">
        <v>6332</v>
      </c>
      <c r="K1216" t="s">
        <v>6333</v>
      </c>
      <c r="L1216" t="s">
        <v>6334</v>
      </c>
      <c r="M1216" t="s">
        <v>6335</v>
      </c>
      <c r="N1216" t="s">
        <v>221</v>
      </c>
      <c r="O1216" t="s">
        <v>222</v>
      </c>
      <c r="P1216" t="s">
        <v>223</v>
      </c>
      <c r="Q1216" t="s">
        <v>6336</v>
      </c>
      <c r="S1216">
        <v>0</v>
      </c>
      <c r="T1216" t="s">
        <v>6337</v>
      </c>
      <c r="U1216">
        <v>8547</v>
      </c>
      <c r="V1216">
        <v>7086</v>
      </c>
      <c r="W1216">
        <v>1.2061999999999999</v>
      </c>
      <c r="X1216" t="s">
        <v>70</v>
      </c>
      <c r="Y1216" t="s">
        <v>6338</v>
      </c>
      <c r="Z1216">
        <v>3.73</v>
      </c>
      <c r="AA1216">
        <v>145832.99</v>
      </c>
      <c r="AB1216">
        <v>544117</v>
      </c>
      <c r="AC1216" t="b">
        <v>1</v>
      </c>
      <c r="AD1216" t="b">
        <v>1</v>
      </c>
      <c r="AE1216" t="b">
        <v>0</v>
      </c>
      <c r="AF1216" t="b">
        <v>0</v>
      </c>
      <c r="AG1216" t="s">
        <v>58</v>
      </c>
      <c r="AH1216">
        <v>20</v>
      </c>
      <c r="AI1216" t="s">
        <v>59</v>
      </c>
      <c r="AJ1216" t="s">
        <v>71</v>
      </c>
      <c r="AL1216" t="s">
        <v>72</v>
      </c>
      <c r="AM1216" t="s">
        <v>62</v>
      </c>
      <c r="AN1216" t="s">
        <v>63</v>
      </c>
      <c r="AO1216" t="s">
        <v>6339</v>
      </c>
      <c r="AP1216" t="s">
        <v>6333</v>
      </c>
    </row>
    <row r="1217" spans="1:42" x14ac:dyDescent="0.45">
      <c r="A1217" t="s">
        <v>6329</v>
      </c>
      <c r="B1217" t="s">
        <v>6330</v>
      </c>
      <c r="C1217" t="s">
        <v>6331</v>
      </c>
      <c r="D1217">
        <v>2026</v>
      </c>
      <c r="E1217" t="s">
        <v>45</v>
      </c>
      <c r="F1217" t="s">
        <v>46</v>
      </c>
      <c r="G1217">
        <v>1</v>
      </c>
      <c r="J1217" t="s">
        <v>6340</v>
      </c>
      <c r="K1217" t="s">
        <v>6341</v>
      </c>
      <c r="L1217" t="s">
        <v>6342</v>
      </c>
      <c r="M1217" t="s">
        <v>6343</v>
      </c>
      <c r="N1217" t="s">
        <v>221</v>
      </c>
      <c r="O1217" t="s">
        <v>222</v>
      </c>
      <c r="P1217" t="s">
        <v>223</v>
      </c>
      <c r="Q1217" t="s">
        <v>6336</v>
      </c>
      <c r="S1217">
        <v>11</v>
      </c>
      <c r="T1217" t="s">
        <v>6344</v>
      </c>
      <c r="U1217">
        <v>7359</v>
      </c>
      <c r="V1217">
        <v>7086</v>
      </c>
      <c r="W1217">
        <v>1.0385</v>
      </c>
      <c r="X1217" t="s">
        <v>70</v>
      </c>
      <c r="Y1217" t="s">
        <v>6338</v>
      </c>
      <c r="Z1217">
        <v>80.73</v>
      </c>
      <c r="AA1217">
        <v>32419.52</v>
      </c>
      <c r="AB1217">
        <v>2617264</v>
      </c>
      <c r="AC1217" t="b">
        <v>1</v>
      </c>
      <c r="AD1217" t="b">
        <v>1</v>
      </c>
      <c r="AE1217" t="b">
        <v>0</v>
      </c>
      <c r="AF1217" t="b">
        <v>0</v>
      </c>
      <c r="AG1217" t="s">
        <v>58</v>
      </c>
      <c r="AH1217">
        <v>20</v>
      </c>
      <c r="AI1217" t="s">
        <v>59</v>
      </c>
      <c r="AJ1217" t="s">
        <v>71</v>
      </c>
      <c r="AL1217" t="s">
        <v>72</v>
      </c>
      <c r="AM1217" t="s">
        <v>62</v>
      </c>
      <c r="AN1217" t="s">
        <v>63</v>
      </c>
      <c r="AO1217" t="s">
        <v>6339</v>
      </c>
      <c r="AP1217" t="s">
        <v>6341</v>
      </c>
    </row>
    <row r="1218" spans="1:42" x14ac:dyDescent="0.45">
      <c r="A1218" t="s">
        <v>6329</v>
      </c>
      <c r="B1218" t="s">
        <v>6330</v>
      </c>
      <c r="C1218" t="s">
        <v>6331</v>
      </c>
      <c r="D1218">
        <v>2026</v>
      </c>
      <c r="E1218" t="s">
        <v>45</v>
      </c>
      <c r="F1218" t="s">
        <v>46</v>
      </c>
      <c r="G1218">
        <v>10</v>
      </c>
      <c r="J1218" t="s">
        <v>6345</v>
      </c>
      <c r="K1218" t="s">
        <v>6346</v>
      </c>
      <c r="L1218" t="s">
        <v>6347</v>
      </c>
      <c r="M1218" t="s">
        <v>6348</v>
      </c>
      <c r="N1218" t="s">
        <v>221</v>
      </c>
      <c r="O1218" t="s">
        <v>222</v>
      </c>
      <c r="P1218" t="s">
        <v>223</v>
      </c>
      <c r="Q1218" t="s">
        <v>6336</v>
      </c>
      <c r="S1218">
        <v>2</v>
      </c>
      <c r="T1218" t="s">
        <v>6349</v>
      </c>
      <c r="U1218">
        <v>7453</v>
      </c>
      <c r="V1218">
        <v>7086</v>
      </c>
      <c r="W1218">
        <v>1.0518000000000001</v>
      </c>
      <c r="X1218" t="s">
        <v>70</v>
      </c>
      <c r="Y1218" t="s">
        <v>6338</v>
      </c>
      <c r="Z1218">
        <v>17.73</v>
      </c>
      <c r="AA1218">
        <v>48533.8</v>
      </c>
      <c r="AB1218">
        <v>860558</v>
      </c>
      <c r="AC1218" t="b">
        <v>1</v>
      </c>
      <c r="AD1218" t="b">
        <v>1</v>
      </c>
      <c r="AE1218" t="b">
        <v>0</v>
      </c>
      <c r="AF1218" t="b">
        <v>0</v>
      </c>
      <c r="AG1218" t="s">
        <v>58</v>
      </c>
      <c r="AH1218">
        <v>20</v>
      </c>
      <c r="AI1218" t="s">
        <v>59</v>
      </c>
      <c r="AJ1218" t="s">
        <v>71</v>
      </c>
      <c r="AL1218" t="s">
        <v>72</v>
      </c>
      <c r="AM1218" t="s">
        <v>62</v>
      </c>
      <c r="AN1218" t="s">
        <v>63</v>
      </c>
      <c r="AO1218" t="s">
        <v>6339</v>
      </c>
      <c r="AP1218" t="s">
        <v>6346</v>
      </c>
    </row>
    <row r="1219" spans="1:42" x14ac:dyDescent="0.45">
      <c r="A1219" t="s">
        <v>6329</v>
      </c>
      <c r="B1219" t="s">
        <v>6330</v>
      </c>
      <c r="C1219" t="s">
        <v>6331</v>
      </c>
      <c r="D1219">
        <v>2026</v>
      </c>
      <c r="E1219" t="s">
        <v>45</v>
      </c>
      <c r="F1219" t="s">
        <v>46</v>
      </c>
      <c r="G1219">
        <v>4</v>
      </c>
      <c r="J1219" t="s">
        <v>6350</v>
      </c>
      <c r="K1219" t="s">
        <v>6351</v>
      </c>
      <c r="L1219" t="s">
        <v>6352</v>
      </c>
      <c r="M1219" t="s">
        <v>6353</v>
      </c>
      <c r="N1219" t="s">
        <v>221</v>
      </c>
      <c r="O1219" t="s">
        <v>222</v>
      </c>
      <c r="P1219" t="s">
        <v>223</v>
      </c>
      <c r="Q1219" t="s">
        <v>6336</v>
      </c>
      <c r="S1219">
        <v>8</v>
      </c>
      <c r="T1219" t="s">
        <v>6354</v>
      </c>
      <c r="U1219">
        <v>6813</v>
      </c>
      <c r="V1219">
        <v>7086</v>
      </c>
      <c r="W1219">
        <v>0.96150000000000002</v>
      </c>
      <c r="X1219" t="s">
        <v>70</v>
      </c>
      <c r="Y1219" t="s">
        <v>6338</v>
      </c>
      <c r="Z1219">
        <v>59.73</v>
      </c>
      <c r="AA1219">
        <v>19985.68</v>
      </c>
      <c r="AB1219">
        <v>1193767</v>
      </c>
      <c r="AC1219" t="b">
        <v>1</v>
      </c>
      <c r="AD1219" t="b">
        <v>1</v>
      </c>
      <c r="AE1219" t="b">
        <v>0</v>
      </c>
      <c r="AF1219" t="b">
        <v>0</v>
      </c>
      <c r="AG1219" t="s">
        <v>58</v>
      </c>
      <c r="AH1219">
        <v>20</v>
      </c>
      <c r="AI1219" t="s">
        <v>59</v>
      </c>
      <c r="AJ1219" t="s">
        <v>71</v>
      </c>
      <c r="AL1219" t="s">
        <v>72</v>
      </c>
      <c r="AM1219" t="s">
        <v>62</v>
      </c>
      <c r="AN1219" t="s">
        <v>63</v>
      </c>
      <c r="AO1219" t="s">
        <v>6339</v>
      </c>
      <c r="AP1219" t="s">
        <v>6351</v>
      </c>
    </row>
    <row r="1220" spans="1:42" x14ac:dyDescent="0.45">
      <c r="A1220" t="s">
        <v>6329</v>
      </c>
      <c r="B1220" t="s">
        <v>6330</v>
      </c>
      <c r="C1220" t="s">
        <v>6331</v>
      </c>
      <c r="D1220">
        <v>2026</v>
      </c>
      <c r="E1220" t="s">
        <v>45</v>
      </c>
      <c r="F1220" t="s">
        <v>46</v>
      </c>
      <c r="G1220">
        <v>7</v>
      </c>
      <c r="J1220" t="s">
        <v>6355</v>
      </c>
      <c r="K1220" t="s">
        <v>6356</v>
      </c>
      <c r="L1220" t="s">
        <v>6357</v>
      </c>
      <c r="M1220" t="s">
        <v>6358</v>
      </c>
      <c r="N1220" t="s">
        <v>221</v>
      </c>
      <c r="O1220" t="s">
        <v>222</v>
      </c>
      <c r="P1220" t="s">
        <v>223</v>
      </c>
      <c r="Q1220" t="s">
        <v>6336</v>
      </c>
      <c r="S1220">
        <v>5</v>
      </c>
      <c r="T1220" t="s">
        <v>6359</v>
      </c>
      <c r="U1220">
        <v>5897</v>
      </c>
      <c r="V1220">
        <v>7086</v>
      </c>
      <c r="W1220">
        <v>0.83220000000000005</v>
      </c>
      <c r="X1220" t="s">
        <v>70</v>
      </c>
      <c r="Y1220" t="s">
        <v>6338</v>
      </c>
      <c r="Z1220">
        <v>38.729999999999997</v>
      </c>
      <c r="AA1220">
        <v>21897.7</v>
      </c>
      <c r="AB1220">
        <v>848122</v>
      </c>
      <c r="AC1220" t="b">
        <v>1</v>
      </c>
      <c r="AD1220" t="b">
        <v>1</v>
      </c>
      <c r="AE1220" t="b">
        <v>0</v>
      </c>
      <c r="AF1220" t="b">
        <v>0</v>
      </c>
      <c r="AG1220" t="s">
        <v>58</v>
      </c>
      <c r="AH1220">
        <v>20</v>
      </c>
      <c r="AI1220" t="s">
        <v>59</v>
      </c>
      <c r="AJ1220" t="s">
        <v>71</v>
      </c>
      <c r="AL1220" t="s">
        <v>72</v>
      </c>
      <c r="AM1220" t="s">
        <v>62</v>
      </c>
      <c r="AN1220" t="s">
        <v>63</v>
      </c>
      <c r="AO1220" t="s">
        <v>6339</v>
      </c>
      <c r="AP1220" t="s">
        <v>6356</v>
      </c>
    </row>
    <row r="1221" spans="1:42" x14ac:dyDescent="0.45">
      <c r="A1221" t="s">
        <v>6329</v>
      </c>
      <c r="B1221" t="s">
        <v>6330</v>
      </c>
      <c r="C1221" t="s">
        <v>6331</v>
      </c>
      <c r="D1221">
        <v>2026</v>
      </c>
      <c r="E1221" t="s">
        <v>45</v>
      </c>
      <c r="F1221" t="s">
        <v>46</v>
      </c>
      <c r="G1221">
        <v>9</v>
      </c>
      <c r="J1221" t="s">
        <v>6360</v>
      </c>
      <c r="K1221" t="s">
        <v>6361</v>
      </c>
      <c r="L1221" t="s">
        <v>6362</v>
      </c>
      <c r="M1221" t="s">
        <v>6363</v>
      </c>
      <c r="N1221" t="s">
        <v>221</v>
      </c>
      <c r="O1221" t="s">
        <v>222</v>
      </c>
      <c r="P1221" t="s">
        <v>223</v>
      </c>
      <c r="Q1221" t="s">
        <v>6336</v>
      </c>
      <c r="S1221">
        <v>3</v>
      </c>
      <c r="T1221" t="s">
        <v>6364</v>
      </c>
      <c r="U1221">
        <v>5677</v>
      </c>
      <c r="V1221">
        <v>7086</v>
      </c>
      <c r="W1221">
        <v>0.80120000000000002</v>
      </c>
      <c r="X1221" t="s">
        <v>70</v>
      </c>
      <c r="Y1221" t="s">
        <v>6338</v>
      </c>
      <c r="Z1221">
        <v>24.73</v>
      </c>
      <c r="AA1221">
        <v>35196.160000000003</v>
      </c>
      <c r="AB1221">
        <v>870440</v>
      </c>
      <c r="AC1221" t="b">
        <v>1</v>
      </c>
      <c r="AD1221" t="b">
        <v>1</v>
      </c>
      <c r="AE1221" t="b">
        <v>0</v>
      </c>
      <c r="AF1221" t="b">
        <v>0</v>
      </c>
      <c r="AG1221" t="s">
        <v>58</v>
      </c>
      <c r="AH1221">
        <v>20</v>
      </c>
      <c r="AI1221" t="s">
        <v>59</v>
      </c>
      <c r="AJ1221" t="s">
        <v>71</v>
      </c>
      <c r="AL1221" t="s">
        <v>72</v>
      </c>
      <c r="AM1221" t="s">
        <v>62</v>
      </c>
      <c r="AN1221" t="s">
        <v>63</v>
      </c>
      <c r="AO1221" t="s">
        <v>6339</v>
      </c>
      <c r="AP1221" t="s">
        <v>6361</v>
      </c>
    </row>
    <row r="1222" spans="1:42" x14ac:dyDescent="0.45">
      <c r="A1222" t="s">
        <v>6329</v>
      </c>
      <c r="B1222" t="s">
        <v>6330</v>
      </c>
      <c r="C1222" t="s">
        <v>6331</v>
      </c>
      <c r="D1222">
        <v>2026</v>
      </c>
      <c r="E1222" t="s">
        <v>45</v>
      </c>
      <c r="F1222" t="s">
        <v>46</v>
      </c>
      <c r="G1222">
        <v>5</v>
      </c>
      <c r="J1222" t="s">
        <v>6365</v>
      </c>
      <c r="K1222" t="s">
        <v>6366</v>
      </c>
      <c r="L1222" t="s">
        <v>6367</v>
      </c>
      <c r="M1222" t="s">
        <v>6368</v>
      </c>
      <c r="N1222" t="s">
        <v>221</v>
      </c>
      <c r="O1222" t="s">
        <v>222</v>
      </c>
      <c r="P1222" t="s">
        <v>223</v>
      </c>
      <c r="Q1222" t="s">
        <v>6336</v>
      </c>
      <c r="S1222">
        <v>7</v>
      </c>
      <c r="T1222" t="s">
        <v>6369</v>
      </c>
      <c r="U1222">
        <v>6136</v>
      </c>
      <c r="V1222">
        <v>7086</v>
      </c>
      <c r="W1222">
        <v>0.8659</v>
      </c>
      <c r="X1222" t="s">
        <v>70</v>
      </c>
      <c r="Y1222" t="s">
        <v>6338</v>
      </c>
      <c r="Z1222">
        <v>52.73</v>
      </c>
      <c r="AA1222">
        <v>19508.87</v>
      </c>
      <c r="AB1222">
        <v>1028724</v>
      </c>
      <c r="AC1222" t="b">
        <v>1</v>
      </c>
      <c r="AD1222" t="b">
        <v>1</v>
      </c>
      <c r="AE1222" t="b">
        <v>0</v>
      </c>
      <c r="AF1222" t="b">
        <v>0</v>
      </c>
      <c r="AG1222" t="s">
        <v>58</v>
      </c>
      <c r="AH1222">
        <v>20</v>
      </c>
      <c r="AI1222" t="s">
        <v>59</v>
      </c>
      <c r="AJ1222" t="s">
        <v>71</v>
      </c>
      <c r="AL1222" t="s">
        <v>72</v>
      </c>
      <c r="AM1222" t="s">
        <v>62</v>
      </c>
      <c r="AN1222" t="s">
        <v>63</v>
      </c>
      <c r="AO1222" t="s">
        <v>6339</v>
      </c>
      <c r="AP1222" t="s">
        <v>6366</v>
      </c>
    </row>
    <row r="1223" spans="1:42" x14ac:dyDescent="0.45">
      <c r="A1223" t="s">
        <v>6329</v>
      </c>
      <c r="B1223" t="s">
        <v>6330</v>
      </c>
      <c r="C1223" t="s">
        <v>6331</v>
      </c>
      <c r="D1223">
        <v>2026</v>
      </c>
      <c r="E1223" t="s">
        <v>45</v>
      </c>
      <c r="F1223" t="s">
        <v>46</v>
      </c>
      <c r="G1223">
        <v>8</v>
      </c>
      <c r="J1223" t="s">
        <v>6370</v>
      </c>
      <c r="K1223" t="s">
        <v>6371</v>
      </c>
      <c r="L1223" t="s">
        <v>6372</v>
      </c>
      <c r="M1223" t="s">
        <v>6373</v>
      </c>
      <c r="N1223" t="s">
        <v>221</v>
      </c>
      <c r="O1223" t="s">
        <v>222</v>
      </c>
      <c r="P1223" t="s">
        <v>223</v>
      </c>
      <c r="Q1223" t="s">
        <v>6336</v>
      </c>
      <c r="S1223">
        <v>4</v>
      </c>
      <c r="T1223" t="s">
        <v>6374</v>
      </c>
      <c r="U1223">
        <v>8443</v>
      </c>
      <c r="V1223">
        <v>7086</v>
      </c>
      <c r="W1223">
        <v>1.1915</v>
      </c>
      <c r="X1223" t="s">
        <v>70</v>
      </c>
      <c r="Y1223" t="s">
        <v>6338</v>
      </c>
      <c r="Z1223">
        <v>31.73</v>
      </c>
      <c r="AA1223">
        <v>32440.57</v>
      </c>
      <c r="AB1223">
        <v>1029375</v>
      </c>
      <c r="AC1223" t="b">
        <v>1</v>
      </c>
      <c r="AD1223" t="b">
        <v>1</v>
      </c>
      <c r="AE1223" t="b">
        <v>0</v>
      </c>
      <c r="AF1223" t="b">
        <v>0</v>
      </c>
      <c r="AG1223" t="s">
        <v>58</v>
      </c>
      <c r="AH1223">
        <v>20</v>
      </c>
      <c r="AI1223" t="s">
        <v>59</v>
      </c>
      <c r="AJ1223" t="s">
        <v>71</v>
      </c>
      <c r="AL1223" t="s">
        <v>72</v>
      </c>
      <c r="AM1223" t="s">
        <v>62</v>
      </c>
      <c r="AN1223" t="s">
        <v>63</v>
      </c>
      <c r="AO1223" t="s">
        <v>6339</v>
      </c>
      <c r="AP1223" t="s">
        <v>6371</v>
      </c>
    </row>
    <row r="1224" spans="1:42" x14ac:dyDescent="0.45">
      <c r="A1224" t="s">
        <v>6329</v>
      </c>
      <c r="B1224" t="s">
        <v>6330</v>
      </c>
      <c r="C1224" t="s">
        <v>6331</v>
      </c>
      <c r="D1224">
        <v>2026</v>
      </c>
      <c r="E1224" t="s">
        <v>45</v>
      </c>
      <c r="F1224" t="s">
        <v>46</v>
      </c>
      <c r="G1224">
        <v>2</v>
      </c>
      <c r="J1224" t="s">
        <v>6375</v>
      </c>
      <c r="K1224" t="s">
        <v>6376</v>
      </c>
      <c r="L1224" t="s">
        <v>6377</v>
      </c>
      <c r="M1224" t="s">
        <v>6378</v>
      </c>
      <c r="N1224" t="s">
        <v>221</v>
      </c>
      <c r="O1224" t="s">
        <v>222</v>
      </c>
      <c r="P1224" t="s">
        <v>223</v>
      </c>
      <c r="Q1224" t="s">
        <v>6336</v>
      </c>
      <c r="S1224">
        <v>10</v>
      </c>
      <c r="T1224" t="s">
        <v>6379</v>
      </c>
      <c r="U1224">
        <v>7625</v>
      </c>
      <c r="V1224">
        <v>7086</v>
      </c>
      <c r="W1224">
        <v>1.0761000000000001</v>
      </c>
      <c r="X1224" t="s">
        <v>70</v>
      </c>
      <c r="Y1224" t="s">
        <v>6338</v>
      </c>
      <c r="Z1224">
        <v>73.73</v>
      </c>
      <c r="AA1224">
        <v>26595.83</v>
      </c>
      <c r="AB1224">
        <v>1960940</v>
      </c>
      <c r="AC1224" t="b">
        <v>1</v>
      </c>
      <c r="AD1224" t="b">
        <v>1</v>
      </c>
      <c r="AE1224" t="b">
        <v>0</v>
      </c>
      <c r="AF1224" t="b">
        <v>0</v>
      </c>
      <c r="AG1224" t="s">
        <v>58</v>
      </c>
      <c r="AH1224">
        <v>20</v>
      </c>
      <c r="AI1224" t="s">
        <v>59</v>
      </c>
      <c r="AJ1224" t="s">
        <v>71</v>
      </c>
      <c r="AL1224" t="s">
        <v>72</v>
      </c>
      <c r="AM1224" t="s">
        <v>62</v>
      </c>
      <c r="AN1224" t="s">
        <v>63</v>
      </c>
      <c r="AO1224" t="s">
        <v>6339</v>
      </c>
      <c r="AP1224" t="s">
        <v>6376</v>
      </c>
    </row>
    <row r="1225" spans="1:42" x14ac:dyDescent="0.45">
      <c r="A1225" t="s">
        <v>6329</v>
      </c>
      <c r="B1225" t="s">
        <v>6330</v>
      </c>
      <c r="C1225" t="s">
        <v>6331</v>
      </c>
      <c r="D1225">
        <v>2026</v>
      </c>
      <c r="E1225" t="s">
        <v>45</v>
      </c>
      <c r="F1225" t="s">
        <v>46</v>
      </c>
      <c r="G1225">
        <v>3</v>
      </c>
      <c r="J1225" t="s">
        <v>6380</v>
      </c>
      <c r="K1225" t="s">
        <v>6381</v>
      </c>
      <c r="L1225" t="s">
        <v>6382</v>
      </c>
      <c r="M1225" t="s">
        <v>6383</v>
      </c>
      <c r="N1225" t="s">
        <v>221</v>
      </c>
      <c r="O1225" t="s">
        <v>222</v>
      </c>
      <c r="P1225" t="s">
        <v>223</v>
      </c>
      <c r="Q1225" t="s">
        <v>6336</v>
      </c>
      <c r="S1225">
        <v>9</v>
      </c>
      <c r="T1225" t="s">
        <v>6384</v>
      </c>
      <c r="U1225">
        <v>6398</v>
      </c>
      <c r="V1225">
        <v>7086</v>
      </c>
      <c r="W1225">
        <v>0.90290000000000004</v>
      </c>
      <c r="X1225" t="s">
        <v>70</v>
      </c>
      <c r="Y1225" t="s">
        <v>6338</v>
      </c>
      <c r="Z1225">
        <v>66.73</v>
      </c>
      <c r="AA1225">
        <v>22860.45</v>
      </c>
      <c r="AB1225">
        <v>1525503</v>
      </c>
      <c r="AC1225" t="b">
        <v>1</v>
      </c>
      <c r="AD1225" t="b">
        <v>1</v>
      </c>
      <c r="AE1225" t="b">
        <v>0</v>
      </c>
      <c r="AF1225" t="b">
        <v>0</v>
      </c>
      <c r="AG1225" t="s">
        <v>58</v>
      </c>
      <c r="AH1225">
        <v>20</v>
      </c>
      <c r="AI1225" t="s">
        <v>59</v>
      </c>
      <c r="AJ1225" t="s">
        <v>71</v>
      </c>
      <c r="AL1225" t="s">
        <v>72</v>
      </c>
      <c r="AM1225" t="s">
        <v>62</v>
      </c>
      <c r="AN1225" t="s">
        <v>63</v>
      </c>
      <c r="AO1225" t="s">
        <v>6339</v>
      </c>
      <c r="AP1225" t="s">
        <v>6381</v>
      </c>
    </row>
    <row r="1226" spans="1:42" x14ac:dyDescent="0.45">
      <c r="A1226" t="s">
        <v>6329</v>
      </c>
      <c r="B1226" t="s">
        <v>6330</v>
      </c>
      <c r="C1226" t="s">
        <v>6331</v>
      </c>
      <c r="D1226">
        <v>2026</v>
      </c>
      <c r="E1226" t="s">
        <v>45</v>
      </c>
      <c r="F1226" t="s">
        <v>46</v>
      </c>
      <c r="G1226">
        <v>6</v>
      </c>
      <c r="J1226" t="s">
        <v>6385</v>
      </c>
      <c r="K1226" t="s">
        <v>6386</v>
      </c>
      <c r="L1226" t="s">
        <v>6387</v>
      </c>
      <c r="M1226" t="s">
        <v>6388</v>
      </c>
      <c r="N1226" t="s">
        <v>221</v>
      </c>
      <c r="O1226" t="s">
        <v>222</v>
      </c>
      <c r="P1226" t="s">
        <v>223</v>
      </c>
      <c r="Q1226" t="s">
        <v>6336</v>
      </c>
      <c r="S1226">
        <v>6</v>
      </c>
      <c r="T1226" t="s">
        <v>6389</v>
      </c>
      <c r="U1226">
        <v>7835</v>
      </c>
      <c r="V1226">
        <v>7086</v>
      </c>
      <c r="W1226">
        <v>1.1056999999999999</v>
      </c>
      <c r="X1226" t="s">
        <v>70</v>
      </c>
      <c r="Y1226" t="s">
        <v>6338</v>
      </c>
      <c r="Z1226">
        <v>45.73</v>
      </c>
      <c r="AA1226">
        <v>24466.34</v>
      </c>
      <c r="AB1226">
        <v>1118873</v>
      </c>
      <c r="AC1226" t="b">
        <v>1</v>
      </c>
      <c r="AD1226" t="b">
        <v>1</v>
      </c>
      <c r="AE1226" t="b">
        <v>0</v>
      </c>
      <c r="AF1226" t="b">
        <v>0</v>
      </c>
      <c r="AG1226" t="s">
        <v>58</v>
      </c>
      <c r="AH1226">
        <v>20</v>
      </c>
      <c r="AI1226" t="s">
        <v>59</v>
      </c>
      <c r="AJ1226" t="s">
        <v>71</v>
      </c>
      <c r="AL1226" t="s">
        <v>72</v>
      </c>
      <c r="AM1226" t="s">
        <v>62</v>
      </c>
      <c r="AN1226" t="s">
        <v>63</v>
      </c>
      <c r="AO1226" t="s">
        <v>6339</v>
      </c>
      <c r="AP1226" t="s">
        <v>6386</v>
      </c>
    </row>
    <row r="1227" spans="1:42" x14ac:dyDescent="0.45">
      <c r="A1227" t="s">
        <v>6329</v>
      </c>
      <c r="B1227" t="s">
        <v>6330</v>
      </c>
      <c r="C1227" t="s">
        <v>6331</v>
      </c>
      <c r="D1227">
        <v>2026</v>
      </c>
      <c r="E1227" t="s">
        <v>45</v>
      </c>
      <c r="F1227" t="s">
        <v>46</v>
      </c>
      <c r="G1227">
        <v>11</v>
      </c>
      <c r="J1227" t="s">
        <v>6390</v>
      </c>
      <c r="K1227" t="s">
        <v>6391</v>
      </c>
      <c r="L1227" t="s">
        <v>6392</v>
      </c>
      <c r="M1227" t="s">
        <v>6393</v>
      </c>
      <c r="N1227" t="s">
        <v>221</v>
      </c>
      <c r="O1227" t="s">
        <v>222</v>
      </c>
      <c r="P1227" t="s">
        <v>223</v>
      </c>
      <c r="Q1227" t="s">
        <v>6336</v>
      </c>
      <c r="S1227">
        <v>1</v>
      </c>
      <c r="T1227" t="s">
        <v>6394</v>
      </c>
      <c r="U1227">
        <v>6716</v>
      </c>
      <c r="V1227">
        <v>7086</v>
      </c>
      <c r="W1227">
        <v>0.94779999999999998</v>
      </c>
      <c r="X1227" t="s">
        <v>70</v>
      </c>
      <c r="Y1227" t="s">
        <v>6338</v>
      </c>
      <c r="Z1227">
        <v>10.73</v>
      </c>
      <c r="AA1227">
        <v>61438.76</v>
      </c>
      <c r="AB1227">
        <v>659306</v>
      </c>
      <c r="AC1227" t="b">
        <v>1</v>
      </c>
      <c r="AD1227" t="b">
        <v>1</v>
      </c>
      <c r="AE1227" t="b">
        <v>0</v>
      </c>
      <c r="AF1227" t="b">
        <v>0</v>
      </c>
      <c r="AG1227" t="s">
        <v>58</v>
      </c>
      <c r="AH1227">
        <v>20</v>
      </c>
      <c r="AI1227" t="s">
        <v>59</v>
      </c>
      <c r="AJ1227" t="s">
        <v>71</v>
      </c>
      <c r="AL1227" t="s">
        <v>72</v>
      </c>
      <c r="AM1227" t="s">
        <v>62</v>
      </c>
      <c r="AN1227" t="s">
        <v>63</v>
      </c>
      <c r="AO1227" t="s">
        <v>6339</v>
      </c>
      <c r="AP1227" t="s">
        <v>6391</v>
      </c>
    </row>
    <row r="1228" spans="1:42" x14ac:dyDescent="0.45">
      <c r="A1228" t="s">
        <v>6395</v>
      </c>
      <c r="B1228" t="s">
        <v>6396</v>
      </c>
      <c r="C1228" t="s">
        <v>6397</v>
      </c>
      <c r="D1228">
        <v>2021</v>
      </c>
      <c r="E1228" t="s">
        <v>45</v>
      </c>
      <c r="F1228" t="s">
        <v>46</v>
      </c>
      <c r="G1228">
        <v>7</v>
      </c>
      <c r="J1228" t="s">
        <v>6398</v>
      </c>
      <c r="K1228" t="s">
        <v>6399</v>
      </c>
      <c r="L1228" t="s">
        <v>6400</v>
      </c>
      <c r="M1228" t="s">
        <v>6401</v>
      </c>
      <c r="N1228" t="s">
        <v>2722</v>
      </c>
      <c r="O1228" t="s">
        <v>2723</v>
      </c>
      <c r="P1228" t="s">
        <v>223</v>
      </c>
      <c r="Q1228" t="s">
        <v>6402</v>
      </c>
      <c r="S1228">
        <v>7</v>
      </c>
      <c r="T1228" t="s">
        <v>6403</v>
      </c>
      <c r="U1228">
        <v>2918</v>
      </c>
      <c r="V1228">
        <v>2751</v>
      </c>
      <c r="W1228">
        <v>1.0607</v>
      </c>
      <c r="X1228" t="s">
        <v>70</v>
      </c>
      <c r="Y1228" t="s">
        <v>6404</v>
      </c>
      <c r="Z1228">
        <v>1986.72</v>
      </c>
      <c r="AA1228">
        <v>1959.64</v>
      </c>
      <c r="AB1228">
        <v>3893259</v>
      </c>
      <c r="AC1228" t="b">
        <v>1</v>
      </c>
      <c r="AD1228" t="b">
        <v>1</v>
      </c>
      <c r="AE1228" t="b">
        <v>0</v>
      </c>
      <c r="AF1228" t="b">
        <v>0</v>
      </c>
      <c r="AG1228" t="s">
        <v>58</v>
      </c>
      <c r="AH1228">
        <v>20</v>
      </c>
      <c r="AI1228" t="s">
        <v>59</v>
      </c>
      <c r="AJ1228" t="s">
        <v>71</v>
      </c>
      <c r="AL1228" t="s">
        <v>72</v>
      </c>
      <c r="AM1228" t="s">
        <v>62</v>
      </c>
      <c r="AN1228" t="s">
        <v>63</v>
      </c>
      <c r="AO1228" t="s">
        <v>6405</v>
      </c>
      <c r="AP1228" t="s">
        <v>6399</v>
      </c>
    </row>
    <row r="1229" spans="1:42" x14ac:dyDescent="0.45">
      <c r="A1229" t="s">
        <v>6395</v>
      </c>
      <c r="B1229" t="s">
        <v>6396</v>
      </c>
      <c r="C1229" t="s">
        <v>6397</v>
      </c>
      <c r="D1229">
        <v>2021</v>
      </c>
      <c r="E1229" t="s">
        <v>45</v>
      </c>
      <c r="F1229" t="s">
        <v>46</v>
      </c>
      <c r="G1229">
        <v>4</v>
      </c>
      <c r="J1229" t="s">
        <v>6406</v>
      </c>
      <c r="K1229" t="s">
        <v>6407</v>
      </c>
      <c r="L1229" t="s">
        <v>6408</v>
      </c>
      <c r="M1229" t="s">
        <v>6409</v>
      </c>
      <c r="N1229" t="s">
        <v>2722</v>
      </c>
      <c r="O1229" t="s">
        <v>2723</v>
      </c>
      <c r="P1229" t="s">
        <v>223</v>
      </c>
      <c r="Q1229" t="s">
        <v>6402</v>
      </c>
      <c r="S1229">
        <v>3</v>
      </c>
      <c r="T1229" t="s">
        <v>6410</v>
      </c>
      <c r="U1229">
        <v>2555</v>
      </c>
      <c r="V1229">
        <v>2751</v>
      </c>
      <c r="W1229">
        <v>0.92879999999999996</v>
      </c>
      <c r="X1229" t="s">
        <v>70</v>
      </c>
      <c r="Y1229" t="s">
        <v>6404</v>
      </c>
      <c r="Z1229">
        <v>2021.72</v>
      </c>
      <c r="AA1229">
        <v>2357.0300000000002</v>
      </c>
      <c r="AB1229">
        <v>4765266</v>
      </c>
      <c r="AC1229" t="b">
        <v>1</v>
      </c>
      <c r="AD1229" t="b">
        <v>1</v>
      </c>
      <c r="AE1229" t="b">
        <v>0</v>
      </c>
      <c r="AF1229" t="b">
        <v>0</v>
      </c>
      <c r="AG1229" t="s">
        <v>58</v>
      </c>
      <c r="AH1229">
        <v>20</v>
      </c>
      <c r="AI1229" t="s">
        <v>59</v>
      </c>
      <c r="AJ1229" t="s">
        <v>71</v>
      </c>
      <c r="AL1229" t="s">
        <v>72</v>
      </c>
      <c r="AM1229" t="s">
        <v>62</v>
      </c>
      <c r="AN1229" t="s">
        <v>63</v>
      </c>
      <c r="AO1229" t="s">
        <v>6405</v>
      </c>
      <c r="AP1229" t="s">
        <v>6407</v>
      </c>
    </row>
    <row r="1230" spans="1:42" x14ac:dyDescent="0.45">
      <c r="A1230" t="s">
        <v>6395</v>
      </c>
      <c r="B1230" t="s">
        <v>6396</v>
      </c>
      <c r="C1230" t="s">
        <v>6397</v>
      </c>
      <c r="D1230">
        <v>2021</v>
      </c>
      <c r="E1230" t="s">
        <v>45</v>
      </c>
      <c r="F1230" t="s">
        <v>46</v>
      </c>
      <c r="G1230">
        <v>5</v>
      </c>
      <c r="J1230" t="s">
        <v>6411</v>
      </c>
      <c r="K1230" t="s">
        <v>6412</v>
      </c>
      <c r="L1230" t="s">
        <v>6413</v>
      </c>
      <c r="M1230" t="s">
        <v>6414</v>
      </c>
      <c r="N1230" t="s">
        <v>2722</v>
      </c>
      <c r="O1230" t="s">
        <v>2723</v>
      </c>
      <c r="P1230" t="s">
        <v>223</v>
      </c>
      <c r="Q1230" t="s">
        <v>6402</v>
      </c>
      <c r="S1230">
        <v>4</v>
      </c>
      <c r="T1230" t="s">
        <v>6415</v>
      </c>
      <c r="U1230">
        <v>2920</v>
      </c>
      <c r="V1230">
        <v>2751</v>
      </c>
      <c r="W1230">
        <v>1.0613999999999999</v>
      </c>
      <c r="X1230" t="s">
        <v>70</v>
      </c>
      <c r="Y1230" t="s">
        <v>6404</v>
      </c>
      <c r="Z1230">
        <v>2014.72</v>
      </c>
      <c r="AA1230">
        <v>965.12</v>
      </c>
      <c r="AB1230">
        <v>1944439</v>
      </c>
      <c r="AC1230" t="b">
        <v>1</v>
      </c>
      <c r="AD1230" t="b">
        <v>1</v>
      </c>
      <c r="AE1230" t="b">
        <v>0</v>
      </c>
      <c r="AF1230" t="b">
        <v>0</v>
      </c>
      <c r="AG1230" t="s">
        <v>58</v>
      </c>
      <c r="AH1230">
        <v>20</v>
      </c>
      <c r="AI1230" t="s">
        <v>59</v>
      </c>
      <c r="AJ1230" t="s">
        <v>71</v>
      </c>
      <c r="AL1230" t="s">
        <v>72</v>
      </c>
      <c r="AM1230" t="s">
        <v>62</v>
      </c>
      <c r="AN1230" t="s">
        <v>63</v>
      </c>
      <c r="AO1230" t="s">
        <v>6405</v>
      </c>
      <c r="AP1230" t="s">
        <v>6412</v>
      </c>
    </row>
    <row r="1231" spans="1:42" x14ac:dyDescent="0.45">
      <c r="A1231" t="s">
        <v>6395</v>
      </c>
      <c r="B1231" t="s">
        <v>6396</v>
      </c>
      <c r="C1231" t="s">
        <v>6397</v>
      </c>
      <c r="D1231">
        <v>2021</v>
      </c>
      <c r="E1231" t="s">
        <v>45</v>
      </c>
      <c r="F1231" t="s">
        <v>46</v>
      </c>
      <c r="J1231" t="s">
        <v>6416</v>
      </c>
      <c r="K1231" t="s">
        <v>6417</v>
      </c>
      <c r="L1231" t="s">
        <v>6418</v>
      </c>
      <c r="M1231" t="s">
        <v>6419</v>
      </c>
      <c r="N1231" t="s">
        <v>2722</v>
      </c>
      <c r="O1231" t="s">
        <v>2723</v>
      </c>
      <c r="P1231" t="s">
        <v>223</v>
      </c>
      <c r="Q1231" t="s">
        <v>6402</v>
      </c>
      <c r="S1231">
        <v>5</v>
      </c>
      <c r="T1231" t="s">
        <v>6420</v>
      </c>
      <c r="U1231">
        <v>3599</v>
      </c>
      <c r="V1231">
        <v>2751</v>
      </c>
      <c r="W1231">
        <v>1.3083</v>
      </c>
      <c r="X1231" t="s">
        <v>70</v>
      </c>
      <c r="Y1231" t="s">
        <v>6404</v>
      </c>
      <c r="Z1231">
        <v>2000.72</v>
      </c>
      <c r="AA1231">
        <v>758.58</v>
      </c>
      <c r="AB1231">
        <v>1517701</v>
      </c>
      <c r="AC1231" t="b">
        <v>0</v>
      </c>
      <c r="AD1231" t="b">
        <v>0</v>
      </c>
      <c r="AE1231" t="b">
        <v>0</v>
      </c>
      <c r="AF1231" t="b">
        <v>0</v>
      </c>
      <c r="AG1231" t="s">
        <v>58</v>
      </c>
      <c r="AH1231">
        <v>16</v>
      </c>
      <c r="AI1231" t="s">
        <v>386</v>
      </c>
      <c r="AJ1231" t="s">
        <v>387</v>
      </c>
      <c r="AL1231" t="s">
        <v>1330</v>
      </c>
      <c r="AM1231" t="s">
        <v>62</v>
      </c>
      <c r="AN1231" t="s">
        <v>63</v>
      </c>
      <c r="AO1231" t="s">
        <v>6405</v>
      </c>
      <c r="AP1231" t="s">
        <v>6417</v>
      </c>
    </row>
    <row r="1232" spans="1:42" x14ac:dyDescent="0.45">
      <c r="A1232" t="s">
        <v>6395</v>
      </c>
      <c r="B1232" t="s">
        <v>6396</v>
      </c>
      <c r="C1232" t="s">
        <v>6397</v>
      </c>
      <c r="D1232">
        <v>2021</v>
      </c>
      <c r="E1232" t="s">
        <v>45</v>
      </c>
      <c r="F1232" t="s">
        <v>46</v>
      </c>
      <c r="G1232">
        <v>3</v>
      </c>
      <c r="J1232" t="s">
        <v>6421</v>
      </c>
      <c r="K1232" t="s">
        <v>6422</v>
      </c>
      <c r="L1232" t="s">
        <v>6423</v>
      </c>
      <c r="M1232" t="s">
        <v>6424</v>
      </c>
      <c r="N1232" t="s">
        <v>2722</v>
      </c>
      <c r="O1232" t="s">
        <v>2723</v>
      </c>
      <c r="P1232" t="s">
        <v>223</v>
      </c>
      <c r="Q1232" t="s">
        <v>6402</v>
      </c>
      <c r="S1232">
        <v>2</v>
      </c>
      <c r="T1232" t="s">
        <v>6425</v>
      </c>
      <c r="U1232">
        <v>2751</v>
      </c>
      <c r="V1232">
        <v>2751</v>
      </c>
      <c r="W1232">
        <v>1</v>
      </c>
      <c r="X1232" t="s">
        <v>70</v>
      </c>
      <c r="Y1232" t="s">
        <v>6404</v>
      </c>
      <c r="Z1232">
        <v>2028.72</v>
      </c>
      <c r="AA1232">
        <v>595.97</v>
      </c>
      <c r="AB1232">
        <v>1209064</v>
      </c>
      <c r="AC1232" t="b">
        <v>1</v>
      </c>
      <c r="AD1232" t="b">
        <v>1</v>
      </c>
      <c r="AE1232" t="b">
        <v>0</v>
      </c>
      <c r="AF1232" t="b">
        <v>0</v>
      </c>
      <c r="AG1232" t="s">
        <v>58</v>
      </c>
      <c r="AH1232">
        <v>20</v>
      </c>
      <c r="AI1232" t="s">
        <v>59</v>
      </c>
      <c r="AJ1232" t="s">
        <v>71</v>
      </c>
      <c r="AL1232" t="s">
        <v>72</v>
      </c>
      <c r="AM1232" t="s">
        <v>62</v>
      </c>
      <c r="AN1232" t="s">
        <v>63</v>
      </c>
      <c r="AO1232" t="s">
        <v>6405</v>
      </c>
      <c r="AP1232" t="s">
        <v>6422</v>
      </c>
    </row>
    <row r="1233" spans="1:42" x14ac:dyDescent="0.45">
      <c r="A1233" t="s">
        <v>6395</v>
      </c>
      <c r="B1233" t="s">
        <v>6396</v>
      </c>
      <c r="C1233" t="s">
        <v>6397</v>
      </c>
      <c r="D1233">
        <v>2021</v>
      </c>
      <c r="E1233" t="s">
        <v>45</v>
      </c>
      <c r="F1233" t="s">
        <v>46</v>
      </c>
      <c r="G1233">
        <v>1</v>
      </c>
      <c r="J1233" t="s">
        <v>6426</v>
      </c>
      <c r="K1233" t="s">
        <v>6427</v>
      </c>
      <c r="L1233" t="s">
        <v>6428</v>
      </c>
      <c r="M1233" t="s">
        <v>6429</v>
      </c>
      <c r="N1233" t="s">
        <v>2722</v>
      </c>
      <c r="O1233" t="s">
        <v>2723</v>
      </c>
      <c r="P1233" t="s">
        <v>223</v>
      </c>
      <c r="Q1233" t="s">
        <v>6402</v>
      </c>
      <c r="S1233">
        <v>0</v>
      </c>
      <c r="T1233" t="s">
        <v>6430</v>
      </c>
      <c r="U1233">
        <v>2815</v>
      </c>
      <c r="V1233">
        <v>2751</v>
      </c>
      <c r="W1233">
        <v>1.0233000000000001</v>
      </c>
      <c r="X1233" t="s">
        <v>70</v>
      </c>
      <c r="Y1233" t="s">
        <v>6404</v>
      </c>
      <c r="Z1233">
        <v>2042.72</v>
      </c>
      <c r="AA1233">
        <v>461.85</v>
      </c>
      <c r="AB1233">
        <v>943434</v>
      </c>
      <c r="AC1233" t="b">
        <v>1</v>
      </c>
      <c r="AD1233" t="b">
        <v>1</v>
      </c>
      <c r="AE1233" t="b">
        <v>0</v>
      </c>
      <c r="AF1233" t="b">
        <v>0</v>
      </c>
      <c r="AG1233" t="s">
        <v>58</v>
      </c>
      <c r="AH1233">
        <v>20</v>
      </c>
      <c r="AI1233" t="s">
        <v>59</v>
      </c>
      <c r="AJ1233" t="s">
        <v>71</v>
      </c>
      <c r="AL1233" t="s">
        <v>72</v>
      </c>
      <c r="AM1233" t="s">
        <v>62</v>
      </c>
      <c r="AN1233" t="s">
        <v>63</v>
      </c>
      <c r="AO1233" t="s">
        <v>6405</v>
      </c>
      <c r="AP1233" t="s">
        <v>6427</v>
      </c>
    </row>
    <row r="1234" spans="1:42" x14ac:dyDescent="0.45">
      <c r="A1234" t="s">
        <v>6395</v>
      </c>
      <c r="B1234" t="s">
        <v>6396</v>
      </c>
      <c r="C1234" t="s">
        <v>6397</v>
      </c>
      <c r="D1234">
        <v>2021</v>
      </c>
      <c r="E1234" t="s">
        <v>45</v>
      </c>
      <c r="F1234" t="s">
        <v>46</v>
      </c>
      <c r="G1234">
        <v>2</v>
      </c>
      <c r="J1234" t="s">
        <v>6431</v>
      </c>
      <c r="K1234" t="s">
        <v>6432</v>
      </c>
      <c r="L1234" t="s">
        <v>6433</v>
      </c>
      <c r="M1234" t="s">
        <v>6434</v>
      </c>
      <c r="N1234" t="s">
        <v>2722</v>
      </c>
      <c r="O1234" t="s">
        <v>2723</v>
      </c>
      <c r="P1234" t="s">
        <v>223</v>
      </c>
      <c r="Q1234" t="s">
        <v>6402</v>
      </c>
      <c r="S1234">
        <v>1</v>
      </c>
      <c r="T1234" t="s">
        <v>6435</v>
      </c>
      <c r="U1234">
        <v>2554</v>
      </c>
      <c r="V1234">
        <v>2751</v>
      </c>
      <c r="W1234">
        <v>0.9284</v>
      </c>
      <c r="X1234" t="s">
        <v>70</v>
      </c>
      <c r="Y1234" t="s">
        <v>6404</v>
      </c>
      <c r="Z1234">
        <v>2035.72</v>
      </c>
      <c r="AA1234">
        <v>469.48</v>
      </c>
      <c r="AB1234">
        <v>955736</v>
      </c>
      <c r="AC1234" t="b">
        <v>1</v>
      </c>
      <c r="AD1234" t="b">
        <v>1</v>
      </c>
      <c r="AE1234" t="b">
        <v>0</v>
      </c>
      <c r="AF1234" t="b">
        <v>0</v>
      </c>
      <c r="AG1234" t="s">
        <v>58</v>
      </c>
      <c r="AH1234">
        <v>20</v>
      </c>
      <c r="AI1234" t="s">
        <v>59</v>
      </c>
      <c r="AJ1234" t="s">
        <v>71</v>
      </c>
      <c r="AL1234" t="s">
        <v>72</v>
      </c>
      <c r="AM1234" t="s">
        <v>62</v>
      </c>
      <c r="AN1234" t="s">
        <v>63</v>
      </c>
      <c r="AO1234" t="s">
        <v>6405</v>
      </c>
      <c r="AP1234" t="s">
        <v>6432</v>
      </c>
    </row>
    <row r="1235" spans="1:42" x14ac:dyDescent="0.45">
      <c r="A1235" t="s">
        <v>6395</v>
      </c>
      <c r="B1235" t="s">
        <v>6396</v>
      </c>
      <c r="C1235" t="s">
        <v>6397</v>
      </c>
      <c r="D1235">
        <v>2021</v>
      </c>
      <c r="E1235" t="s">
        <v>45</v>
      </c>
      <c r="F1235" t="s">
        <v>46</v>
      </c>
      <c r="G1235">
        <v>6</v>
      </c>
      <c r="J1235" t="s">
        <v>6436</v>
      </c>
      <c r="K1235" t="s">
        <v>6437</v>
      </c>
      <c r="L1235" t="s">
        <v>6438</v>
      </c>
      <c r="M1235" t="s">
        <v>6439</v>
      </c>
      <c r="N1235" t="s">
        <v>2722</v>
      </c>
      <c r="O1235" t="s">
        <v>2723</v>
      </c>
      <c r="P1235" t="s">
        <v>223</v>
      </c>
      <c r="Q1235" t="s">
        <v>6402</v>
      </c>
      <c r="S1235">
        <v>6</v>
      </c>
      <c r="T1235" t="s">
        <v>6440</v>
      </c>
      <c r="U1235">
        <v>2704</v>
      </c>
      <c r="V1235">
        <v>2751</v>
      </c>
      <c r="W1235">
        <v>0.9829</v>
      </c>
      <c r="X1235" t="s">
        <v>70</v>
      </c>
      <c r="Y1235" t="s">
        <v>6404</v>
      </c>
      <c r="Z1235">
        <v>1993.72</v>
      </c>
      <c r="AA1235">
        <v>810.84</v>
      </c>
      <c r="AB1235">
        <v>1616593</v>
      </c>
      <c r="AC1235" t="b">
        <v>1</v>
      </c>
      <c r="AD1235" t="b">
        <v>1</v>
      </c>
      <c r="AE1235" t="b">
        <v>0</v>
      </c>
      <c r="AF1235" t="b">
        <v>0</v>
      </c>
      <c r="AG1235" t="s">
        <v>58</v>
      </c>
      <c r="AH1235">
        <v>20</v>
      </c>
      <c r="AI1235" t="s">
        <v>59</v>
      </c>
      <c r="AJ1235" t="s">
        <v>71</v>
      </c>
      <c r="AL1235" t="s">
        <v>72</v>
      </c>
      <c r="AM1235" t="s">
        <v>62</v>
      </c>
      <c r="AN1235" t="s">
        <v>63</v>
      </c>
      <c r="AO1235" t="s">
        <v>6405</v>
      </c>
      <c r="AP1235" t="s">
        <v>6437</v>
      </c>
    </row>
    <row r="1236" spans="1:42" x14ac:dyDescent="0.45">
      <c r="A1236" t="s">
        <v>6395</v>
      </c>
      <c r="B1236" t="s">
        <v>6396</v>
      </c>
      <c r="C1236" t="s">
        <v>6397</v>
      </c>
      <c r="D1236">
        <v>2021</v>
      </c>
      <c r="E1236" t="s">
        <v>45</v>
      </c>
      <c r="F1236" t="s">
        <v>46</v>
      </c>
      <c r="J1236" t="e">
        <v>#NAME?</v>
      </c>
      <c r="K1236" t="s">
        <v>6441</v>
      </c>
      <c r="L1236" t="s">
        <v>6442</v>
      </c>
      <c r="M1236" t="s">
        <v>6443</v>
      </c>
      <c r="N1236" t="s">
        <v>2722</v>
      </c>
      <c r="O1236" t="s">
        <v>2723</v>
      </c>
      <c r="P1236" t="s">
        <v>223</v>
      </c>
      <c r="Q1236" t="s">
        <v>6402</v>
      </c>
      <c r="S1236">
        <v>10</v>
      </c>
      <c r="T1236" t="s">
        <v>6444</v>
      </c>
      <c r="U1236">
        <v>2461</v>
      </c>
      <c r="V1236">
        <v>2751</v>
      </c>
      <c r="W1236">
        <v>0.89459999999999995</v>
      </c>
      <c r="X1236" t="s">
        <v>70</v>
      </c>
      <c r="Y1236" t="s">
        <v>6404</v>
      </c>
      <c r="Z1236">
        <v>1965.72</v>
      </c>
      <c r="AA1236">
        <v>613.38</v>
      </c>
      <c r="AB1236">
        <v>1205725</v>
      </c>
      <c r="AC1236" t="b">
        <v>0</v>
      </c>
      <c r="AD1236" t="b">
        <v>0</v>
      </c>
      <c r="AE1236" t="b">
        <v>0</v>
      </c>
      <c r="AF1236" t="b">
        <v>0</v>
      </c>
      <c r="AG1236" t="s">
        <v>58</v>
      </c>
      <c r="AH1236">
        <v>16</v>
      </c>
      <c r="AI1236" t="s">
        <v>386</v>
      </c>
      <c r="AJ1236" t="s">
        <v>387</v>
      </c>
      <c r="AL1236" t="s">
        <v>1330</v>
      </c>
      <c r="AM1236" t="s">
        <v>62</v>
      </c>
      <c r="AN1236" t="s">
        <v>63</v>
      </c>
      <c r="AO1236" t="s">
        <v>6405</v>
      </c>
      <c r="AP1236" t="s">
        <v>6441</v>
      </c>
    </row>
    <row r="1237" spans="1:42" x14ac:dyDescent="0.45">
      <c r="A1237" t="s">
        <v>6395</v>
      </c>
      <c r="B1237" t="s">
        <v>6396</v>
      </c>
      <c r="C1237" t="s">
        <v>6397</v>
      </c>
      <c r="D1237">
        <v>2021</v>
      </c>
      <c r="E1237" t="s">
        <v>45</v>
      </c>
      <c r="F1237" t="s">
        <v>46</v>
      </c>
      <c r="G1237">
        <v>8</v>
      </c>
      <c r="J1237" t="s">
        <v>6445</v>
      </c>
      <c r="K1237" t="s">
        <v>6446</v>
      </c>
      <c r="L1237" t="s">
        <v>6447</v>
      </c>
      <c r="M1237" t="s">
        <v>6448</v>
      </c>
      <c r="N1237" t="s">
        <v>2722</v>
      </c>
      <c r="O1237" t="s">
        <v>2723</v>
      </c>
      <c r="P1237" t="s">
        <v>223</v>
      </c>
      <c r="Q1237" t="s">
        <v>6402</v>
      </c>
      <c r="S1237">
        <v>8</v>
      </c>
      <c r="T1237" t="s">
        <v>6449</v>
      </c>
      <c r="U1237">
        <v>2931</v>
      </c>
      <c r="V1237">
        <v>2751</v>
      </c>
      <c r="W1237">
        <v>1.0653999999999999</v>
      </c>
      <c r="X1237" t="s">
        <v>70</v>
      </c>
      <c r="Y1237" t="s">
        <v>6404</v>
      </c>
      <c r="Z1237">
        <v>1979.72</v>
      </c>
      <c r="AA1237">
        <v>808.86</v>
      </c>
      <c r="AB1237">
        <v>1601314</v>
      </c>
      <c r="AC1237" t="b">
        <v>1</v>
      </c>
      <c r="AD1237" t="b">
        <v>1</v>
      </c>
      <c r="AE1237" t="b">
        <v>0</v>
      </c>
      <c r="AF1237" t="b">
        <v>0</v>
      </c>
      <c r="AG1237" t="s">
        <v>58</v>
      </c>
      <c r="AH1237">
        <v>20</v>
      </c>
      <c r="AI1237" t="s">
        <v>59</v>
      </c>
      <c r="AJ1237" t="s">
        <v>71</v>
      </c>
      <c r="AL1237" t="s">
        <v>72</v>
      </c>
      <c r="AM1237" t="s">
        <v>62</v>
      </c>
      <c r="AN1237" t="s">
        <v>63</v>
      </c>
      <c r="AO1237" t="s">
        <v>6405</v>
      </c>
      <c r="AP1237" t="s">
        <v>6446</v>
      </c>
    </row>
    <row r="1238" spans="1:42" x14ac:dyDescent="0.45">
      <c r="A1238" t="s">
        <v>6395</v>
      </c>
      <c r="B1238" t="s">
        <v>6396</v>
      </c>
      <c r="C1238" t="s">
        <v>6397</v>
      </c>
      <c r="D1238">
        <v>2021</v>
      </c>
      <c r="E1238" t="s">
        <v>45</v>
      </c>
      <c r="F1238" t="s">
        <v>46</v>
      </c>
      <c r="G1238">
        <v>9</v>
      </c>
      <c r="J1238" t="s">
        <v>6450</v>
      </c>
      <c r="K1238" t="s">
        <v>6451</v>
      </c>
      <c r="L1238" t="s">
        <v>6452</v>
      </c>
      <c r="M1238" t="s">
        <v>6453</v>
      </c>
      <c r="N1238" t="s">
        <v>2722</v>
      </c>
      <c r="O1238" t="s">
        <v>2723</v>
      </c>
      <c r="P1238" t="s">
        <v>223</v>
      </c>
      <c r="Q1238" t="s">
        <v>6402</v>
      </c>
      <c r="S1238">
        <v>9</v>
      </c>
      <c r="T1238" t="s">
        <v>6454</v>
      </c>
      <c r="U1238">
        <v>2596</v>
      </c>
      <c r="V1238">
        <v>2751</v>
      </c>
      <c r="W1238">
        <v>0.94369999999999998</v>
      </c>
      <c r="X1238" t="s">
        <v>70</v>
      </c>
      <c r="Y1238" t="s">
        <v>6404</v>
      </c>
      <c r="Z1238">
        <v>1972.72</v>
      </c>
      <c r="AA1238">
        <v>664.54</v>
      </c>
      <c r="AB1238">
        <v>1310949</v>
      </c>
      <c r="AC1238" t="b">
        <v>1</v>
      </c>
      <c r="AD1238" t="b">
        <v>1</v>
      </c>
      <c r="AE1238" t="b">
        <v>0</v>
      </c>
      <c r="AF1238" t="b">
        <v>0</v>
      </c>
      <c r="AG1238" t="s">
        <v>58</v>
      </c>
      <c r="AH1238">
        <v>20</v>
      </c>
      <c r="AI1238" t="s">
        <v>59</v>
      </c>
      <c r="AJ1238" t="s">
        <v>71</v>
      </c>
      <c r="AL1238" t="s">
        <v>72</v>
      </c>
      <c r="AM1238" t="s">
        <v>62</v>
      </c>
      <c r="AN1238" t="s">
        <v>63</v>
      </c>
      <c r="AO1238" t="s">
        <v>6405</v>
      </c>
      <c r="AP1238" t="s">
        <v>6451</v>
      </c>
    </row>
    <row r="1239" spans="1:42" x14ac:dyDescent="0.45">
      <c r="A1239" t="s">
        <v>6395</v>
      </c>
      <c r="B1239" t="s">
        <v>6396</v>
      </c>
      <c r="C1239" t="s">
        <v>6455</v>
      </c>
      <c r="D1239">
        <v>2022</v>
      </c>
      <c r="E1239" t="s">
        <v>45</v>
      </c>
      <c r="F1239" t="s">
        <v>46</v>
      </c>
      <c r="G1239">
        <v>1</v>
      </c>
      <c r="J1239" t="s">
        <v>6456</v>
      </c>
      <c r="K1239" t="s">
        <v>6457</v>
      </c>
      <c r="L1239" t="s">
        <v>6458</v>
      </c>
      <c r="M1239" t="s">
        <v>6459</v>
      </c>
      <c r="N1239" t="s">
        <v>2722</v>
      </c>
      <c r="O1239" t="s">
        <v>2723</v>
      </c>
      <c r="P1239" t="s">
        <v>223</v>
      </c>
      <c r="Q1239" t="s">
        <v>6460</v>
      </c>
      <c r="S1239">
        <v>2</v>
      </c>
      <c r="T1239" t="s">
        <v>6461</v>
      </c>
      <c r="U1239">
        <v>2954</v>
      </c>
      <c r="V1239">
        <v>3074.5</v>
      </c>
      <c r="W1239">
        <v>0.96079999999999999</v>
      </c>
      <c r="X1239" t="s">
        <v>70</v>
      </c>
      <c r="Y1239" t="s">
        <v>6462</v>
      </c>
      <c r="Z1239">
        <v>1418.78</v>
      </c>
      <c r="AA1239">
        <v>1481.85</v>
      </c>
      <c r="AB1239">
        <v>2102427</v>
      </c>
      <c r="AC1239" t="b">
        <v>1</v>
      </c>
      <c r="AD1239" t="b">
        <v>1</v>
      </c>
      <c r="AE1239" t="b">
        <v>0</v>
      </c>
      <c r="AF1239" t="b">
        <v>0</v>
      </c>
      <c r="AG1239" t="s">
        <v>58</v>
      </c>
      <c r="AH1239">
        <v>14</v>
      </c>
      <c r="AI1239" t="s">
        <v>59</v>
      </c>
      <c r="AJ1239" t="s">
        <v>71</v>
      </c>
      <c r="AL1239" t="s">
        <v>244</v>
      </c>
      <c r="AM1239" t="s">
        <v>245</v>
      </c>
      <c r="AN1239" t="s">
        <v>63</v>
      </c>
      <c r="AO1239" t="s">
        <v>6463</v>
      </c>
      <c r="AP1239" t="s">
        <v>6457</v>
      </c>
    </row>
    <row r="1240" spans="1:42" x14ac:dyDescent="0.45">
      <c r="A1240" t="s">
        <v>6395</v>
      </c>
      <c r="B1240" t="s">
        <v>6396</v>
      </c>
      <c r="C1240" t="s">
        <v>6455</v>
      </c>
      <c r="D1240">
        <v>2022</v>
      </c>
      <c r="E1240" t="s">
        <v>45</v>
      </c>
      <c r="F1240" t="s">
        <v>46</v>
      </c>
      <c r="J1240" t="s">
        <v>6464</v>
      </c>
      <c r="K1240" t="s">
        <v>6465</v>
      </c>
      <c r="L1240" t="s">
        <v>6466</v>
      </c>
      <c r="M1240" t="s">
        <v>6467</v>
      </c>
      <c r="N1240" t="s">
        <v>2722</v>
      </c>
      <c r="O1240" t="s">
        <v>2723</v>
      </c>
      <c r="P1240" t="s">
        <v>223</v>
      </c>
      <c r="Q1240" t="s">
        <v>6460</v>
      </c>
      <c r="S1240">
        <v>13</v>
      </c>
      <c r="T1240" t="s">
        <v>6468</v>
      </c>
      <c r="U1240">
        <v>1295</v>
      </c>
      <c r="V1240">
        <v>3074.5</v>
      </c>
      <c r="W1240">
        <v>0.42120000000000002</v>
      </c>
      <c r="X1240" t="s">
        <v>196</v>
      </c>
      <c r="Y1240" t="s">
        <v>6462</v>
      </c>
      <c r="Z1240">
        <v>1341.78</v>
      </c>
      <c r="AA1240">
        <v>648.84</v>
      </c>
      <c r="AB1240">
        <v>870606</v>
      </c>
      <c r="AC1240" t="b">
        <v>0</v>
      </c>
      <c r="AD1240" t="b">
        <v>0</v>
      </c>
      <c r="AE1240" t="b">
        <v>0</v>
      </c>
      <c r="AF1240" t="b">
        <v>0</v>
      </c>
      <c r="AG1240" t="s">
        <v>58</v>
      </c>
      <c r="AH1240">
        <v>8</v>
      </c>
      <c r="AI1240" t="s">
        <v>169</v>
      </c>
      <c r="AJ1240" t="s">
        <v>60</v>
      </c>
      <c r="AL1240" t="s">
        <v>380</v>
      </c>
      <c r="AM1240" t="s">
        <v>245</v>
      </c>
      <c r="AN1240" t="s">
        <v>63</v>
      </c>
      <c r="AO1240" t="s">
        <v>6463</v>
      </c>
      <c r="AP1240" t="s">
        <v>6465</v>
      </c>
    </row>
    <row r="1241" spans="1:42" x14ac:dyDescent="0.45">
      <c r="A1241" t="s">
        <v>6395</v>
      </c>
      <c r="B1241" t="s">
        <v>6396</v>
      </c>
      <c r="C1241" t="s">
        <v>6455</v>
      </c>
      <c r="D1241">
        <v>2022</v>
      </c>
      <c r="E1241" t="s">
        <v>45</v>
      </c>
      <c r="F1241" t="s">
        <v>46</v>
      </c>
      <c r="G1241">
        <v>5</v>
      </c>
      <c r="J1241" t="s">
        <v>6469</v>
      </c>
      <c r="K1241" t="s">
        <v>6470</v>
      </c>
      <c r="L1241" t="s">
        <v>6471</v>
      </c>
      <c r="M1241" t="s">
        <v>6472</v>
      </c>
      <c r="N1241" t="s">
        <v>2722</v>
      </c>
      <c r="O1241" t="s">
        <v>2723</v>
      </c>
      <c r="P1241" t="s">
        <v>223</v>
      </c>
      <c r="Q1241" t="s">
        <v>6460</v>
      </c>
      <c r="S1241">
        <v>6</v>
      </c>
      <c r="T1241" t="s">
        <v>6473</v>
      </c>
      <c r="U1241">
        <v>3709</v>
      </c>
      <c r="V1241">
        <v>3074.5</v>
      </c>
      <c r="W1241">
        <v>1.2063999999999999</v>
      </c>
      <c r="X1241" t="s">
        <v>70</v>
      </c>
      <c r="Y1241" t="s">
        <v>6462</v>
      </c>
      <c r="Z1241">
        <v>1390.78</v>
      </c>
      <c r="AA1241">
        <v>1732.17</v>
      </c>
      <c r="AB1241">
        <v>2409075</v>
      </c>
      <c r="AC1241" t="b">
        <v>1</v>
      </c>
      <c r="AD1241" t="b">
        <v>1</v>
      </c>
      <c r="AE1241" t="b">
        <v>0</v>
      </c>
      <c r="AF1241" t="b">
        <v>0</v>
      </c>
      <c r="AG1241" t="s">
        <v>58</v>
      </c>
      <c r="AH1241">
        <v>14</v>
      </c>
      <c r="AI1241" t="s">
        <v>59</v>
      </c>
      <c r="AJ1241" t="s">
        <v>71</v>
      </c>
      <c r="AL1241" t="s">
        <v>244</v>
      </c>
      <c r="AM1241" t="s">
        <v>245</v>
      </c>
      <c r="AN1241" t="s">
        <v>63</v>
      </c>
      <c r="AO1241" t="s">
        <v>6463</v>
      </c>
      <c r="AP1241" t="s">
        <v>6470</v>
      </c>
    </row>
    <row r="1242" spans="1:42" x14ac:dyDescent="0.45">
      <c r="A1242" t="s">
        <v>6395</v>
      </c>
      <c r="B1242" t="s">
        <v>6396</v>
      </c>
      <c r="C1242" t="s">
        <v>6455</v>
      </c>
      <c r="D1242">
        <v>2022</v>
      </c>
      <c r="E1242" t="s">
        <v>45</v>
      </c>
      <c r="F1242" t="s">
        <v>46</v>
      </c>
      <c r="G1242">
        <v>6</v>
      </c>
      <c r="J1242" t="s">
        <v>6474</v>
      </c>
      <c r="K1242" t="s">
        <v>6475</v>
      </c>
      <c r="L1242" t="s">
        <v>6476</v>
      </c>
      <c r="M1242" t="s">
        <v>6477</v>
      </c>
      <c r="N1242" t="s">
        <v>2722</v>
      </c>
      <c r="O1242" t="s">
        <v>2723</v>
      </c>
      <c r="P1242" t="s">
        <v>223</v>
      </c>
      <c r="Q1242" t="s">
        <v>6460</v>
      </c>
      <c r="S1242">
        <v>7</v>
      </c>
      <c r="T1242" t="s">
        <v>6478</v>
      </c>
      <c r="U1242">
        <v>3821</v>
      </c>
      <c r="V1242">
        <v>3074.5</v>
      </c>
      <c r="W1242">
        <v>1.2427999999999999</v>
      </c>
      <c r="X1242" t="s">
        <v>70</v>
      </c>
      <c r="Y1242" t="s">
        <v>6462</v>
      </c>
      <c r="Z1242">
        <v>1383.71</v>
      </c>
      <c r="AA1242">
        <v>1305.52</v>
      </c>
      <c r="AB1242">
        <v>1806468</v>
      </c>
      <c r="AC1242" t="b">
        <v>1</v>
      </c>
      <c r="AD1242" t="b">
        <v>1</v>
      </c>
      <c r="AE1242" t="b">
        <v>0</v>
      </c>
      <c r="AF1242" t="b">
        <v>0</v>
      </c>
      <c r="AG1242" t="s">
        <v>58</v>
      </c>
      <c r="AH1242">
        <v>14</v>
      </c>
      <c r="AI1242" t="s">
        <v>59</v>
      </c>
      <c r="AJ1242" t="s">
        <v>71</v>
      </c>
      <c r="AL1242" t="s">
        <v>244</v>
      </c>
      <c r="AM1242" t="s">
        <v>245</v>
      </c>
      <c r="AN1242" t="s">
        <v>63</v>
      </c>
      <c r="AO1242" t="s">
        <v>6463</v>
      </c>
      <c r="AP1242" t="s">
        <v>6475</v>
      </c>
    </row>
    <row r="1243" spans="1:42" x14ac:dyDescent="0.45">
      <c r="A1243" t="s">
        <v>6395</v>
      </c>
      <c r="B1243" t="s">
        <v>6396</v>
      </c>
      <c r="C1243" t="s">
        <v>6455</v>
      </c>
      <c r="D1243">
        <v>2022</v>
      </c>
      <c r="E1243" t="s">
        <v>45</v>
      </c>
      <c r="F1243" t="s">
        <v>46</v>
      </c>
      <c r="G1243">
        <v>9</v>
      </c>
      <c r="J1243" t="s">
        <v>6479</v>
      </c>
      <c r="K1243" t="s">
        <v>6480</v>
      </c>
      <c r="L1243" t="s">
        <v>6481</v>
      </c>
      <c r="M1243" t="s">
        <v>6482</v>
      </c>
      <c r="N1243" t="s">
        <v>2722</v>
      </c>
      <c r="O1243" t="s">
        <v>2723</v>
      </c>
      <c r="P1243" t="s">
        <v>223</v>
      </c>
      <c r="Q1243" t="s">
        <v>6460</v>
      </c>
      <c r="S1243">
        <v>11</v>
      </c>
      <c r="T1243" t="s">
        <v>6483</v>
      </c>
      <c r="U1243">
        <v>3282</v>
      </c>
      <c r="V1243">
        <v>3074.5</v>
      </c>
      <c r="W1243">
        <v>1.0674999999999999</v>
      </c>
      <c r="X1243" t="s">
        <v>70</v>
      </c>
      <c r="Y1243" t="s">
        <v>6462</v>
      </c>
      <c r="Z1243">
        <v>1355.78</v>
      </c>
      <c r="AA1243">
        <v>1011.07</v>
      </c>
      <c r="AB1243">
        <v>1370799</v>
      </c>
      <c r="AC1243" t="b">
        <v>1</v>
      </c>
      <c r="AD1243" t="b">
        <v>1</v>
      </c>
      <c r="AE1243" t="b">
        <v>0</v>
      </c>
      <c r="AF1243" t="b">
        <v>0</v>
      </c>
      <c r="AG1243" t="s">
        <v>58</v>
      </c>
      <c r="AH1243">
        <v>14</v>
      </c>
      <c r="AI1243" t="s">
        <v>59</v>
      </c>
      <c r="AJ1243" t="s">
        <v>71</v>
      </c>
      <c r="AL1243" t="s">
        <v>244</v>
      </c>
      <c r="AM1243" t="s">
        <v>245</v>
      </c>
      <c r="AN1243" t="s">
        <v>63</v>
      </c>
      <c r="AO1243" t="s">
        <v>6463</v>
      </c>
      <c r="AP1243" t="s">
        <v>6480</v>
      </c>
    </row>
    <row r="1244" spans="1:42" x14ac:dyDescent="0.45">
      <c r="A1244" t="s">
        <v>6395</v>
      </c>
      <c r="B1244" t="s">
        <v>6396</v>
      </c>
      <c r="C1244" t="s">
        <v>6455</v>
      </c>
      <c r="D1244">
        <v>2022</v>
      </c>
      <c r="E1244" t="s">
        <v>45</v>
      </c>
      <c r="F1244" t="s">
        <v>46</v>
      </c>
      <c r="J1244" t="s">
        <v>6484</v>
      </c>
      <c r="K1244" t="s">
        <v>6485</v>
      </c>
      <c r="L1244" t="s">
        <v>6486</v>
      </c>
      <c r="M1244" t="s">
        <v>6487</v>
      </c>
      <c r="N1244" t="s">
        <v>2722</v>
      </c>
      <c r="O1244" t="s">
        <v>2723</v>
      </c>
      <c r="P1244" t="s">
        <v>223</v>
      </c>
      <c r="Q1244" t="s">
        <v>6460</v>
      </c>
      <c r="S1244">
        <v>0</v>
      </c>
      <c r="T1244" t="s">
        <v>6488</v>
      </c>
      <c r="U1244">
        <v>1166</v>
      </c>
      <c r="V1244">
        <v>3074.5</v>
      </c>
      <c r="W1244">
        <v>0.37919999999999998</v>
      </c>
      <c r="X1244" t="s">
        <v>196</v>
      </c>
      <c r="Y1244" t="s">
        <v>6462</v>
      </c>
      <c r="Z1244">
        <v>1428.76</v>
      </c>
      <c r="AA1244">
        <v>182.48</v>
      </c>
      <c r="AB1244">
        <v>260721</v>
      </c>
      <c r="AC1244" t="b">
        <v>0</v>
      </c>
      <c r="AD1244" t="b">
        <v>0</v>
      </c>
      <c r="AE1244" t="b">
        <v>0</v>
      </c>
      <c r="AF1244" t="b">
        <v>0</v>
      </c>
      <c r="AG1244" t="s">
        <v>58</v>
      </c>
      <c r="AH1244">
        <v>4</v>
      </c>
      <c r="AI1244" t="s">
        <v>59</v>
      </c>
      <c r="AJ1244" t="s">
        <v>60</v>
      </c>
      <c r="AL1244" t="s">
        <v>476</v>
      </c>
      <c r="AM1244" t="s">
        <v>245</v>
      </c>
      <c r="AN1244" t="s">
        <v>63</v>
      </c>
      <c r="AO1244" t="s">
        <v>6463</v>
      </c>
      <c r="AP1244" t="s">
        <v>6485</v>
      </c>
    </row>
    <row r="1245" spans="1:42" x14ac:dyDescent="0.45">
      <c r="A1245" t="s">
        <v>6395</v>
      </c>
      <c r="B1245" t="s">
        <v>6396</v>
      </c>
      <c r="C1245" t="s">
        <v>6455</v>
      </c>
      <c r="D1245">
        <v>2022</v>
      </c>
      <c r="E1245" t="s">
        <v>45</v>
      </c>
      <c r="F1245" t="s">
        <v>46</v>
      </c>
      <c r="G1245">
        <v>7</v>
      </c>
      <c r="J1245" t="s">
        <v>6489</v>
      </c>
      <c r="K1245" t="s">
        <v>6490</v>
      </c>
      <c r="L1245" t="s">
        <v>6491</v>
      </c>
      <c r="M1245" t="s">
        <v>6492</v>
      </c>
      <c r="N1245" t="s">
        <v>2722</v>
      </c>
      <c r="O1245" t="s">
        <v>2723</v>
      </c>
      <c r="P1245" t="s">
        <v>223</v>
      </c>
      <c r="Q1245" t="s">
        <v>6460</v>
      </c>
      <c r="S1245">
        <v>9</v>
      </c>
      <c r="T1245" t="s">
        <v>6493</v>
      </c>
      <c r="U1245">
        <v>3172</v>
      </c>
      <c r="V1245">
        <v>3074.5</v>
      </c>
      <c r="W1245">
        <v>1.0317000000000001</v>
      </c>
      <c r="X1245" t="s">
        <v>70</v>
      </c>
      <c r="Y1245" t="s">
        <v>6462</v>
      </c>
      <c r="Z1245">
        <v>1369.78</v>
      </c>
      <c r="AA1245">
        <v>1013.51</v>
      </c>
      <c r="AB1245">
        <v>1388288</v>
      </c>
      <c r="AC1245" t="b">
        <v>1</v>
      </c>
      <c r="AD1245" t="b">
        <v>1</v>
      </c>
      <c r="AE1245" t="b">
        <v>0</v>
      </c>
      <c r="AF1245" t="b">
        <v>0</v>
      </c>
      <c r="AG1245" t="s">
        <v>58</v>
      </c>
      <c r="AH1245">
        <v>14</v>
      </c>
      <c r="AI1245" t="s">
        <v>59</v>
      </c>
      <c r="AJ1245" t="s">
        <v>71</v>
      </c>
      <c r="AL1245" t="s">
        <v>244</v>
      </c>
      <c r="AM1245" t="s">
        <v>245</v>
      </c>
      <c r="AN1245" t="s">
        <v>63</v>
      </c>
      <c r="AO1245" t="s">
        <v>6463</v>
      </c>
      <c r="AP1245" t="s">
        <v>6490</v>
      </c>
    </row>
    <row r="1246" spans="1:42" x14ac:dyDescent="0.45">
      <c r="A1246" t="s">
        <v>6395</v>
      </c>
      <c r="B1246" t="s">
        <v>6396</v>
      </c>
      <c r="C1246" t="s">
        <v>6455</v>
      </c>
      <c r="D1246">
        <v>2022</v>
      </c>
      <c r="E1246" t="s">
        <v>45</v>
      </c>
      <c r="F1246" t="s">
        <v>46</v>
      </c>
      <c r="J1246" t="s">
        <v>6494</v>
      </c>
      <c r="K1246" t="s">
        <v>6495</v>
      </c>
      <c r="L1246" t="s">
        <v>6496</v>
      </c>
      <c r="M1246" t="s">
        <v>6497</v>
      </c>
      <c r="N1246" t="s">
        <v>2722</v>
      </c>
      <c r="O1246" t="s">
        <v>2723</v>
      </c>
      <c r="P1246" t="s">
        <v>223</v>
      </c>
      <c r="Q1246" t="s">
        <v>6460</v>
      </c>
      <c r="S1246">
        <v>8</v>
      </c>
      <c r="T1246" t="s">
        <v>6498</v>
      </c>
      <c r="U1246">
        <v>1844</v>
      </c>
      <c r="V1246">
        <v>3074.5</v>
      </c>
      <c r="W1246">
        <v>0.5998</v>
      </c>
      <c r="X1246" t="s">
        <v>196</v>
      </c>
      <c r="Y1246" t="s">
        <v>6462</v>
      </c>
      <c r="Z1246">
        <v>1376.78</v>
      </c>
      <c r="AA1246">
        <v>1000.02</v>
      </c>
      <c r="AB1246">
        <v>1376817</v>
      </c>
      <c r="AC1246" t="b">
        <v>0</v>
      </c>
      <c r="AD1246" t="b">
        <v>0</v>
      </c>
      <c r="AE1246" t="b">
        <v>0</v>
      </c>
      <c r="AF1246" t="b">
        <v>0</v>
      </c>
      <c r="AG1246" t="s">
        <v>58</v>
      </c>
      <c r="AH1246">
        <v>10</v>
      </c>
      <c r="AI1246" t="s">
        <v>386</v>
      </c>
      <c r="AJ1246" t="s">
        <v>387</v>
      </c>
      <c r="AL1246" t="s">
        <v>983</v>
      </c>
      <c r="AM1246" t="s">
        <v>245</v>
      </c>
      <c r="AN1246" t="s">
        <v>63</v>
      </c>
      <c r="AO1246" t="s">
        <v>6463</v>
      </c>
      <c r="AP1246" t="s">
        <v>6495</v>
      </c>
    </row>
    <row r="1247" spans="1:42" x14ac:dyDescent="0.45">
      <c r="A1247" t="s">
        <v>6395</v>
      </c>
      <c r="B1247" t="s">
        <v>6396</v>
      </c>
      <c r="C1247" t="s">
        <v>6455</v>
      </c>
      <c r="D1247">
        <v>2022</v>
      </c>
      <c r="E1247" t="s">
        <v>45</v>
      </c>
      <c r="F1247" t="s">
        <v>46</v>
      </c>
      <c r="G1247">
        <v>8</v>
      </c>
      <c r="J1247" t="s">
        <v>6499</v>
      </c>
      <c r="K1247" t="s">
        <v>6500</v>
      </c>
      <c r="L1247" t="s">
        <v>6501</v>
      </c>
      <c r="M1247" t="s">
        <v>6502</v>
      </c>
      <c r="N1247" t="s">
        <v>2722</v>
      </c>
      <c r="O1247" t="s">
        <v>2723</v>
      </c>
      <c r="P1247" t="s">
        <v>223</v>
      </c>
      <c r="Q1247" t="s">
        <v>6460</v>
      </c>
      <c r="S1247">
        <v>10</v>
      </c>
      <c r="T1247" t="s">
        <v>6503</v>
      </c>
      <c r="U1247">
        <v>3807</v>
      </c>
      <c r="V1247">
        <v>3074.5</v>
      </c>
      <c r="W1247">
        <v>1.2383</v>
      </c>
      <c r="X1247" t="s">
        <v>70</v>
      </c>
      <c r="Y1247" t="s">
        <v>6462</v>
      </c>
      <c r="Z1247">
        <v>1362.78</v>
      </c>
      <c r="AA1247">
        <v>1148.5899999999999</v>
      </c>
      <c r="AB1247">
        <v>1565280</v>
      </c>
      <c r="AC1247" t="b">
        <v>1</v>
      </c>
      <c r="AD1247" t="b">
        <v>1</v>
      </c>
      <c r="AE1247" t="b">
        <v>0</v>
      </c>
      <c r="AF1247" t="b">
        <v>0</v>
      </c>
      <c r="AG1247" t="s">
        <v>58</v>
      </c>
      <c r="AH1247">
        <v>14</v>
      </c>
      <c r="AI1247" t="s">
        <v>59</v>
      </c>
      <c r="AJ1247" t="s">
        <v>71</v>
      </c>
      <c r="AL1247" t="s">
        <v>244</v>
      </c>
      <c r="AM1247" t="s">
        <v>245</v>
      </c>
      <c r="AN1247" t="s">
        <v>63</v>
      </c>
      <c r="AO1247" t="s">
        <v>6463</v>
      </c>
      <c r="AP1247" t="s">
        <v>6500</v>
      </c>
    </row>
    <row r="1248" spans="1:42" x14ac:dyDescent="0.45">
      <c r="A1248" t="s">
        <v>6395</v>
      </c>
      <c r="B1248" t="s">
        <v>6396</v>
      </c>
      <c r="C1248" t="s">
        <v>6455</v>
      </c>
      <c r="D1248">
        <v>2022</v>
      </c>
      <c r="E1248" t="s">
        <v>45</v>
      </c>
      <c r="F1248" t="s">
        <v>46</v>
      </c>
      <c r="J1248" t="s">
        <v>6504</v>
      </c>
      <c r="K1248" t="s">
        <v>6505</v>
      </c>
      <c r="L1248" t="s">
        <v>6506</v>
      </c>
      <c r="M1248" t="s">
        <v>6507</v>
      </c>
      <c r="N1248" t="s">
        <v>2722</v>
      </c>
      <c r="O1248" t="s">
        <v>2723</v>
      </c>
      <c r="P1248" t="s">
        <v>223</v>
      </c>
      <c r="Q1248" t="s">
        <v>6460</v>
      </c>
      <c r="S1248">
        <v>1</v>
      </c>
      <c r="T1248" t="s">
        <v>6508</v>
      </c>
      <c r="U1248">
        <v>1816</v>
      </c>
      <c r="V1248">
        <v>3074.5</v>
      </c>
      <c r="W1248">
        <v>0.5907</v>
      </c>
      <c r="X1248" t="s">
        <v>196</v>
      </c>
      <c r="Y1248" t="s">
        <v>6462</v>
      </c>
      <c r="Z1248">
        <v>1425.78</v>
      </c>
      <c r="AA1248">
        <v>297.02</v>
      </c>
      <c r="AB1248">
        <v>423482</v>
      </c>
      <c r="AC1248" t="b">
        <v>0</v>
      </c>
      <c r="AD1248" t="b">
        <v>0</v>
      </c>
      <c r="AE1248" t="b">
        <v>0</v>
      </c>
      <c r="AF1248" t="b">
        <v>0</v>
      </c>
      <c r="AG1248" t="s">
        <v>58</v>
      </c>
      <c r="AH1248">
        <v>6</v>
      </c>
      <c r="AI1248" t="s">
        <v>59</v>
      </c>
      <c r="AJ1248" t="s">
        <v>60</v>
      </c>
      <c r="AL1248" t="s">
        <v>3303</v>
      </c>
      <c r="AM1248" t="s">
        <v>245</v>
      </c>
      <c r="AN1248" t="s">
        <v>63</v>
      </c>
      <c r="AO1248" t="s">
        <v>6463</v>
      </c>
      <c r="AP1248" t="s">
        <v>6505</v>
      </c>
    </row>
    <row r="1249" spans="1:42" x14ac:dyDescent="0.45">
      <c r="A1249" t="s">
        <v>6395</v>
      </c>
      <c r="B1249" t="s">
        <v>6396</v>
      </c>
      <c r="C1249" t="s">
        <v>6455</v>
      </c>
      <c r="D1249">
        <v>2022</v>
      </c>
      <c r="E1249" t="s">
        <v>45</v>
      </c>
      <c r="F1249" t="s">
        <v>46</v>
      </c>
      <c r="G1249">
        <v>10</v>
      </c>
      <c r="J1249" t="s">
        <v>6509</v>
      </c>
      <c r="K1249" t="s">
        <v>6510</v>
      </c>
      <c r="L1249" t="s">
        <v>6511</v>
      </c>
      <c r="M1249" t="s">
        <v>6512</v>
      </c>
      <c r="N1249" t="s">
        <v>2722</v>
      </c>
      <c r="O1249" t="s">
        <v>2723</v>
      </c>
      <c r="P1249" t="s">
        <v>223</v>
      </c>
      <c r="Q1249" t="s">
        <v>6460</v>
      </c>
      <c r="S1249">
        <v>12</v>
      </c>
      <c r="T1249" t="s">
        <v>6513</v>
      </c>
      <c r="U1249">
        <v>2582</v>
      </c>
      <c r="V1249">
        <v>3074.5</v>
      </c>
      <c r="W1249">
        <v>0.83979999999999999</v>
      </c>
      <c r="X1249" t="s">
        <v>70</v>
      </c>
      <c r="Y1249" t="s">
        <v>6462</v>
      </c>
      <c r="Z1249">
        <v>1348.78</v>
      </c>
      <c r="AA1249">
        <v>896.5</v>
      </c>
      <c r="AB1249">
        <v>1209179</v>
      </c>
      <c r="AC1249" t="b">
        <v>1</v>
      </c>
      <c r="AD1249" t="b">
        <v>1</v>
      </c>
      <c r="AE1249" t="b">
        <v>0</v>
      </c>
      <c r="AF1249" t="b">
        <v>0</v>
      </c>
      <c r="AG1249" t="s">
        <v>58</v>
      </c>
      <c r="AH1249">
        <v>14</v>
      </c>
      <c r="AI1249" t="s">
        <v>59</v>
      </c>
      <c r="AJ1249" t="s">
        <v>71</v>
      </c>
      <c r="AL1249" t="s">
        <v>244</v>
      </c>
      <c r="AM1249" t="s">
        <v>245</v>
      </c>
      <c r="AN1249" t="s">
        <v>63</v>
      </c>
      <c r="AO1249" t="s">
        <v>6463</v>
      </c>
      <c r="AP1249" t="s">
        <v>6510</v>
      </c>
    </row>
    <row r="1250" spans="1:42" x14ac:dyDescent="0.45">
      <c r="A1250" t="s">
        <v>6395</v>
      </c>
      <c r="B1250" t="s">
        <v>6396</v>
      </c>
      <c r="C1250" t="s">
        <v>6455</v>
      </c>
      <c r="D1250">
        <v>2022</v>
      </c>
      <c r="E1250" t="s">
        <v>45</v>
      </c>
      <c r="F1250" t="s">
        <v>46</v>
      </c>
      <c r="G1250">
        <v>4</v>
      </c>
      <c r="J1250" t="e">
        <v>#NAME?</v>
      </c>
      <c r="K1250" t="s">
        <v>6514</v>
      </c>
      <c r="L1250" t="s">
        <v>6515</v>
      </c>
      <c r="M1250" t="s">
        <v>6516</v>
      </c>
      <c r="N1250" t="s">
        <v>2722</v>
      </c>
      <c r="O1250" t="s">
        <v>2723</v>
      </c>
      <c r="P1250" t="s">
        <v>223</v>
      </c>
      <c r="Q1250" t="s">
        <v>6460</v>
      </c>
      <c r="S1250">
        <v>5</v>
      </c>
      <c r="T1250" t="s">
        <v>6517</v>
      </c>
      <c r="U1250">
        <v>2977</v>
      </c>
      <c r="V1250">
        <v>3074.5</v>
      </c>
      <c r="W1250">
        <v>0.96830000000000005</v>
      </c>
      <c r="X1250" t="s">
        <v>70</v>
      </c>
      <c r="Y1250" t="s">
        <v>6462</v>
      </c>
      <c r="Z1250">
        <v>1397.78</v>
      </c>
      <c r="AA1250">
        <v>1323.91</v>
      </c>
      <c r="AB1250">
        <v>1850542</v>
      </c>
      <c r="AC1250" t="b">
        <v>1</v>
      </c>
      <c r="AD1250" t="b">
        <v>1</v>
      </c>
      <c r="AE1250" t="b">
        <v>0</v>
      </c>
      <c r="AF1250" t="b">
        <v>0</v>
      </c>
      <c r="AG1250" t="s">
        <v>58</v>
      </c>
      <c r="AH1250">
        <v>14</v>
      </c>
      <c r="AI1250" t="s">
        <v>59</v>
      </c>
      <c r="AJ1250" t="s">
        <v>71</v>
      </c>
      <c r="AL1250" t="s">
        <v>244</v>
      </c>
      <c r="AM1250" t="s">
        <v>245</v>
      </c>
      <c r="AN1250" t="s">
        <v>63</v>
      </c>
      <c r="AO1250" t="s">
        <v>6463</v>
      </c>
      <c r="AP1250" t="s">
        <v>6514</v>
      </c>
    </row>
    <row r="1251" spans="1:42" x14ac:dyDescent="0.45">
      <c r="A1251" t="s">
        <v>6395</v>
      </c>
      <c r="B1251" t="s">
        <v>6396</v>
      </c>
      <c r="C1251" t="s">
        <v>6455</v>
      </c>
      <c r="D1251">
        <v>2022</v>
      </c>
      <c r="E1251" t="s">
        <v>45</v>
      </c>
      <c r="F1251" t="s">
        <v>46</v>
      </c>
      <c r="G1251">
        <v>2</v>
      </c>
      <c r="J1251" t="s">
        <v>6518</v>
      </c>
      <c r="K1251" t="s">
        <v>6519</v>
      </c>
      <c r="L1251" t="s">
        <v>6520</v>
      </c>
      <c r="M1251" t="s">
        <v>6521</v>
      </c>
      <c r="N1251" t="s">
        <v>2722</v>
      </c>
      <c r="O1251" t="s">
        <v>2723</v>
      </c>
      <c r="P1251" t="s">
        <v>223</v>
      </c>
      <c r="Q1251" t="s">
        <v>6460</v>
      </c>
      <c r="S1251">
        <v>3</v>
      </c>
      <c r="T1251" t="s">
        <v>6522</v>
      </c>
      <c r="U1251">
        <v>2680</v>
      </c>
      <c r="V1251">
        <v>3074.5</v>
      </c>
      <c r="W1251">
        <v>0.87170000000000003</v>
      </c>
      <c r="X1251" t="s">
        <v>70</v>
      </c>
      <c r="Y1251" t="s">
        <v>6462</v>
      </c>
      <c r="Z1251">
        <v>1411.78</v>
      </c>
      <c r="AA1251">
        <v>1135.6099999999999</v>
      </c>
      <c r="AB1251">
        <v>1603230</v>
      </c>
      <c r="AC1251" t="b">
        <v>1</v>
      </c>
      <c r="AD1251" t="b">
        <v>1</v>
      </c>
      <c r="AE1251" t="b">
        <v>0</v>
      </c>
      <c r="AF1251" t="b">
        <v>0</v>
      </c>
      <c r="AG1251" t="s">
        <v>58</v>
      </c>
      <c r="AH1251">
        <v>14</v>
      </c>
      <c r="AI1251" t="s">
        <v>59</v>
      </c>
      <c r="AJ1251" t="s">
        <v>71</v>
      </c>
      <c r="AL1251" t="s">
        <v>244</v>
      </c>
      <c r="AM1251" t="s">
        <v>245</v>
      </c>
      <c r="AN1251" t="s">
        <v>63</v>
      </c>
      <c r="AO1251" t="s">
        <v>6463</v>
      </c>
      <c r="AP1251" t="s">
        <v>6519</v>
      </c>
    </row>
    <row r="1252" spans="1:42" x14ac:dyDescent="0.45">
      <c r="A1252" t="s">
        <v>6395</v>
      </c>
      <c r="B1252" t="s">
        <v>6396</v>
      </c>
      <c r="C1252" t="s">
        <v>6455</v>
      </c>
      <c r="D1252">
        <v>2022</v>
      </c>
      <c r="E1252" t="s">
        <v>45</v>
      </c>
      <c r="F1252" t="s">
        <v>46</v>
      </c>
      <c r="G1252">
        <v>3</v>
      </c>
      <c r="J1252" t="s">
        <v>6523</v>
      </c>
      <c r="K1252" t="s">
        <v>6524</v>
      </c>
      <c r="L1252" t="s">
        <v>6525</v>
      </c>
      <c r="M1252" t="s">
        <v>6526</v>
      </c>
      <c r="N1252" t="s">
        <v>2722</v>
      </c>
      <c r="O1252" t="s">
        <v>2723</v>
      </c>
      <c r="P1252" t="s">
        <v>223</v>
      </c>
      <c r="Q1252" t="s">
        <v>6460</v>
      </c>
      <c r="S1252">
        <v>4</v>
      </c>
      <c r="T1252" t="s">
        <v>6527</v>
      </c>
      <c r="U1252">
        <v>2946</v>
      </c>
      <c r="V1252">
        <v>3074.5</v>
      </c>
      <c r="W1252">
        <v>0.95820000000000005</v>
      </c>
      <c r="X1252" t="s">
        <v>70</v>
      </c>
      <c r="Y1252" t="s">
        <v>6462</v>
      </c>
      <c r="Z1252">
        <v>1404.78</v>
      </c>
      <c r="AA1252">
        <v>1413.72</v>
      </c>
      <c r="AB1252">
        <v>1985972</v>
      </c>
      <c r="AC1252" t="b">
        <v>1</v>
      </c>
      <c r="AD1252" t="b">
        <v>1</v>
      </c>
      <c r="AE1252" t="b">
        <v>0</v>
      </c>
      <c r="AF1252" t="b">
        <v>0</v>
      </c>
      <c r="AG1252" t="s">
        <v>58</v>
      </c>
      <c r="AH1252">
        <v>14</v>
      </c>
      <c r="AI1252" t="s">
        <v>59</v>
      </c>
      <c r="AJ1252" t="s">
        <v>71</v>
      </c>
      <c r="AL1252" t="s">
        <v>244</v>
      </c>
      <c r="AM1252" t="s">
        <v>245</v>
      </c>
      <c r="AN1252" t="s">
        <v>63</v>
      </c>
      <c r="AO1252" t="s">
        <v>6463</v>
      </c>
      <c r="AP1252" t="s">
        <v>6524</v>
      </c>
    </row>
    <row r="1253" spans="1:42" x14ac:dyDescent="0.45">
      <c r="A1253" t="s">
        <v>6395</v>
      </c>
      <c r="B1253" t="s">
        <v>6396</v>
      </c>
      <c r="C1253" t="s">
        <v>6528</v>
      </c>
      <c r="D1253">
        <v>2024</v>
      </c>
      <c r="E1253" t="s">
        <v>45</v>
      </c>
      <c r="F1253" t="s">
        <v>46</v>
      </c>
      <c r="G1253">
        <v>7</v>
      </c>
      <c r="J1253" t="s">
        <v>6529</v>
      </c>
      <c r="K1253" t="s">
        <v>6530</v>
      </c>
      <c r="L1253" t="s">
        <v>6531</v>
      </c>
      <c r="M1253" t="s">
        <v>6532</v>
      </c>
      <c r="N1253" t="s">
        <v>2722</v>
      </c>
      <c r="O1253" t="s">
        <v>2723</v>
      </c>
      <c r="P1253" t="s">
        <v>223</v>
      </c>
      <c r="Q1253" t="s">
        <v>6533</v>
      </c>
      <c r="S1253">
        <v>11</v>
      </c>
      <c r="T1253" t="s">
        <v>6534</v>
      </c>
      <c r="U1253">
        <v>3801</v>
      </c>
      <c r="V1253">
        <v>3555</v>
      </c>
      <c r="W1253">
        <v>1.0691999999999999</v>
      </c>
      <c r="X1253" t="s">
        <v>70</v>
      </c>
      <c r="Y1253" t="s">
        <v>6535</v>
      </c>
      <c r="Z1253">
        <v>577.77</v>
      </c>
      <c r="AA1253">
        <v>1093.07</v>
      </c>
      <c r="AB1253">
        <v>631540</v>
      </c>
      <c r="AC1253" t="b">
        <v>1</v>
      </c>
      <c r="AD1253" t="b">
        <v>1</v>
      </c>
      <c r="AE1253" t="b">
        <v>0</v>
      </c>
      <c r="AF1253" t="b">
        <v>0</v>
      </c>
      <c r="AG1253" t="s">
        <v>58</v>
      </c>
      <c r="AH1253">
        <v>20</v>
      </c>
      <c r="AI1253" t="s">
        <v>59</v>
      </c>
      <c r="AJ1253" t="s">
        <v>71</v>
      </c>
      <c r="AL1253" t="s">
        <v>72</v>
      </c>
      <c r="AM1253" t="s">
        <v>62</v>
      </c>
      <c r="AN1253" t="s">
        <v>63</v>
      </c>
      <c r="AO1253" t="s">
        <v>6536</v>
      </c>
      <c r="AP1253" t="s">
        <v>6530</v>
      </c>
    </row>
    <row r="1254" spans="1:42" x14ac:dyDescent="0.45">
      <c r="A1254" t="s">
        <v>6395</v>
      </c>
      <c r="B1254" t="s">
        <v>6396</v>
      </c>
      <c r="C1254" t="s">
        <v>6528</v>
      </c>
      <c r="D1254">
        <v>2024</v>
      </c>
      <c r="E1254" t="s">
        <v>45</v>
      </c>
      <c r="F1254" t="s">
        <v>46</v>
      </c>
      <c r="G1254">
        <v>12</v>
      </c>
      <c r="J1254" t="s">
        <v>6537</v>
      </c>
      <c r="K1254" t="s">
        <v>6538</v>
      </c>
      <c r="L1254" t="s">
        <v>6539</v>
      </c>
      <c r="M1254" t="s">
        <v>6540</v>
      </c>
      <c r="N1254" t="s">
        <v>2722</v>
      </c>
      <c r="O1254" t="s">
        <v>2723</v>
      </c>
      <c r="P1254" t="s">
        <v>223</v>
      </c>
      <c r="Q1254" t="s">
        <v>6533</v>
      </c>
      <c r="S1254">
        <v>5</v>
      </c>
      <c r="T1254" t="s">
        <v>6541</v>
      </c>
      <c r="U1254">
        <v>3714</v>
      </c>
      <c r="V1254">
        <v>3555</v>
      </c>
      <c r="W1254">
        <v>1.0447</v>
      </c>
      <c r="X1254" t="s">
        <v>70</v>
      </c>
      <c r="Y1254" t="s">
        <v>6535</v>
      </c>
      <c r="Z1254">
        <v>535.77</v>
      </c>
      <c r="AA1254">
        <v>822.94</v>
      </c>
      <c r="AB1254">
        <v>440901</v>
      </c>
      <c r="AC1254" t="b">
        <v>1</v>
      </c>
      <c r="AD1254" t="b">
        <v>1</v>
      </c>
      <c r="AE1254" t="b">
        <v>0</v>
      </c>
      <c r="AF1254" t="b">
        <v>0</v>
      </c>
      <c r="AG1254" t="s">
        <v>58</v>
      </c>
      <c r="AH1254">
        <v>20</v>
      </c>
      <c r="AI1254" t="s">
        <v>59</v>
      </c>
      <c r="AJ1254" t="s">
        <v>71</v>
      </c>
      <c r="AL1254" t="s">
        <v>72</v>
      </c>
      <c r="AM1254" t="s">
        <v>62</v>
      </c>
      <c r="AN1254" t="s">
        <v>63</v>
      </c>
      <c r="AO1254" t="s">
        <v>6536</v>
      </c>
      <c r="AP1254" t="s">
        <v>6538</v>
      </c>
    </row>
    <row r="1255" spans="1:42" x14ac:dyDescent="0.45">
      <c r="A1255" t="s">
        <v>6395</v>
      </c>
      <c r="B1255" t="s">
        <v>6396</v>
      </c>
      <c r="C1255" t="s">
        <v>6528</v>
      </c>
      <c r="D1255">
        <v>2024</v>
      </c>
      <c r="E1255" t="s">
        <v>45</v>
      </c>
      <c r="F1255" t="s">
        <v>46</v>
      </c>
      <c r="G1255">
        <v>10</v>
      </c>
      <c r="J1255" t="e">
        <v>#NAME?</v>
      </c>
      <c r="K1255" t="s">
        <v>6542</v>
      </c>
      <c r="L1255" t="s">
        <v>6543</v>
      </c>
      <c r="M1255" t="s">
        <v>6544</v>
      </c>
      <c r="N1255" t="s">
        <v>2722</v>
      </c>
      <c r="O1255" t="s">
        <v>2723</v>
      </c>
      <c r="P1255" t="s">
        <v>223</v>
      </c>
      <c r="Q1255" t="s">
        <v>6533</v>
      </c>
      <c r="S1255">
        <v>8</v>
      </c>
      <c r="T1255" t="s">
        <v>6545</v>
      </c>
      <c r="U1255">
        <v>3398</v>
      </c>
      <c r="V1255">
        <v>3555</v>
      </c>
      <c r="W1255">
        <v>0.95579999999999998</v>
      </c>
      <c r="X1255" t="s">
        <v>70</v>
      </c>
      <c r="Y1255" t="s">
        <v>6535</v>
      </c>
      <c r="Z1255">
        <v>560.77</v>
      </c>
      <c r="AA1255">
        <v>1194.95</v>
      </c>
      <c r="AB1255">
        <v>670084</v>
      </c>
      <c r="AC1255" t="b">
        <v>1</v>
      </c>
      <c r="AD1255" t="b">
        <v>1</v>
      </c>
      <c r="AE1255" t="b">
        <v>0</v>
      </c>
      <c r="AF1255" t="b">
        <v>0</v>
      </c>
      <c r="AG1255" t="s">
        <v>58</v>
      </c>
      <c r="AH1255">
        <v>20</v>
      </c>
      <c r="AI1255" t="s">
        <v>59</v>
      </c>
      <c r="AJ1255" t="s">
        <v>71</v>
      </c>
      <c r="AL1255" t="s">
        <v>72</v>
      </c>
      <c r="AM1255" t="s">
        <v>62</v>
      </c>
      <c r="AN1255" t="s">
        <v>63</v>
      </c>
      <c r="AO1255" t="s">
        <v>6536</v>
      </c>
      <c r="AP1255" t="s">
        <v>6542</v>
      </c>
    </row>
    <row r="1256" spans="1:42" x14ac:dyDescent="0.45">
      <c r="A1256" t="s">
        <v>6395</v>
      </c>
      <c r="B1256" t="s">
        <v>6396</v>
      </c>
      <c r="C1256" t="s">
        <v>6528</v>
      </c>
      <c r="D1256">
        <v>2024</v>
      </c>
      <c r="E1256" t="s">
        <v>45</v>
      </c>
      <c r="F1256" t="s">
        <v>46</v>
      </c>
      <c r="J1256" t="s">
        <v>6546</v>
      </c>
      <c r="K1256" t="s">
        <v>6547</v>
      </c>
      <c r="L1256" t="s">
        <v>6548</v>
      </c>
      <c r="M1256" t="s">
        <v>6549</v>
      </c>
      <c r="N1256" t="s">
        <v>2722</v>
      </c>
      <c r="O1256" t="s">
        <v>2723</v>
      </c>
      <c r="P1256" t="s">
        <v>223</v>
      </c>
      <c r="Q1256" t="s">
        <v>6533</v>
      </c>
      <c r="S1256">
        <v>0</v>
      </c>
      <c r="T1256" t="s">
        <v>6550</v>
      </c>
      <c r="U1256">
        <v>3755</v>
      </c>
      <c r="V1256">
        <v>3555</v>
      </c>
      <c r="W1256">
        <v>1.0563</v>
      </c>
      <c r="X1256" t="s">
        <v>70</v>
      </c>
      <c r="Y1256" t="s">
        <v>6535</v>
      </c>
      <c r="Z1256">
        <v>500.77</v>
      </c>
      <c r="AA1256">
        <v>268.52</v>
      </c>
      <c r="AB1256">
        <v>134467</v>
      </c>
      <c r="AC1256" t="b">
        <v>0</v>
      </c>
      <c r="AD1256" t="b">
        <v>0</v>
      </c>
      <c r="AE1256" t="b">
        <v>0</v>
      </c>
      <c r="AF1256" t="b">
        <v>0</v>
      </c>
      <c r="AG1256" t="s">
        <v>58</v>
      </c>
      <c r="AH1256">
        <v>16</v>
      </c>
      <c r="AI1256" t="s">
        <v>386</v>
      </c>
      <c r="AJ1256" t="s">
        <v>387</v>
      </c>
      <c r="AL1256" t="s">
        <v>1330</v>
      </c>
      <c r="AM1256" t="s">
        <v>62</v>
      </c>
      <c r="AN1256" t="s">
        <v>63</v>
      </c>
      <c r="AO1256" t="s">
        <v>6536</v>
      </c>
      <c r="AP1256" t="s">
        <v>6547</v>
      </c>
    </row>
    <row r="1257" spans="1:42" x14ac:dyDescent="0.45">
      <c r="A1257" t="s">
        <v>6395</v>
      </c>
      <c r="B1257" t="s">
        <v>6396</v>
      </c>
      <c r="C1257" t="s">
        <v>6528</v>
      </c>
      <c r="D1257">
        <v>2024</v>
      </c>
      <c r="E1257" t="s">
        <v>45</v>
      </c>
      <c r="F1257" t="s">
        <v>46</v>
      </c>
      <c r="G1257">
        <v>8</v>
      </c>
      <c r="J1257" t="s">
        <v>6551</v>
      </c>
      <c r="K1257" t="s">
        <v>6552</v>
      </c>
      <c r="L1257" t="s">
        <v>6553</v>
      </c>
      <c r="M1257" t="s">
        <v>6554</v>
      </c>
      <c r="N1257" t="s">
        <v>2722</v>
      </c>
      <c r="O1257" t="s">
        <v>2723</v>
      </c>
      <c r="P1257" t="s">
        <v>223</v>
      </c>
      <c r="Q1257" t="s">
        <v>6533</v>
      </c>
      <c r="S1257">
        <v>10</v>
      </c>
      <c r="T1257" t="s">
        <v>1205</v>
      </c>
      <c r="U1257">
        <v>4660</v>
      </c>
      <c r="V1257">
        <v>3555</v>
      </c>
      <c r="W1257">
        <v>1.3108</v>
      </c>
      <c r="X1257" t="s">
        <v>70</v>
      </c>
      <c r="Y1257" t="s">
        <v>6535</v>
      </c>
      <c r="Z1257">
        <v>570.77</v>
      </c>
      <c r="AA1257">
        <v>697.55</v>
      </c>
      <c r="AB1257">
        <v>398136</v>
      </c>
      <c r="AC1257" t="b">
        <v>1</v>
      </c>
      <c r="AD1257" t="b">
        <v>1</v>
      </c>
      <c r="AE1257" t="b">
        <v>0</v>
      </c>
      <c r="AF1257" t="b">
        <v>0</v>
      </c>
      <c r="AG1257" t="s">
        <v>58</v>
      </c>
      <c r="AH1257">
        <v>20</v>
      </c>
      <c r="AI1257" t="s">
        <v>59</v>
      </c>
      <c r="AJ1257" t="s">
        <v>71</v>
      </c>
      <c r="AL1257" t="s">
        <v>72</v>
      </c>
      <c r="AM1257" t="s">
        <v>62</v>
      </c>
      <c r="AN1257" t="s">
        <v>63</v>
      </c>
      <c r="AO1257" t="s">
        <v>6536</v>
      </c>
      <c r="AP1257" t="s">
        <v>6552</v>
      </c>
    </row>
    <row r="1258" spans="1:42" x14ac:dyDescent="0.45">
      <c r="A1258" t="s">
        <v>6395</v>
      </c>
      <c r="B1258" t="s">
        <v>6396</v>
      </c>
      <c r="C1258" t="s">
        <v>6528</v>
      </c>
      <c r="D1258">
        <v>2024</v>
      </c>
      <c r="E1258" t="s">
        <v>45</v>
      </c>
      <c r="F1258" t="s">
        <v>46</v>
      </c>
      <c r="G1258">
        <v>13</v>
      </c>
      <c r="J1258" t="s">
        <v>6555</v>
      </c>
      <c r="K1258" t="s">
        <v>6556</v>
      </c>
      <c r="L1258" t="s">
        <v>6557</v>
      </c>
      <c r="M1258" t="s">
        <v>6558</v>
      </c>
      <c r="N1258" t="s">
        <v>2722</v>
      </c>
      <c r="O1258" t="s">
        <v>2723</v>
      </c>
      <c r="P1258" t="s">
        <v>223</v>
      </c>
      <c r="Q1258" t="s">
        <v>6533</v>
      </c>
      <c r="S1258">
        <v>4</v>
      </c>
      <c r="T1258" t="s">
        <v>6559</v>
      </c>
      <c r="U1258">
        <v>3529</v>
      </c>
      <c r="V1258">
        <v>3555</v>
      </c>
      <c r="W1258">
        <v>0.99270000000000003</v>
      </c>
      <c r="X1258" t="s">
        <v>70</v>
      </c>
      <c r="Y1258" t="s">
        <v>6535</v>
      </c>
      <c r="Z1258">
        <v>528.77</v>
      </c>
      <c r="AA1258">
        <v>1163.7</v>
      </c>
      <c r="AB1258">
        <v>615325</v>
      </c>
      <c r="AC1258" t="b">
        <v>1</v>
      </c>
      <c r="AD1258" t="b">
        <v>1</v>
      </c>
      <c r="AE1258" t="b">
        <v>0</v>
      </c>
      <c r="AF1258" t="b">
        <v>0</v>
      </c>
      <c r="AG1258" t="s">
        <v>58</v>
      </c>
      <c r="AH1258">
        <v>20</v>
      </c>
      <c r="AI1258" t="s">
        <v>59</v>
      </c>
      <c r="AJ1258" t="s">
        <v>71</v>
      </c>
      <c r="AL1258" t="s">
        <v>72</v>
      </c>
      <c r="AM1258" t="s">
        <v>62</v>
      </c>
      <c r="AN1258" t="s">
        <v>63</v>
      </c>
      <c r="AO1258" t="s">
        <v>6536</v>
      </c>
      <c r="AP1258" t="s">
        <v>6556</v>
      </c>
    </row>
    <row r="1259" spans="1:42" x14ac:dyDescent="0.45">
      <c r="A1259" t="s">
        <v>6395</v>
      </c>
      <c r="B1259" t="s">
        <v>6396</v>
      </c>
      <c r="C1259" t="s">
        <v>6528</v>
      </c>
      <c r="D1259">
        <v>2024</v>
      </c>
      <c r="E1259" t="s">
        <v>45</v>
      </c>
      <c r="F1259" t="s">
        <v>46</v>
      </c>
      <c r="G1259">
        <v>1</v>
      </c>
      <c r="J1259" t="s">
        <v>6560</v>
      </c>
      <c r="K1259" t="s">
        <v>6561</v>
      </c>
      <c r="L1259" t="s">
        <v>6562</v>
      </c>
      <c r="M1259" t="s">
        <v>6563</v>
      </c>
      <c r="N1259" t="s">
        <v>2722</v>
      </c>
      <c r="O1259" t="s">
        <v>2723</v>
      </c>
      <c r="P1259" t="s">
        <v>223</v>
      </c>
      <c r="Q1259" t="s">
        <v>6533</v>
      </c>
      <c r="S1259">
        <v>17</v>
      </c>
      <c r="T1259" t="s">
        <v>6564</v>
      </c>
      <c r="U1259">
        <v>4617</v>
      </c>
      <c r="V1259">
        <v>3555</v>
      </c>
      <c r="W1259">
        <v>1.2987</v>
      </c>
      <c r="X1259" t="s">
        <v>70</v>
      </c>
      <c r="Y1259" t="s">
        <v>6535</v>
      </c>
      <c r="Z1259">
        <v>619.77</v>
      </c>
      <c r="AA1259">
        <v>2823.2</v>
      </c>
      <c r="AB1259">
        <v>1749720</v>
      </c>
      <c r="AC1259" t="b">
        <v>1</v>
      </c>
      <c r="AD1259" t="b">
        <v>1</v>
      </c>
      <c r="AE1259" t="b">
        <v>0</v>
      </c>
      <c r="AF1259" t="b">
        <v>0</v>
      </c>
      <c r="AG1259" t="s">
        <v>58</v>
      </c>
      <c r="AH1259">
        <v>20</v>
      </c>
      <c r="AI1259" t="s">
        <v>59</v>
      </c>
      <c r="AJ1259" t="s">
        <v>71</v>
      </c>
      <c r="AL1259" t="s">
        <v>72</v>
      </c>
      <c r="AM1259" t="s">
        <v>62</v>
      </c>
      <c r="AN1259" t="s">
        <v>63</v>
      </c>
      <c r="AO1259" t="s">
        <v>6536</v>
      </c>
      <c r="AP1259" t="s">
        <v>6561</v>
      </c>
    </row>
    <row r="1260" spans="1:42" x14ac:dyDescent="0.45">
      <c r="A1260" t="s">
        <v>6395</v>
      </c>
      <c r="B1260" t="s">
        <v>6396</v>
      </c>
      <c r="C1260" t="s">
        <v>6528</v>
      </c>
      <c r="D1260">
        <v>2024</v>
      </c>
      <c r="E1260" t="s">
        <v>45</v>
      </c>
      <c r="F1260" t="s">
        <v>46</v>
      </c>
      <c r="G1260">
        <v>6</v>
      </c>
      <c r="J1260" t="s">
        <v>6565</v>
      </c>
      <c r="K1260" t="s">
        <v>6566</v>
      </c>
      <c r="L1260" t="s">
        <v>6567</v>
      </c>
      <c r="M1260" t="s">
        <v>6568</v>
      </c>
      <c r="N1260" t="s">
        <v>2722</v>
      </c>
      <c r="O1260" t="s">
        <v>2723</v>
      </c>
      <c r="P1260" t="s">
        <v>223</v>
      </c>
      <c r="Q1260" t="s">
        <v>6533</v>
      </c>
      <c r="S1260">
        <v>12</v>
      </c>
      <c r="T1260" t="s">
        <v>1217</v>
      </c>
      <c r="U1260">
        <v>3387</v>
      </c>
      <c r="V1260">
        <v>3555</v>
      </c>
      <c r="W1260">
        <v>0.95269999999999999</v>
      </c>
      <c r="X1260" t="s">
        <v>70</v>
      </c>
      <c r="Y1260" t="s">
        <v>6535</v>
      </c>
      <c r="Z1260">
        <v>584.77</v>
      </c>
      <c r="AA1260">
        <v>1587</v>
      </c>
      <c r="AB1260">
        <v>928025</v>
      </c>
      <c r="AC1260" t="b">
        <v>1</v>
      </c>
      <c r="AD1260" t="b">
        <v>1</v>
      </c>
      <c r="AE1260" t="b">
        <v>0</v>
      </c>
      <c r="AF1260" t="b">
        <v>0</v>
      </c>
      <c r="AG1260" t="s">
        <v>58</v>
      </c>
      <c r="AH1260">
        <v>20</v>
      </c>
      <c r="AI1260" t="s">
        <v>59</v>
      </c>
      <c r="AJ1260" t="s">
        <v>71</v>
      </c>
      <c r="AL1260" t="s">
        <v>72</v>
      </c>
      <c r="AM1260" t="s">
        <v>62</v>
      </c>
      <c r="AN1260" t="s">
        <v>63</v>
      </c>
      <c r="AO1260" t="s">
        <v>6536</v>
      </c>
      <c r="AP1260" t="s">
        <v>6566</v>
      </c>
    </row>
    <row r="1261" spans="1:42" x14ac:dyDescent="0.45">
      <c r="A1261" t="s">
        <v>6395</v>
      </c>
      <c r="B1261" t="s">
        <v>6396</v>
      </c>
      <c r="C1261" t="s">
        <v>6528</v>
      </c>
      <c r="D1261">
        <v>2024</v>
      </c>
      <c r="E1261" t="s">
        <v>45</v>
      </c>
      <c r="F1261" t="s">
        <v>46</v>
      </c>
      <c r="G1261">
        <v>5</v>
      </c>
      <c r="J1261" t="s">
        <v>6569</v>
      </c>
      <c r="K1261" t="s">
        <v>6570</v>
      </c>
      <c r="L1261" t="s">
        <v>6571</v>
      </c>
      <c r="M1261" t="s">
        <v>6572</v>
      </c>
      <c r="N1261" t="s">
        <v>2722</v>
      </c>
      <c r="O1261" t="s">
        <v>2723</v>
      </c>
      <c r="P1261" t="s">
        <v>223</v>
      </c>
      <c r="Q1261" t="s">
        <v>6533</v>
      </c>
      <c r="S1261">
        <v>13</v>
      </c>
      <c r="T1261" t="s">
        <v>6573</v>
      </c>
      <c r="U1261">
        <v>3388</v>
      </c>
      <c r="V1261">
        <v>3555</v>
      </c>
      <c r="W1261">
        <v>0.95299999999999996</v>
      </c>
      <c r="X1261" t="s">
        <v>70</v>
      </c>
      <c r="Y1261" t="s">
        <v>6535</v>
      </c>
      <c r="Z1261">
        <v>591.77</v>
      </c>
      <c r="AA1261">
        <v>1018.87</v>
      </c>
      <c r="AB1261">
        <v>602932</v>
      </c>
      <c r="AC1261" t="b">
        <v>1</v>
      </c>
      <c r="AD1261" t="b">
        <v>1</v>
      </c>
      <c r="AE1261" t="b">
        <v>0</v>
      </c>
      <c r="AF1261" t="b">
        <v>0</v>
      </c>
      <c r="AG1261" t="s">
        <v>58</v>
      </c>
      <c r="AH1261">
        <v>20</v>
      </c>
      <c r="AI1261" t="s">
        <v>59</v>
      </c>
      <c r="AJ1261" t="s">
        <v>71</v>
      </c>
      <c r="AL1261" t="s">
        <v>72</v>
      </c>
      <c r="AM1261" t="s">
        <v>62</v>
      </c>
      <c r="AN1261" t="s">
        <v>63</v>
      </c>
      <c r="AO1261" t="s">
        <v>6536</v>
      </c>
      <c r="AP1261" t="s">
        <v>6570</v>
      </c>
    </row>
    <row r="1262" spans="1:42" x14ac:dyDescent="0.45">
      <c r="A1262" t="s">
        <v>6395</v>
      </c>
      <c r="B1262" t="s">
        <v>6396</v>
      </c>
      <c r="C1262" t="s">
        <v>6528</v>
      </c>
      <c r="D1262">
        <v>2024</v>
      </c>
      <c r="E1262" t="s">
        <v>45</v>
      </c>
      <c r="F1262" t="s">
        <v>46</v>
      </c>
      <c r="G1262">
        <v>14</v>
      </c>
      <c r="J1262" t="s">
        <v>6574</v>
      </c>
      <c r="K1262" t="s">
        <v>6575</v>
      </c>
      <c r="L1262" t="s">
        <v>6576</v>
      </c>
      <c r="M1262" t="s">
        <v>6577</v>
      </c>
      <c r="N1262" t="s">
        <v>2722</v>
      </c>
      <c r="O1262" t="s">
        <v>2723</v>
      </c>
      <c r="P1262" t="s">
        <v>223</v>
      </c>
      <c r="Q1262" t="s">
        <v>6533</v>
      </c>
      <c r="S1262">
        <v>3</v>
      </c>
      <c r="T1262" t="s">
        <v>6578</v>
      </c>
      <c r="U1262">
        <v>2646</v>
      </c>
      <c r="V1262">
        <v>3555</v>
      </c>
      <c r="W1262">
        <v>0.74429999999999996</v>
      </c>
      <c r="X1262" t="s">
        <v>70</v>
      </c>
      <c r="Y1262" t="s">
        <v>6535</v>
      </c>
      <c r="Z1262">
        <v>521.77</v>
      </c>
      <c r="AA1262">
        <v>1005.43</v>
      </c>
      <c r="AB1262">
        <v>524600</v>
      </c>
      <c r="AC1262" t="b">
        <v>1</v>
      </c>
      <c r="AD1262" t="b">
        <v>1</v>
      </c>
      <c r="AE1262" t="b">
        <v>0</v>
      </c>
      <c r="AF1262" t="b">
        <v>0</v>
      </c>
      <c r="AG1262" t="s">
        <v>58</v>
      </c>
      <c r="AH1262">
        <v>20</v>
      </c>
      <c r="AI1262" t="s">
        <v>59</v>
      </c>
      <c r="AJ1262" t="s">
        <v>71</v>
      </c>
      <c r="AL1262" t="s">
        <v>72</v>
      </c>
      <c r="AM1262" t="s">
        <v>62</v>
      </c>
      <c r="AN1262" t="s">
        <v>63</v>
      </c>
      <c r="AO1262" t="s">
        <v>6536</v>
      </c>
      <c r="AP1262" t="s">
        <v>6575</v>
      </c>
    </row>
    <row r="1263" spans="1:42" x14ac:dyDescent="0.45">
      <c r="A1263" t="s">
        <v>6395</v>
      </c>
      <c r="B1263" t="s">
        <v>6396</v>
      </c>
      <c r="C1263" t="s">
        <v>6528</v>
      </c>
      <c r="D1263">
        <v>2024</v>
      </c>
      <c r="E1263" t="s">
        <v>45</v>
      </c>
      <c r="F1263" t="s">
        <v>46</v>
      </c>
      <c r="G1263">
        <v>2</v>
      </c>
      <c r="J1263" t="s">
        <v>6579</v>
      </c>
      <c r="K1263" t="s">
        <v>6580</v>
      </c>
      <c r="L1263" t="s">
        <v>6581</v>
      </c>
      <c r="M1263" t="s">
        <v>6582</v>
      </c>
      <c r="N1263" t="s">
        <v>2722</v>
      </c>
      <c r="O1263" t="s">
        <v>2723</v>
      </c>
      <c r="P1263" t="s">
        <v>223</v>
      </c>
      <c r="Q1263" t="s">
        <v>6533</v>
      </c>
      <c r="S1263">
        <v>16</v>
      </c>
      <c r="T1263" t="s">
        <v>6583</v>
      </c>
      <c r="U1263">
        <v>3434</v>
      </c>
      <c r="V1263">
        <v>3555</v>
      </c>
      <c r="W1263">
        <v>0.96599999999999997</v>
      </c>
      <c r="X1263" t="s">
        <v>70</v>
      </c>
      <c r="Y1263" t="s">
        <v>6535</v>
      </c>
      <c r="Z1263">
        <v>612.77</v>
      </c>
      <c r="AA1263">
        <v>1993.44</v>
      </c>
      <c r="AB1263">
        <v>1221508</v>
      </c>
      <c r="AC1263" t="b">
        <v>1</v>
      </c>
      <c r="AD1263" t="b">
        <v>1</v>
      </c>
      <c r="AE1263" t="b">
        <v>0</v>
      </c>
      <c r="AF1263" t="b">
        <v>0</v>
      </c>
      <c r="AG1263" t="s">
        <v>58</v>
      </c>
      <c r="AH1263">
        <v>20</v>
      </c>
      <c r="AI1263" t="s">
        <v>59</v>
      </c>
      <c r="AJ1263" t="s">
        <v>71</v>
      </c>
      <c r="AL1263" t="s">
        <v>72</v>
      </c>
      <c r="AM1263" t="s">
        <v>62</v>
      </c>
      <c r="AN1263" t="s">
        <v>63</v>
      </c>
      <c r="AO1263" t="s">
        <v>6536</v>
      </c>
      <c r="AP1263" t="s">
        <v>6580</v>
      </c>
    </row>
    <row r="1264" spans="1:42" x14ac:dyDescent="0.45">
      <c r="A1264" t="s">
        <v>6395</v>
      </c>
      <c r="B1264" t="s">
        <v>6396</v>
      </c>
      <c r="C1264" t="s">
        <v>6528</v>
      </c>
      <c r="D1264">
        <v>2024</v>
      </c>
      <c r="E1264" t="s">
        <v>45</v>
      </c>
      <c r="F1264" t="s">
        <v>46</v>
      </c>
      <c r="G1264">
        <v>4</v>
      </c>
      <c r="J1264" t="s">
        <v>6584</v>
      </c>
      <c r="K1264" t="s">
        <v>6585</v>
      </c>
      <c r="L1264" t="s">
        <v>6586</v>
      </c>
      <c r="M1264" t="s">
        <v>6587</v>
      </c>
      <c r="N1264" t="s">
        <v>2722</v>
      </c>
      <c r="O1264" t="s">
        <v>2723</v>
      </c>
      <c r="P1264" t="s">
        <v>223</v>
      </c>
      <c r="Q1264" t="s">
        <v>6533</v>
      </c>
      <c r="S1264">
        <v>14</v>
      </c>
      <c r="T1264" t="s">
        <v>1252</v>
      </c>
      <c r="U1264">
        <v>3459</v>
      </c>
      <c r="V1264">
        <v>3555</v>
      </c>
      <c r="W1264">
        <v>0.97299999999999998</v>
      </c>
      <c r="X1264" t="s">
        <v>70</v>
      </c>
      <c r="Y1264" t="s">
        <v>6535</v>
      </c>
      <c r="Z1264">
        <v>598.77</v>
      </c>
      <c r="AA1264">
        <v>1381.5</v>
      </c>
      <c r="AB1264">
        <v>827192</v>
      </c>
      <c r="AC1264" t="b">
        <v>1</v>
      </c>
      <c r="AD1264" t="b">
        <v>1</v>
      </c>
      <c r="AE1264" t="b">
        <v>0</v>
      </c>
      <c r="AF1264" t="b">
        <v>0</v>
      </c>
      <c r="AG1264" t="s">
        <v>58</v>
      </c>
      <c r="AH1264">
        <v>20</v>
      </c>
      <c r="AI1264" t="s">
        <v>59</v>
      </c>
      <c r="AJ1264" t="s">
        <v>71</v>
      </c>
      <c r="AL1264" t="s">
        <v>72</v>
      </c>
      <c r="AM1264" t="s">
        <v>62</v>
      </c>
      <c r="AN1264" t="s">
        <v>63</v>
      </c>
      <c r="AO1264" t="s">
        <v>6536</v>
      </c>
      <c r="AP1264" t="s">
        <v>6585</v>
      </c>
    </row>
    <row r="1265" spans="1:42" x14ac:dyDescent="0.45">
      <c r="A1265" t="s">
        <v>6395</v>
      </c>
      <c r="B1265" t="s">
        <v>6396</v>
      </c>
      <c r="C1265" t="s">
        <v>6528</v>
      </c>
      <c r="D1265">
        <v>2024</v>
      </c>
      <c r="E1265" t="s">
        <v>45</v>
      </c>
      <c r="F1265" t="s">
        <v>46</v>
      </c>
      <c r="G1265">
        <v>11</v>
      </c>
      <c r="J1265" t="s">
        <v>6588</v>
      </c>
      <c r="K1265" t="s">
        <v>6589</v>
      </c>
      <c r="L1265" t="s">
        <v>6590</v>
      </c>
      <c r="M1265" t="s">
        <v>6591</v>
      </c>
      <c r="N1265" t="s">
        <v>2722</v>
      </c>
      <c r="O1265" t="s">
        <v>2723</v>
      </c>
      <c r="P1265" t="s">
        <v>223</v>
      </c>
      <c r="Q1265" t="s">
        <v>6533</v>
      </c>
      <c r="S1265">
        <v>6</v>
      </c>
      <c r="T1265" t="s">
        <v>6592</v>
      </c>
      <c r="U1265">
        <v>4043</v>
      </c>
      <c r="V1265">
        <v>3555</v>
      </c>
      <c r="W1265">
        <v>1.1373</v>
      </c>
      <c r="X1265" t="s">
        <v>70</v>
      </c>
      <c r="Y1265" t="s">
        <v>6535</v>
      </c>
      <c r="Z1265">
        <v>542.77</v>
      </c>
      <c r="AA1265">
        <v>1339.08</v>
      </c>
      <c r="AB1265">
        <v>726806</v>
      </c>
      <c r="AC1265" t="b">
        <v>1</v>
      </c>
      <c r="AD1265" t="b">
        <v>1</v>
      </c>
      <c r="AE1265" t="b">
        <v>0</v>
      </c>
      <c r="AF1265" t="b">
        <v>0</v>
      </c>
      <c r="AG1265" t="s">
        <v>58</v>
      </c>
      <c r="AH1265">
        <v>20</v>
      </c>
      <c r="AI1265" t="s">
        <v>59</v>
      </c>
      <c r="AJ1265" t="s">
        <v>71</v>
      </c>
      <c r="AL1265" t="s">
        <v>72</v>
      </c>
      <c r="AM1265" t="s">
        <v>62</v>
      </c>
      <c r="AN1265" t="s">
        <v>63</v>
      </c>
      <c r="AO1265" t="s">
        <v>6536</v>
      </c>
      <c r="AP1265" t="s">
        <v>6589</v>
      </c>
    </row>
    <row r="1266" spans="1:42" x14ac:dyDescent="0.45">
      <c r="A1266" t="s">
        <v>6395</v>
      </c>
      <c r="B1266" t="s">
        <v>6396</v>
      </c>
      <c r="C1266" t="s">
        <v>6528</v>
      </c>
      <c r="D1266">
        <v>2024</v>
      </c>
      <c r="E1266" t="s">
        <v>45</v>
      </c>
      <c r="F1266" t="s">
        <v>46</v>
      </c>
      <c r="G1266">
        <v>15</v>
      </c>
      <c r="J1266" t="s">
        <v>6593</v>
      </c>
      <c r="K1266" t="s">
        <v>6594</v>
      </c>
      <c r="L1266" t="s">
        <v>6595</v>
      </c>
      <c r="M1266" t="s">
        <v>6596</v>
      </c>
      <c r="N1266" t="s">
        <v>2722</v>
      </c>
      <c r="O1266" t="s">
        <v>2723</v>
      </c>
      <c r="P1266" t="s">
        <v>223</v>
      </c>
      <c r="Q1266" t="s">
        <v>6533</v>
      </c>
      <c r="S1266">
        <v>2</v>
      </c>
      <c r="T1266" t="s">
        <v>6597</v>
      </c>
      <c r="U1266">
        <v>3581</v>
      </c>
      <c r="V1266">
        <v>3555</v>
      </c>
      <c r="W1266">
        <v>1.0073000000000001</v>
      </c>
      <c r="X1266" t="s">
        <v>70</v>
      </c>
      <c r="Y1266" t="s">
        <v>6535</v>
      </c>
      <c r="Z1266">
        <v>514.77</v>
      </c>
      <c r="AA1266">
        <v>2635.45</v>
      </c>
      <c r="AB1266">
        <v>1356636</v>
      </c>
      <c r="AC1266" t="b">
        <v>1</v>
      </c>
      <c r="AD1266" t="b">
        <v>1</v>
      </c>
      <c r="AE1266" t="b">
        <v>0</v>
      </c>
      <c r="AF1266" t="b">
        <v>0</v>
      </c>
      <c r="AG1266" t="s">
        <v>58</v>
      </c>
      <c r="AH1266">
        <v>20</v>
      </c>
      <c r="AI1266" t="s">
        <v>59</v>
      </c>
      <c r="AJ1266" t="s">
        <v>71</v>
      </c>
      <c r="AL1266" t="s">
        <v>72</v>
      </c>
      <c r="AM1266" t="s">
        <v>62</v>
      </c>
      <c r="AN1266" t="s">
        <v>63</v>
      </c>
      <c r="AO1266" t="s">
        <v>6536</v>
      </c>
      <c r="AP1266" t="s">
        <v>6594</v>
      </c>
    </row>
    <row r="1267" spans="1:42" x14ac:dyDescent="0.45">
      <c r="A1267" t="s">
        <v>6395</v>
      </c>
      <c r="B1267" t="s">
        <v>6396</v>
      </c>
      <c r="C1267" t="s">
        <v>6528</v>
      </c>
      <c r="D1267">
        <v>2024</v>
      </c>
      <c r="E1267" t="s">
        <v>45</v>
      </c>
      <c r="F1267" t="s">
        <v>46</v>
      </c>
      <c r="G1267">
        <v>9</v>
      </c>
      <c r="J1267" t="s">
        <v>6598</v>
      </c>
      <c r="K1267" t="s">
        <v>6599</v>
      </c>
      <c r="L1267" t="s">
        <v>6600</v>
      </c>
      <c r="M1267" t="s">
        <v>6601</v>
      </c>
      <c r="N1267" t="s">
        <v>2722</v>
      </c>
      <c r="O1267" t="s">
        <v>2723</v>
      </c>
      <c r="P1267" t="s">
        <v>223</v>
      </c>
      <c r="Q1267" t="s">
        <v>6533</v>
      </c>
      <c r="S1267">
        <v>9</v>
      </c>
      <c r="T1267" t="s">
        <v>6602</v>
      </c>
      <c r="U1267">
        <v>3624</v>
      </c>
      <c r="V1267">
        <v>3555</v>
      </c>
      <c r="W1267">
        <v>1.0194000000000001</v>
      </c>
      <c r="X1267" t="s">
        <v>70</v>
      </c>
      <c r="Y1267" t="s">
        <v>6535</v>
      </c>
      <c r="Z1267">
        <v>563.77</v>
      </c>
      <c r="AA1267">
        <v>1618.48</v>
      </c>
      <c r="AB1267">
        <v>912442</v>
      </c>
      <c r="AC1267" t="b">
        <v>1</v>
      </c>
      <c r="AD1267" t="b">
        <v>1</v>
      </c>
      <c r="AE1267" t="b">
        <v>0</v>
      </c>
      <c r="AF1267" t="b">
        <v>0</v>
      </c>
      <c r="AG1267" t="s">
        <v>58</v>
      </c>
      <c r="AH1267">
        <v>20</v>
      </c>
      <c r="AI1267" t="s">
        <v>59</v>
      </c>
      <c r="AJ1267" t="s">
        <v>71</v>
      </c>
      <c r="AL1267" t="s">
        <v>72</v>
      </c>
      <c r="AM1267" t="s">
        <v>62</v>
      </c>
      <c r="AN1267" t="s">
        <v>63</v>
      </c>
      <c r="AO1267" t="s">
        <v>6536</v>
      </c>
      <c r="AP1267" t="s">
        <v>6599</v>
      </c>
    </row>
    <row r="1268" spans="1:42" x14ac:dyDescent="0.45">
      <c r="A1268" t="s">
        <v>6395</v>
      </c>
      <c r="B1268" t="s">
        <v>6396</v>
      </c>
      <c r="C1268" t="s">
        <v>6528</v>
      </c>
      <c r="D1268">
        <v>2024</v>
      </c>
      <c r="E1268" t="s">
        <v>45</v>
      </c>
      <c r="F1268" t="s">
        <v>46</v>
      </c>
      <c r="G1268">
        <v>16</v>
      </c>
      <c r="J1268" t="s">
        <v>6603</v>
      </c>
      <c r="K1268" t="s">
        <v>6604</v>
      </c>
      <c r="L1268" t="s">
        <v>6605</v>
      </c>
      <c r="M1268" t="s">
        <v>6606</v>
      </c>
      <c r="N1268" t="s">
        <v>2722</v>
      </c>
      <c r="O1268" t="s">
        <v>2723</v>
      </c>
      <c r="P1268" t="s">
        <v>223</v>
      </c>
      <c r="Q1268" t="s">
        <v>6533</v>
      </c>
      <c r="S1268">
        <v>1</v>
      </c>
      <c r="T1268" t="s">
        <v>6607</v>
      </c>
      <c r="U1268">
        <v>3692</v>
      </c>
      <c r="V1268">
        <v>3555</v>
      </c>
      <c r="W1268">
        <v>1.0385</v>
      </c>
      <c r="X1268" t="s">
        <v>70</v>
      </c>
      <c r="Y1268" t="s">
        <v>6535</v>
      </c>
      <c r="Z1268">
        <v>507.77</v>
      </c>
      <c r="AA1268">
        <v>1091.31</v>
      </c>
      <c r="AB1268">
        <v>554130</v>
      </c>
      <c r="AC1268" t="b">
        <v>1</v>
      </c>
      <c r="AD1268" t="b">
        <v>1</v>
      </c>
      <c r="AE1268" t="b">
        <v>0</v>
      </c>
      <c r="AF1268" t="b">
        <v>0</v>
      </c>
      <c r="AG1268" t="s">
        <v>58</v>
      </c>
      <c r="AH1268">
        <v>20</v>
      </c>
      <c r="AI1268" t="s">
        <v>59</v>
      </c>
      <c r="AJ1268" t="s">
        <v>71</v>
      </c>
      <c r="AL1268" t="s">
        <v>72</v>
      </c>
      <c r="AM1268" t="s">
        <v>62</v>
      </c>
      <c r="AN1268" t="s">
        <v>63</v>
      </c>
      <c r="AO1268" t="s">
        <v>6536</v>
      </c>
      <c r="AP1268" t="s">
        <v>6604</v>
      </c>
    </row>
    <row r="1269" spans="1:42" x14ac:dyDescent="0.45">
      <c r="A1269" t="s">
        <v>6395</v>
      </c>
      <c r="B1269" t="s">
        <v>6396</v>
      </c>
      <c r="C1269" t="s">
        <v>6528</v>
      </c>
      <c r="D1269">
        <v>2024</v>
      </c>
      <c r="E1269" t="s">
        <v>45</v>
      </c>
      <c r="F1269" t="s">
        <v>46</v>
      </c>
      <c r="G1269">
        <v>3</v>
      </c>
      <c r="J1269" t="s">
        <v>6608</v>
      </c>
      <c r="K1269" t="s">
        <v>6609</v>
      </c>
      <c r="L1269" t="s">
        <v>6610</v>
      </c>
      <c r="M1269" t="s">
        <v>6611</v>
      </c>
      <c r="N1269" t="s">
        <v>2722</v>
      </c>
      <c r="O1269" t="s">
        <v>2723</v>
      </c>
      <c r="P1269" t="s">
        <v>223</v>
      </c>
      <c r="Q1269" t="s">
        <v>6533</v>
      </c>
      <c r="S1269">
        <v>15</v>
      </c>
      <c r="T1269" t="s">
        <v>1272</v>
      </c>
      <c r="U1269">
        <v>2816</v>
      </c>
      <c r="V1269">
        <v>3555</v>
      </c>
      <c r="W1269">
        <v>0.79210000000000003</v>
      </c>
      <c r="X1269" t="s">
        <v>70</v>
      </c>
      <c r="Y1269" t="s">
        <v>6535</v>
      </c>
      <c r="Z1269">
        <v>605.77</v>
      </c>
      <c r="AA1269">
        <v>1794.28</v>
      </c>
      <c r="AB1269">
        <v>1086912</v>
      </c>
      <c r="AC1269" t="b">
        <v>1</v>
      </c>
      <c r="AD1269" t="b">
        <v>1</v>
      </c>
      <c r="AE1269" t="b">
        <v>0</v>
      </c>
      <c r="AF1269" t="b">
        <v>0</v>
      </c>
      <c r="AG1269" t="s">
        <v>58</v>
      </c>
      <c r="AH1269">
        <v>20</v>
      </c>
      <c r="AI1269" t="s">
        <v>59</v>
      </c>
      <c r="AJ1269" t="s">
        <v>71</v>
      </c>
      <c r="AL1269" t="s">
        <v>72</v>
      </c>
      <c r="AM1269" t="s">
        <v>62</v>
      </c>
      <c r="AN1269" t="s">
        <v>63</v>
      </c>
      <c r="AO1269" t="s">
        <v>6536</v>
      </c>
      <c r="AP1269" t="s">
        <v>6609</v>
      </c>
    </row>
    <row r="1270" spans="1:42" x14ac:dyDescent="0.45">
      <c r="A1270" t="s">
        <v>6395</v>
      </c>
      <c r="B1270" t="s">
        <v>6396</v>
      </c>
      <c r="C1270" t="s">
        <v>6528</v>
      </c>
      <c r="D1270">
        <v>2024</v>
      </c>
      <c r="E1270" t="s">
        <v>45</v>
      </c>
      <c r="F1270" t="s">
        <v>46</v>
      </c>
      <c r="J1270" t="s">
        <v>6612</v>
      </c>
      <c r="K1270" t="s">
        <v>6613</v>
      </c>
      <c r="L1270" t="s">
        <v>6614</v>
      </c>
      <c r="M1270" t="s">
        <v>6615</v>
      </c>
      <c r="N1270" t="s">
        <v>2722</v>
      </c>
      <c r="O1270" t="s">
        <v>2723</v>
      </c>
      <c r="P1270" t="s">
        <v>223</v>
      </c>
      <c r="Q1270" t="s">
        <v>6533</v>
      </c>
      <c r="S1270">
        <v>7</v>
      </c>
      <c r="T1270" t="s">
        <v>6616</v>
      </c>
      <c r="U1270">
        <v>3303</v>
      </c>
      <c r="V1270">
        <v>3555</v>
      </c>
      <c r="W1270">
        <v>0.92910000000000004</v>
      </c>
      <c r="X1270" t="s">
        <v>70</v>
      </c>
      <c r="Y1270" t="s">
        <v>6535</v>
      </c>
      <c r="Z1270">
        <v>549.77</v>
      </c>
      <c r="AA1270">
        <v>723.23</v>
      </c>
      <c r="AB1270">
        <v>397605</v>
      </c>
      <c r="AC1270" t="b">
        <v>0</v>
      </c>
      <c r="AD1270" t="b">
        <v>0</v>
      </c>
      <c r="AE1270" t="b">
        <v>0</v>
      </c>
      <c r="AF1270" t="b">
        <v>0</v>
      </c>
      <c r="AG1270" t="s">
        <v>58</v>
      </c>
      <c r="AH1270">
        <v>16</v>
      </c>
      <c r="AI1270" t="s">
        <v>386</v>
      </c>
      <c r="AJ1270" t="s">
        <v>387</v>
      </c>
      <c r="AL1270" t="s">
        <v>1330</v>
      </c>
      <c r="AM1270" t="s">
        <v>62</v>
      </c>
      <c r="AN1270" t="s">
        <v>63</v>
      </c>
      <c r="AO1270" t="s">
        <v>6536</v>
      </c>
      <c r="AP1270" t="s">
        <v>6613</v>
      </c>
    </row>
    <row r="1271" spans="1:42" x14ac:dyDescent="0.45">
      <c r="A1271" t="s">
        <v>6617</v>
      </c>
      <c r="B1271" t="s">
        <v>6618</v>
      </c>
      <c r="C1271" t="s">
        <v>6619</v>
      </c>
      <c r="D1271">
        <v>2018</v>
      </c>
      <c r="E1271" t="s">
        <v>45</v>
      </c>
      <c r="F1271" t="s">
        <v>6620</v>
      </c>
      <c r="J1271" t="s">
        <v>6621</v>
      </c>
      <c r="K1271" t="s">
        <v>6622</v>
      </c>
      <c r="L1271" t="s">
        <v>6623</v>
      </c>
      <c r="M1271" t="s">
        <v>6624</v>
      </c>
      <c r="N1271" t="s">
        <v>51</v>
      </c>
      <c r="O1271" t="s">
        <v>52</v>
      </c>
      <c r="P1271" t="s">
        <v>53</v>
      </c>
      <c r="Q1271" t="s">
        <v>6625</v>
      </c>
      <c r="S1271">
        <v>17</v>
      </c>
      <c r="T1271" t="s">
        <v>6626</v>
      </c>
      <c r="U1271">
        <v>72</v>
      </c>
      <c r="Y1271" t="s">
        <v>6627</v>
      </c>
      <c r="Z1271">
        <v>3100.29</v>
      </c>
      <c r="AA1271">
        <v>4.09</v>
      </c>
      <c r="AB1271">
        <v>12665</v>
      </c>
      <c r="AC1271" t="b">
        <v>0</v>
      </c>
      <c r="AD1271" t="b">
        <v>0</v>
      </c>
      <c r="AE1271" t="b">
        <v>0</v>
      </c>
      <c r="AF1271" t="b">
        <v>0</v>
      </c>
      <c r="AG1271" t="s">
        <v>58</v>
      </c>
      <c r="AH1271">
        <v>8</v>
      </c>
      <c r="AI1271" t="s">
        <v>169</v>
      </c>
      <c r="AJ1271" t="s">
        <v>60</v>
      </c>
      <c r="AL1271" t="s">
        <v>380</v>
      </c>
      <c r="AM1271" t="s">
        <v>245</v>
      </c>
      <c r="AN1271" t="s">
        <v>63</v>
      </c>
      <c r="AO1271" t="s">
        <v>6628</v>
      </c>
      <c r="AP1271" t="s">
        <v>6622</v>
      </c>
    </row>
    <row r="1272" spans="1:42" x14ac:dyDescent="0.45">
      <c r="A1272" t="s">
        <v>6617</v>
      </c>
      <c r="B1272" t="s">
        <v>6618</v>
      </c>
      <c r="C1272" t="s">
        <v>6619</v>
      </c>
      <c r="D1272">
        <v>2018</v>
      </c>
      <c r="E1272" t="s">
        <v>45</v>
      </c>
      <c r="F1272" t="s">
        <v>6620</v>
      </c>
      <c r="J1272" t="s">
        <v>6629</v>
      </c>
      <c r="K1272" t="s">
        <v>6630</v>
      </c>
      <c r="L1272" t="s">
        <v>6631</v>
      </c>
      <c r="M1272" t="s">
        <v>6632</v>
      </c>
      <c r="N1272" t="s">
        <v>51</v>
      </c>
      <c r="O1272" t="s">
        <v>52</v>
      </c>
      <c r="P1272" t="s">
        <v>53</v>
      </c>
      <c r="Q1272" t="s">
        <v>6625</v>
      </c>
      <c r="S1272">
        <v>16</v>
      </c>
      <c r="T1272" t="s">
        <v>6633</v>
      </c>
      <c r="U1272">
        <v>63</v>
      </c>
      <c r="Y1272" t="s">
        <v>6627</v>
      </c>
      <c r="Z1272">
        <v>3101.29</v>
      </c>
      <c r="AA1272">
        <v>2.44</v>
      </c>
      <c r="AB1272">
        <v>7566</v>
      </c>
      <c r="AC1272" t="b">
        <v>0</v>
      </c>
      <c r="AD1272" t="b">
        <v>0</v>
      </c>
      <c r="AE1272" t="b">
        <v>0</v>
      </c>
      <c r="AF1272" t="b">
        <v>0</v>
      </c>
      <c r="AG1272" t="s">
        <v>58</v>
      </c>
      <c r="AH1272">
        <v>8</v>
      </c>
      <c r="AI1272" t="s">
        <v>169</v>
      </c>
      <c r="AJ1272" t="s">
        <v>60</v>
      </c>
      <c r="AL1272" t="s">
        <v>380</v>
      </c>
      <c r="AM1272" t="s">
        <v>245</v>
      </c>
      <c r="AN1272" t="s">
        <v>63</v>
      </c>
      <c r="AO1272" t="s">
        <v>6628</v>
      </c>
      <c r="AP1272" t="s">
        <v>6630</v>
      </c>
    </row>
    <row r="1273" spans="1:42" x14ac:dyDescent="0.45">
      <c r="A1273" t="s">
        <v>6617</v>
      </c>
      <c r="B1273" t="s">
        <v>6618</v>
      </c>
      <c r="C1273" t="s">
        <v>6619</v>
      </c>
      <c r="D1273">
        <v>2018</v>
      </c>
      <c r="E1273" t="s">
        <v>45</v>
      </c>
      <c r="F1273" t="s">
        <v>6620</v>
      </c>
      <c r="J1273" t="s">
        <v>6634</v>
      </c>
      <c r="K1273" t="s">
        <v>6635</v>
      </c>
      <c r="L1273" t="s">
        <v>6636</v>
      </c>
      <c r="M1273" t="s">
        <v>6637</v>
      </c>
      <c r="N1273" t="s">
        <v>51</v>
      </c>
      <c r="O1273" t="s">
        <v>52</v>
      </c>
      <c r="P1273" t="s">
        <v>53</v>
      </c>
      <c r="Q1273" t="s">
        <v>6625</v>
      </c>
      <c r="S1273">
        <v>10</v>
      </c>
      <c r="T1273" t="s">
        <v>6638</v>
      </c>
      <c r="U1273">
        <v>75</v>
      </c>
      <c r="Y1273" t="s">
        <v>6627</v>
      </c>
      <c r="Z1273">
        <v>3108.19</v>
      </c>
      <c r="AA1273">
        <v>6.3</v>
      </c>
      <c r="AB1273">
        <v>19587</v>
      </c>
      <c r="AC1273" t="b">
        <v>0</v>
      </c>
      <c r="AD1273" t="b">
        <v>0</v>
      </c>
      <c r="AE1273" t="b">
        <v>0</v>
      </c>
      <c r="AF1273" t="b">
        <v>0</v>
      </c>
      <c r="AG1273" t="s">
        <v>58</v>
      </c>
      <c r="AH1273">
        <v>8</v>
      </c>
      <c r="AI1273" t="s">
        <v>169</v>
      </c>
      <c r="AJ1273" t="s">
        <v>60</v>
      </c>
      <c r="AL1273" t="s">
        <v>380</v>
      </c>
      <c r="AM1273" t="s">
        <v>245</v>
      </c>
      <c r="AN1273" t="s">
        <v>63</v>
      </c>
      <c r="AO1273" t="s">
        <v>6628</v>
      </c>
      <c r="AP1273" t="s">
        <v>6635</v>
      </c>
    </row>
    <row r="1274" spans="1:42" x14ac:dyDescent="0.45">
      <c r="A1274" t="s">
        <v>6617</v>
      </c>
      <c r="B1274" t="s">
        <v>6618</v>
      </c>
      <c r="C1274" t="s">
        <v>6619</v>
      </c>
      <c r="D1274">
        <v>2018</v>
      </c>
      <c r="E1274" t="s">
        <v>45</v>
      </c>
      <c r="F1274" t="s">
        <v>6620</v>
      </c>
      <c r="J1274" t="s">
        <v>6639</v>
      </c>
      <c r="K1274" t="s">
        <v>6640</v>
      </c>
      <c r="L1274" t="s">
        <v>6641</v>
      </c>
      <c r="M1274" t="s">
        <v>6642</v>
      </c>
      <c r="N1274" t="s">
        <v>51</v>
      </c>
      <c r="O1274" t="s">
        <v>52</v>
      </c>
      <c r="P1274" t="s">
        <v>53</v>
      </c>
      <c r="Q1274" t="s">
        <v>6625</v>
      </c>
      <c r="S1274">
        <v>13</v>
      </c>
      <c r="T1274" t="s">
        <v>6643</v>
      </c>
      <c r="U1274">
        <v>29</v>
      </c>
      <c r="Y1274" t="s">
        <v>6627</v>
      </c>
      <c r="Z1274">
        <v>3113.96</v>
      </c>
      <c r="AA1274">
        <v>6.72</v>
      </c>
      <c r="AB1274">
        <v>20936</v>
      </c>
      <c r="AC1274" t="b">
        <v>0</v>
      </c>
      <c r="AD1274" t="b">
        <v>0</v>
      </c>
      <c r="AE1274" t="b">
        <v>0</v>
      </c>
      <c r="AF1274" t="b">
        <v>0</v>
      </c>
      <c r="AG1274" t="s">
        <v>58</v>
      </c>
      <c r="AH1274">
        <v>-15</v>
      </c>
      <c r="AI1274" t="s">
        <v>59</v>
      </c>
      <c r="AJ1274" t="s">
        <v>60</v>
      </c>
      <c r="AK1274" t="s">
        <v>140</v>
      </c>
      <c r="AL1274" t="s">
        <v>141</v>
      </c>
      <c r="AM1274" t="s">
        <v>245</v>
      </c>
      <c r="AN1274" t="s">
        <v>63</v>
      </c>
      <c r="AO1274" t="s">
        <v>6628</v>
      </c>
      <c r="AP1274" t="s">
        <v>6640</v>
      </c>
    </row>
    <row r="1275" spans="1:42" x14ac:dyDescent="0.45">
      <c r="A1275" t="s">
        <v>6617</v>
      </c>
      <c r="B1275" t="s">
        <v>6618</v>
      </c>
      <c r="C1275" t="s">
        <v>6619</v>
      </c>
      <c r="D1275">
        <v>2018</v>
      </c>
      <c r="E1275" t="s">
        <v>45</v>
      </c>
      <c r="F1275" t="s">
        <v>6620</v>
      </c>
      <c r="J1275" t="s">
        <v>6644</v>
      </c>
      <c r="K1275" t="s">
        <v>6645</v>
      </c>
      <c r="L1275" t="s">
        <v>6646</v>
      </c>
      <c r="M1275" t="s">
        <v>6647</v>
      </c>
      <c r="N1275" t="s">
        <v>51</v>
      </c>
      <c r="O1275" t="s">
        <v>52</v>
      </c>
      <c r="P1275" t="s">
        <v>53</v>
      </c>
      <c r="Q1275" t="s">
        <v>6625</v>
      </c>
      <c r="S1275">
        <v>11</v>
      </c>
      <c r="T1275" t="s">
        <v>6648</v>
      </c>
      <c r="U1275">
        <v>43</v>
      </c>
      <c r="Y1275" t="s">
        <v>6627</v>
      </c>
      <c r="Z1275">
        <v>3108.89</v>
      </c>
      <c r="AA1275">
        <v>1.79</v>
      </c>
      <c r="AB1275">
        <v>5557</v>
      </c>
      <c r="AC1275" t="b">
        <v>0</v>
      </c>
      <c r="AD1275" t="b">
        <v>0</v>
      </c>
      <c r="AE1275" t="b">
        <v>0</v>
      </c>
      <c r="AF1275" t="b">
        <v>0</v>
      </c>
      <c r="AG1275" t="s">
        <v>58</v>
      </c>
      <c r="AH1275">
        <v>8</v>
      </c>
      <c r="AI1275" t="s">
        <v>169</v>
      </c>
      <c r="AJ1275" t="s">
        <v>60</v>
      </c>
      <c r="AL1275" t="s">
        <v>380</v>
      </c>
      <c r="AM1275" t="s">
        <v>245</v>
      </c>
      <c r="AN1275" t="s">
        <v>63</v>
      </c>
      <c r="AO1275" t="s">
        <v>6628</v>
      </c>
      <c r="AP1275" t="s">
        <v>6645</v>
      </c>
    </row>
    <row r="1276" spans="1:42" x14ac:dyDescent="0.45">
      <c r="A1276" t="s">
        <v>6617</v>
      </c>
      <c r="B1276" t="s">
        <v>6618</v>
      </c>
      <c r="C1276" t="s">
        <v>6619</v>
      </c>
      <c r="D1276">
        <v>2018</v>
      </c>
      <c r="E1276" t="s">
        <v>45</v>
      </c>
      <c r="F1276" t="s">
        <v>6620</v>
      </c>
      <c r="J1276" t="s">
        <v>6649</v>
      </c>
      <c r="K1276" t="s">
        <v>6650</v>
      </c>
      <c r="L1276" t="s">
        <v>6651</v>
      </c>
      <c r="M1276" t="s">
        <v>6652</v>
      </c>
      <c r="N1276" t="s">
        <v>51</v>
      </c>
      <c r="O1276" t="s">
        <v>52</v>
      </c>
      <c r="P1276" t="s">
        <v>53</v>
      </c>
      <c r="Q1276" t="s">
        <v>6625</v>
      </c>
      <c r="S1276">
        <v>18</v>
      </c>
      <c r="T1276" t="s">
        <v>6653</v>
      </c>
      <c r="U1276">
        <v>72</v>
      </c>
      <c r="Y1276" t="s">
        <v>6627</v>
      </c>
      <c r="Z1276">
        <v>3166.24</v>
      </c>
      <c r="AA1276">
        <v>1.7</v>
      </c>
      <c r="AB1276">
        <v>5397</v>
      </c>
      <c r="AC1276" t="b">
        <v>0</v>
      </c>
      <c r="AD1276" t="b">
        <v>0</v>
      </c>
      <c r="AE1276" t="b">
        <v>0</v>
      </c>
      <c r="AF1276" t="b">
        <v>0</v>
      </c>
      <c r="AG1276" t="s">
        <v>58</v>
      </c>
      <c r="AH1276">
        <v>-15</v>
      </c>
      <c r="AI1276" t="s">
        <v>59</v>
      </c>
      <c r="AJ1276" t="s">
        <v>60</v>
      </c>
      <c r="AK1276" t="s">
        <v>162</v>
      </c>
      <c r="AL1276" t="s">
        <v>163</v>
      </c>
      <c r="AM1276" t="s">
        <v>245</v>
      </c>
      <c r="AN1276" t="s">
        <v>63</v>
      </c>
      <c r="AO1276" t="s">
        <v>6628</v>
      </c>
      <c r="AP1276" t="s">
        <v>6650</v>
      </c>
    </row>
    <row r="1277" spans="1:42" x14ac:dyDescent="0.45">
      <c r="A1277" t="s">
        <v>6617</v>
      </c>
      <c r="B1277" t="s">
        <v>6618</v>
      </c>
      <c r="C1277" t="s">
        <v>6619</v>
      </c>
      <c r="D1277">
        <v>2018</v>
      </c>
      <c r="E1277" t="s">
        <v>45</v>
      </c>
      <c r="F1277" t="s">
        <v>6620</v>
      </c>
      <c r="J1277" t="s">
        <v>6654</v>
      </c>
      <c r="K1277" t="s">
        <v>6655</v>
      </c>
      <c r="L1277" t="s">
        <v>6656</v>
      </c>
      <c r="M1277" t="s">
        <v>6657</v>
      </c>
      <c r="N1277" t="s">
        <v>51</v>
      </c>
      <c r="O1277" t="s">
        <v>52</v>
      </c>
      <c r="P1277" t="s">
        <v>53</v>
      </c>
      <c r="Q1277" t="s">
        <v>6625</v>
      </c>
      <c r="S1277">
        <v>6</v>
      </c>
      <c r="T1277" t="s">
        <v>6658</v>
      </c>
      <c r="U1277">
        <v>105</v>
      </c>
      <c r="Y1277" t="s">
        <v>6627</v>
      </c>
      <c r="Z1277">
        <v>3105.29</v>
      </c>
      <c r="AA1277">
        <v>1.97</v>
      </c>
      <c r="AB1277">
        <v>6114</v>
      </c>
      <c r="AC1277" t="b">
        <v>0</v>
      </c>
      <c r="AD1277" t="b">
        <v>0</v>
      </c>
      <c r="AE1277" t="b">
        <v>0</v>
      </c>
      <c r="AF1277" t="b">
        <v>0</v>
      </c>
      <c r="AG1277" t="s">
        <v>58</v>
      </c>
      <c r="AH1277">
        <v>8</v>
      </c>
      <c r="AI1277" t="s">
        <v>169</v>
      </c>
      <c r="AJ1277" t="s">
        <v>60</v>
      </c>
      <c r="AL1277" t="s">
        <v>380</v>
      </c>
      <c r="AM1277" t="s">
        <v>245</v>
      </c>
      <c r="AN1277" t="s">
        <v>63</v>
      </c>
      <c r="AO1277" t="s">
        <v>6628</v>
      </c>
      <c r="AP1277" t="s">
        <v>6655</v>
      </c>
    </row>
    <row r="1278" spans="1:42" x14ac:dyDescent="0.45">
      <c r="A1278" t="s">
        <v>6617</v>
      </c>
      <c r="B1278" t="s">
        <v>6618</v>
      </c>
      <c r="C1278" t="s">
        <v>6619</v>
      </c>
      <c r="D1278">
        <v>2018</v>
      </c>
      <c r="E1278" t="s">
        <v>45</v>
      </c>
      <c r="F1278" t="s">
        <v>6620</v>
      </c>
      <c r="J1278" t="s">
        <v>6659</v>
      </c>
      <c r="K1278" t="s">
        <v>6660</v>
      </c>
      <c r="L1278" t="s">
        <v>6661</v>
      </c>
      <c r="M1278" t="s">
        <v>6662</v>
      </c>
      <c r="N1278" t="s">
        <v>51</v>
      </c>
      <c r="O1278" t="s">
        <v>52</v>
      </c>
      <c r="P1278" t="s">
        <v>53</v>
      </c>
      <c r="Q1278" t="s">
        <v>6625</v>
      </c>
      <c r="S1278">
        <v>8</v>
      </c>
      <c r="T1278" t="s">
        <v>6663</v>
      </c>
      <c r="U1278">
        <v>38</v>
      </c>
      <c r="Y1278" t="s">
        <v>6627</v>
      </c>
      <c r="Z1278">
        <v>3107.17</v>
      </c>
      <c r="AA1278">
        <v>2.6</v>
      </c>
      <c r="AB1278">
        <v>8065</v>
      </c>
      <c r="AC1278" t="b">
        <v>0</v>
      </c>
      <c r="AD1278" t="b">
        <v>0</v>
      </c>
      <c r="AE1278" t="b">
        <v>0</v>
      </c>
      <c r="AF1278" t="b">
        <v>0</v>
      </c>
      <c r="AG1278" t="s">
        <v>58</v>
      </c>
      <c r="AH1278">
        <v>4</v>
      </c>
      <c r="AI1278" t="s">
        <v>59</v>
      </c>
      <c r="AJ1278" t="s">
        <v>60</v>
      </c>
      <c r="AL1278" t="s">
        <v>476</v>
      </c>
      <c r="AM1278" t="s">
        <v>245</v>
      </c>
      <c r="AN1278" t="s">
        <v>63</v>
      </c>
      <c r="AO1278" t="s">
        <v>6628</v>
      </c>
      <c r="AP1278" t="s">
        <v>6660</v>
      </c>
    </row>
    <row r="1279" spans="1:42" x14ac:dyDescent="0.45">
      <c r="A1279" t="s">
        <v>6617</v>
      </c>
      <c r="B1279" t="s">
        <v>6618</v>
      </c>
      <c r="C1279" t="s">
        <v>6619</v>
      </c>
      <c r="D1279">
        <v>2018</v>
      </c>
      <c r="E1279" t="s">
        <v>45</v>
      </c>
      <c r="F1279" t="s">
        <v>6620</v>
      </c>
      <c r="J1279" t="s">
        <v>6664</v>
      </c>
      <c r="K1279" t="s">
        <v>6665</v>
      </c>
      <c r="L1279" t="s">
        <v>6666</v>
      </c>
      <c r="M1279" t="s">
        <v>6667</v>
      </c>
      <c r="N1279" t="s">
        <v>51</v>
      </c>
      <c r="O1279" t="s">
        <v>52</v>
      </c>
      <c r="P1279" t="s">
        <v>53</v>
      </c>
      <c r="Q1279" t="s">
        <v>6625</v>
      </c>
      <c r="S1279">
        <v>1</v>
      </c>
      <c r="T1279" t="s">
        <v>6668</v>
      </c>
      <c r="U1279">
        <v>45</v>
      </c>
      <c r="Y1279" t="s">
        <v>6627</v>
      </c>
      <c r="Z1279">
        <v>3108.89</v>
      </c>
      <c r="AA1279">
        <v>4.34</v>
      </c>
      <c r="AB1279">
        <v>13494</v>
      </c>
      <c r="AC1279" t="b">
        <v>0</v>
      </c>
      <c r="AD1279" t="b">
        <v>0</v>
      </c>
      <c r="AE1279" t="b">
        <v>0</v>
      </c>
      <c r="AF1279" t="b">
        <v>0</v>
      </c>
      <c r="AG1279" t="s">
        <v>58</v>
      </c>
      <c r="AH1279">
        <v>8</v>
      </c>
      <c r="AI1279" t="s">
        <v>169</v>
      </c>
      <c r="AJ1279" t="s">
        <v>60</v>
      </c>
      <c r="AL1279" t="s">
        <v>380</v>
      </c>
      <c r="AM1279" t="s">
        <v>245</v>
      </c>
      <c r="AN1279" t="s">
        <v>63</v>
      </c>
      <c r="AO1279" t="s">
        <v>6628</v>
      </c>
      <c r="AP1279" t="s">
        <v>6665</v>
      </c>
    </row>
    <row r="1280" spans="1:42" x14ac:dyDescent="0.45">
      <c r="A1280" t="s">
        <v>6617</v>
      </c>
      <c r="B1280" t="s">
        <v>6618</v>
      </c>
      <c r="C1280" t="s">
        <v>6619</v>
      </c>
      <c r="D1280">
        <v>2018</v>
      </c>
      <c r="E1280" t="s">
        <v>45</v>
      </c>
      <c r="F1280" t="s">
        <v>6620</v>
      </c>
      <c r="J1280" t="s">
        <v>6669</v>
      </c>
      <c r="K1280" t="s">
        <v>6670</v>
      </c>
      <c r="L1280" t="s">
        <v>6671</v>
      </c>
      <c r="M1280" t="s">
        <v>6672</v>
      </c>
      <c r="N1280" t="s">
        <v>51</v>
      </c>
      <c r="O1280" t="s">
        <v>52</v>
      </c>
      <c r="P1280" t="s">
        <v>53</v>
      </c>
      <c r="Q1280" t="s">
        <v>6625</v>
      </c>
      <c r="S1280">
        <v>4</v>
      </c>
      <c r="T1280" t="s">
        <v>6673</v>
      </c>
      <c r="U1280">
        <v>123</v>
      </c>
      <c r="Y1280" t="s">
        <v>6627</v>
      </c>
      <c r="Z1280">
        <v>3104.29</v>
      </c>
      <c r="AA1280">
        <v>4.26</v>
      </c>
      <c r="AB1280">
        <v>13210</v>
      </c>
      <c r="AC1280" t="b">
        <v>0</v>
      </c>
      <c r="AD1280" t="b">
        <v>0</v>
      </c>
      <c r="AE1280" t="b">
        <v>0</v>
      </c>
      <c r="AF1280" t="b">
        <v>0</v>
      </c>
      <c r="AG1280" t="s">
        <v>58</v>
      </c>
      <c r="AH1280">
        <v>8</v>
      </c>
      <c r="AI1280" t="s">
        <v>169</v>
      </c>
      <c r="AJ1280" t="s">
        <v>60</v>
      </c>
      <c r="AL1280" t="s">
        <v>380</v>
      </c>
      <c r="AM1280" t="s">
        <v>245</v>
      </c>
      <c r="AN1280" t="s">
        <v>63</v>
      </c>
      <c r="AO1280" t="s">
        <v>6628</v>
      </c>
      <c r="AP1280" t="s">
        <v>6670</v>
      </c>
    </row>
    <row r="1281" spans="1:42" x14ac:dyDescent="0.45">
      <c r="A1281" t="s">
        <v>6617</v>
      </c>
      <c r="B1281" t="s">
        <v>6618</v>
      </c>
      <c r="C1281" t="s">
        <v>6619</v>
      </c>
      <c r="D1281">
        <v>2018</v>
      </c>
      <c r="E1281" t="s">
        <v>45</v>
      </c>
      <c r="F1281" t="s">
        <v>6620</v>
      </c>
      <c r="J1281" t="s">
        <v>6674</v>
      </c>
      <c r="K1281" t="s">
        <v>6675</v>
      </c>
      <c r="L1281" t="s">
        <v>6676</v>
      </c>
      <c r="M1281" t="s">
        <v>6677</v>
      </c>
      <c r="N1281" t="s">
        <v>51</v>
      </c>
      <c r="O1281" t="s">
        <v>52</v>
      </c>
      <c r="P1281" t="s">
        <v>53</v>
      </c>
      <c r="Q1281" t="s">
        <v>6625</v>
      </c>
      <c r="S1281">
        <v>15</v>
      </c>
      <c r="T1281" t="s">
        <v>6678</v>
      </c>
      <c r="U1281">
        <v>110</v>
      </c>
      <c r="Y1281" t="s">
        <v>6627</v>
      </c>
      <c r="Z1281">
        <v>3102.29</v>
      </c>
      <c r="AA1281">
        <v>3.37</v>
      </c>
      <c r="AB1281">
        <v>10442</v>
      </c>
      <c r="AC1281" t="b">
        <v>0</v>
      </c>
      <c r="AD1281" t="b">
        <v>0</v>
      </c>
      <c r="AE1281" t="b">
        <v>0</v>
      </c>
      <c r="AF1281" t="b">
        <v>0</v>
      </c>
      <c r="AG1281" t="s">
        <v>58</v>
      </c>
      <c r="AH1281">
        <v>8</v>
      </c>
      <c r="AI1281" t="s">
        <v>169</v>
      </c>
      <c r="AJ1281" t="s">
        <v>60</v>
      </c>
      <c r="AL1281" t="s">
        <v>380</v>
      </c>
      <c r="AM1281" t="s">
        <v>245</v>
      </c>
      <c r="AN1281" t="s">
        <v>63</v>
      </c>
      <c r="AO1281" t="s">
        <v>6628</v>
      </c>
      <c r="AP1281" t="s">
        <v>6675</v>
      </c>
    </row>
    <row r="1282" spans="1:42" x14ac:dyDescent="0.45">
      <c r="A1282" t="s">
        <v>6617</v>
      </c>
      <c r="B1282" t="s">
        <v>6618</v>
      </c>
      <c r="C1282" t="s">
        <v>6619</v>
      </c>
      <c r="D1282">
        <v>2018</v>
      </c>
      <c r="E1282" t="s">
        <v>45</v>
      </c>
      <c r="F1282" t="s">
        <v>6620</v>
      </c>
      <c r="J1282" t="s">
        <v>6679</v>
      </c>
      <c r="K1282" t="s">
        <v>6680</v>
      </c>
      <c r="L1282" t="s">
        <v>6681</v>
      </c>
      <c r="M1282" t="s">
        <v>6682</v>
      </c>
      <c r="N1282" t="s">
        <v>51</v>
      </c>
      <c r="O1282" t="s">
        <v>52</v>
      </c>
      <c r="P1282" t="s">
        <v>53</v>
      </c>
      <c r="Q1282" t="s">
        <v>6625</v>
      </c>
      <c r="S1282">
        <v>0</v>
      </c>
      <c r="T1282" t="s">
        <v>6683</v>
      </c>
      <c r="U1282">
        <v>40</v>
      </c>
      <c r="Y1282" t="s">
        <v>6627</v>
      </c>
      <c r="Z1282">
        <v>3110.2</v>
      </c>
      <c r="AA1282">
        <v>5.77</v>
      </c>
      <c r="AB1282">
        <v>17948</v>
      </c>
      <c r="AC1282" t="b">
        <v>0</v>
      </c>
      <c r="AD1282" t="b">
        <v>0</v>
      </c>
      <c r="AE1282" t="b">
        <v>0</v>
      </c>
      <c r="AF1282" t="b">
        <v>0</v>
      </c>
      <c r="AG1282" t="s">
        <v>58</v>
      </c>
      <c r="AH1282">
        <v>8</v>
      </c>
      <c r="AI1282" t="s">
        <v>169</v>
      </c>
      <c r="AJ1282" t="s">
        <v>60</v>
      </c>
      <c r="AL1282" t="s">
        <v>380</v>
      </c>
      <c r="AM1282" t="s">
        <v>245</v>
      </c>
      <c r="AN1282" t="s">
        <v>63</v>
      </c>
      <c r="AO1282" t="s">
        <v>6628</v>
      </c>
      <c r="AP1282" t="s">
        <v>6680</v>
      </c>
    </row>
    <row r="1283" spans="1:42" x14ac:dyDescent="0.45">
      <c r="A1283" t="s">
        <v>6617</v>
      </c>
      <c r="B1283" t="s">
        <v>6618</v>
      </c>
      <c r="C1283" t="s">
        <v>6619</v>
      </c>
      <c r="D1283">
        <v>2018</v>
      </c>
      <c r="E1283" t="s">
        <v>45</v>
      </c>
      <c r="F1283" t="s">
        <v>6620</v>
      </c>
      <c r="J1283" t="s">
        <v>6684</v>
      </c>
      <c r="K1283" t="s">
        <v>6685</v>
      </c>
      <c r="L1283" t="s">
        <v>6686</v>
      </c>
      <c r="M1283" t="s">
        <v>6687</v>
      </c>
      <c r="N1283" t="s">
        <v>51</v>
      </c>
      <c r="O1283" t="s">
        <v>52</v>
      </c>
      <c r="P1283" t="s">
        <v>53</v>
      </c>
      <c r="Q1283" t="s">
        <v>6625</v>
      </c>
      <c r="S1283">
        <v>3</v>
      </c>
      <c r="T1283" t="s">
        <v>6688</v>
      </c>
      <c r="U1283">
        <v>57</v>
      </c>
      <c r="Y1283" t="s">
        <v>6627</v>
      </c>
      <c r="Z1283">
        <v>3104.94</v>
      </c>
      <c r="AA1283">
        <v>9</v>
      </c>
      <c r="AB1283">
        <v>27953</v>
      </c>
      <c r="AC1283" t="b">
        <v>0</v>
      </c>
      <c r="AD1283" t="b">
        <v>0</v>
      </c>
      <c r="AE1283" t="b">
        <v>0</v>
      </c>
      <c r="AF1283" t="b">
        <v>0</v>
      </c>
      <c r="AG1283" t="s">
        <v>58</v>
      </c>
      <c r="AH1283">
        <v>-15</v>
      </c>
      <c r="AI1283" t="s">
        <v>59</v>
      </c>
      <c r="AJ1283" t="s">
        <v>60</v>
      </c>
      <c r="AK1283" t="s">
        <v>162</v>
      </c>
      <c r="AL1283" t="s">
        <v>163</v>
      </c>
      <c r="AM1283" t="s">
        <v>245</v>
      </c>
      <c r="AN1283" t="s">
        <v>63</v>
      </c>
      <c r="AO1283" t="s">
        <v>6628</v>
      </c>
      <c r="AP1283" t="s">
        <v>6685</v>
      </c>
    </row>
    <row r="1284" spans="1:42" x14ac:dyDescent="0.45">
      <c r="A1284" t="s">
        <v>6617</v>
      </c>
      <c r="B1284" t="s">
        <v>6618</v>
      </c>
      <c r="C1284" t="s">
        <v>6619</v>
      </c>
      <c r="D1284">
        <v>2018</v>
      </c>
      <c r="E1284" t="s">
        <v>45</v>
      </c>
      <c r="F1284" t="s">
        <v>6620</v>
      </c>
      <c r="J1284" t="s">
        <v>6689</v>
      </c>
      <c r="K1284" t="s">
        <v>6690</v>
      </c>
      <c r="L1284" t="s">
        <v>6691</v>
      </c>
      <c r="M1284" t="s">
        <v>6692</v>
      </c>
      <c r="N1284" t="s">
        <v>51</v>
      </c>
      <c r="O1284" t="s">
        <v>52</v>
      </c>
      <c r="P1284" t="s">
        <v>53</v>
      </c>
      <c r="Q1284" t="s">
        <v>6625</v>
      </c>
      <c r="S1284">
        <v>9</v>
      </c>
      <c r="T1284" t="s">
        <v>6693</v>
      </c>
      <c r="U1284">
        <v>44</v>
      </c>
      <c r="Y1284" t="s">
        <v>6627</v>
      </c>
      <c r="Z1284">
        <v>3107.84</v>
      </c>
      <c r="AA1284">
        <v>1.21</v>
      </c>
      <c r="AB1284">
        <v>3770</v>
      </c>
      <c r="AC1284" t="b">
        <v>0</v>
      </c>
      <c r="AD1284" t="b">
        <v>0</v>
      </c>
      <c r="AE1284" t="b">
        <v>0</v>
      </c>
      <c r="AF1284" t="b">
        <v>0</v>
      </c>
      <c r="AG1284" t="s">
        <v>58</v>
      </c>
      <c r="AH1284">
        <v>8</v>
      </c>
      <c r="AI1284" t="s">
        <v>169</v>
      </c>
      <c r="AJ1284" t="s">
        <v>60</v>
      </c>
      <c r="AL1284" t="s">
        <v>380</v>
      </c>
      <c r="AM1284" t="s">
        <v>245</v>
      </c>
      <c r="AN1284" t="s">
        <v>63</v>
      </c>
      <c r="AO1284" t="s">
        <v>6628</v>
      </c>
      <c r="AP1284" t="s">
        <v>6690</v>
      </c>
    </row>
    <row r="1285" spans="1:42" x14ac:dyDescent="0.45">
      <c r="A1285" t="s">
        <v>6617</v>
      </c>
      <c r="B1285" t="s">
        <v>6618</v>
      </c>
      <c r="C1285" t="s">
        <v>6619</v>
      </c>
      <c r="D1285">
        <v>2018</v>
      </c>
      <c r="E1285" t="s">
        <v>45</v>
      </c>
      <c r="F1285" t="s">
        <v>6620</v>
      </c>
      <c r="J1285" t="s">
        <v>6694</v>
      </c>
      <c r="K1285" t="s">
        <v>6695</v>
      </c>
      <c r="L1285" t="s">
        <v>6696</v>
      </c>
      <c r="M1285" t="s">
        <v>6697</v>
      </c>
      <c r="N1285" t="s">
        <v>51</v>
      </c>
      <c r="O1285" t="s">
        <v>52</v>
      </c>
      <c r="P1285" t="s">
        <v>53</v>
      </c>
      <c r="Q1285" t="s">
        <v>6625</v>
      </c>
      <c r="S1285">
        <v>2</v>
      </c>
      <c r="T1285" t="s">
        <v>6698</v>
      </c>
      <c r="U1285">
        <v>38</v>
      </c>
      <c r="Y1285" t="s">
        <v>6627</v>
      </c>
      <c r="Z1285">
        <v>3108.18</v>
      </c>
      <c r="AA1285">
        <v>11.97</v>
      </c>
      <c r="AB1285">
        <v>37220</v>
      </c>
      <c r="AC1285" t="b">
        <v>0</v>
      </c>
      <c r="AD1285" t="b">
        <v>0</v>
      </c>
      <c r="AE1285" t="b">
        <v>0</v>
      </c>
      <c r="AF1285" t="b">
        <v>0</v>
      </c>
      <c r="AG1285" t="s">
        <v>58</v>
      </c>
      <c r="AH1285">
        <v>8</v>
      </c>
      <c r="AI1285" t="s">
        <v>169</v>
      </c>
      <c r="AJ1285" t="s">
        <v>60</v>
      </c>
      <c r="AL1285" t="s">
        <v>380</v>
      </c>
      <c r="AM1285" t="s">
        <v>245</v>
      </c>
      <c r="AN1285" t="s">
        <v>63</v>
      </c>
      <c r="AO1285" t="s">
        <v>6628</v>
      </c>
      <c r="AP1285" t="s">
        <v>6695</v>
      </c>
    </row>
    <row r="1286" spans="1:42" x14ac:dyDescent="0.45">
      <c r="A1286" t="s">
        <v>6617</v>
      </c>
      <c r="B1286" t="s">
        <v>6618</v>
      </c>
      <c r="C1286" t="s">
        <v>6619</v>
      </c>
      <c r="D1286">
        <v>2018</v>
      </c>
      <c r="E1286" t="s">
        <v>45</v>
      </c>
      <c r="F1286" t="s">
        <v>6620</v>
      </c>
      <c r="J1286" t="s">
        <v>6699</v>
      </c>
      <c r="K1286" t="s">
        <v>6700</v>
      </c>
      <c r="L1286" t="s">
        <v>6701</v>
      </c>
      <c r="M1286" t="s">
        <v>6702</v>
      </c>
      <c r="N1286" t="s">
        <v>51</v>
      </c>
      <c r="O1286" t="s">
        <v>52</v>
      </c>
      <c r="P1286" t="s">
        <v>53</v>
      </c>
      <c r="Q1286" t="s">
        <v>6625</v>
      </c>
      <c r="S1286">
        <v>14</v>
      </c>
      <c r="T1286" t="s">
        <v>6703</v>
      </c>
      <c r="U1286">
        <v>61</v>
      </c>
      <c r="Y1286" t="s">
        <v>6627</v>
      </c>
      <c r="Z1286">
        <v>3103.29</v>
      </c>
      <c r="AA1286">
        <v>1.31</v>
      </c>
      <c r="AB1286">
        <v>4072</v>
      </c>
      <c r="AC1286" t="b">
        <v>0</v>
      </c>
      <c r="AD1286" t="b">
        <v>0</v>
      </c>
      <c r="AE1286" t="b">
        <v>0</v>
      </c>
      <c r="AF1286" t="b">
        <v>0</v>
      </c>
      <c r="AG1286" t="s">
        <v>58</v>
      </c>
      <c r="AH1286">
        <v>8</v>
      </c>
      <c r="AI1286" t="s">
        <v>169</v>
      </c>
      <c r="AJ1286" t="s">
        <v>60</v>
      </c>
      <c r="AL1286" t="s">
        <v>380</v>
      </c>
      <c r="AM1286" t="s">
        <v>245</v>
      </c>
      <c r="AN1286" t="s">
        <v>63</v>
      </c>
      <c r="AO1286" t="s">
        <v>6628</v>
      </c>
      <c r="AP1286" t="s">
        <v>6700</v>
      </c>
    </row>
    <row r="1287" spans="1:42" x14ac:dyDescent="0.45">
      <c r="A1287" t="s">
        <v>6617</v>
      </c>
      <c r="B1287" t="s">
        <v>6618</v>
      </c>
      <c r="C1287" t="s">
        <v>6619</v>
      </c>
      <c r="D1287">
        <v>2018</v>
      </c>
      <c r="E1287" t="s">
        <v>45</v>
      </c>
      <c r="F1287" t="s">
        <v>6620</v>
      </c>
      <c r="J1287" t="s">
        <v>6704</v>
      </c>
      <c r="K1287" t="s">
        <v>6705</v>
      </c>
      <c r="L1287" t="s">
        <v>6706</v>
      </c>
      <c r="M1287" t="s">
        <v>6707</v>
      </c>
      <c r="N1287" t="s">
        <v>51</v>
      </c>
      <c r="O1287" t="s">
        <v>52</v>
      </c>
      <c r="P1287" t="s">
        <v>53</v>
      </c>
      <c r="Q1287" t="s">
        <v>6625</v>
      </c>
      <c r="S1287">
        <v>7</v>
      </c>
      <c r="T1287" t="s">
        <v>6708</v>
      </c>
      <c r="U1287">
        <v>41</v>
      </c>
      <c r="Y1287" t="s">
        <v>6627</v>
      </c>
      <c r="Z1287">
        <v>3106.24</v>
      </c>
      <c r="AA1287">
        <v>5.12</v>
      </c>
      <c r="AB1287">
        <v>15890</v>
      </c>
      <c r="AC1287" t="b">
        <v>0</v>
      </c>
      <c r="AD1287" t="b">
        <v>0</v>
      </c>
      <c r="AE1287" t="b">
        <v>0</v>
      </c>
      <c r="AF1287" t="b">
        <v>0</v>
      </c>
      <c r="AG1287" t="s">
        <v>58</v>
      </c>
      <c r="AH1287">
        <v>8</v>
      </c>
      <c r="AI1287" t="s">
        <v>169</v>
      </c>
      <c r="AJ1287" t="s">
        <v>60</v>
      </c>
      <c r="AL1287" t="s">
        <v>380</v>
      </c>
      <c r="AM1287" t="s">
        <v>245</v>
      </c>
      <c r="AN1287" t="s">
        <v>63</v>
      </c>
      <c r="AO1287" t="s">
        <v>6628</v>
      </c>
      <c r="AP1287" t="s">
        <v>6705</v>
      </c>
    </row>
    <row r="1288" spans="1:42" x14ac:dyDescent="0.45">
      <c r="A1288" t="s">
        <v>6617</v>
      </c>
      <c r="B1288" t="s">
        <v>6618</v>
      </c>
      <c r="C1288" t="s">
        <v>6619</v>
      </c>
      <c r="D1288">
        <v>2018</v>
      </c>
      <c r="E1288" t="s">
        <v>45</v>
      </c>
      <c r="F1288" t="s">
        <v>6620</v>
      </c>
      <c r="J1288" t="s">
        <v>6709</v>
      </c>
      <c r="K1288" t="s">
        <v>6710</v>
      </c>
      <c r="L1288" t="s">
        <v>6711</v>
      </c>
      <c r="M1288" t="s">
        <v>6712</v>
      </c>
      <c r="N1288" t="s">
        <v>51</v>
      </c>
      <c r="O1288" t="s">
        <v>52</v>
      </c>
      <c r="P1288" t="s">
        <v>53</v>
      </c>
      <c r="Q1288" t="s">
        <v>6625</v>
      </c>
      <c r="S1288">
        <v>5</v>
      </c>
      <c r="T1288" t="s">
        <v>6713</v>
      </c>
      <c r="U1288">
        <v>42</v>
      </c>
      <c r="Y1288" t="s">
        <v>6627</v>
      </c>
      <c r="Z1288">
        <v>3106.24</v>
      </c>
      <c r="AA1288">
        <v>8.6999999999999993</v>
      </c>
      <c r="AB1288">
        <v>27009</v>
      </c>
      <c r="AC1288" t="b">
        <v>0</v>
      </c>
      <c r="AD1288" t="b">
        <v>0</v>
      </c>
      <c r="AE1288" t="b">
        <v>0</v>
      </c>
      <c r="AF1288" t="b">
        <v>0</v>
      </c>
      <c r="AG1288" t="s">
        <v>58</v>
      </c>
      <c r="AH1288">
        <v>8</v>
      </c>
      <c r="AI1288" t="s">
        <v>169</v>
      </c>
      <c r="AJ1288" t="s">
        <v>60</v>
      </c>
      <c r="AL1288" t="s">
        <v>380</v>
      </c>
      <c r="AM1288" t="s">
        <v>245</v>
      </c>
      <c r="AN1288" t="s">
        <v>63</v>
      </c>
      <c r="AO1288" t="s">
        <v>6628</v>
      </c>
      <c r="AP1288" t="s">
        <v>6710</v>
      </c>
    </row>
    <row r="1289" spans="1:42" x14ac:dyDescent="0.45">
      <c r="A1289" t="s">
        <v>6617</v>
      </c>
      <c r="B1289" t="s">
        <v>6618</v>
      </c>
      <c r="C1289" t="s">
        <v>6619</v>
      </c>
      <c r="D1289">
        <v>2018</v>
      </c>
      <c r="E1289" t="s">
        <v>45</v>
      </c>
      <c r="F1289" t="s">
        <v>6620</v>
      </c>
      <c r="J1289" t="s">
        <v>6714</v>
      </c>
      <c r="K1289" t="s">
        <v>6715</v>
      </c>
      <c r="L1289" t="s">
        <v>6716</v>
      </c>
      <c r="M1289" t="s">
        <v>6717</v>
      </c>
      <c r="N1289" t="s">
        <v>51</v>
      </c>
      <c r="O1289" t="s">
        <v>52</v>
      </c>
      <c r="P1289" t="s">
        <v>53</v>
      </c>
      <c r="Q1289" t="s">
        <v>6625</v>
      </c>
      <c r="S1289">
        <v>12</v>
      </c>
      <c r="T1289" t="s">
        <v>6718</v>
      </c>
      <c r="U1289">
        <v>37</v>
      </c>
      <c r="Y1289" t="s">
        <v>6627</v>
      </c>
      <c r="Z1289">
        <v>3111.76</v>
      </c>
      <c r="AA1289">
        <v>17.23</v>
      </c>
      <c r="AB1289">
        <v>53611</v>
      </c>
      <c r="AC1289" t="b">
        <v>0</v>
      </c>
      <c r="AD1289" t="b">
        <v>0</v>
      </c>
      <c r="AE1289" t="b">
        <v>0</v>
      </c>
      <c r="AF1289" t="b">
        <v>0</v>
      </c>
      <c r="AG1289" t="s">
        <v>58</v>
      </c>
      <c r="AH1289">
        <v>-15</v>
      </c>
      <c r="AI1289" t="s">
        <v>59</v>
      </c>
      <c r="AJ1289" t="s">
        <v>60</v>
      </c>
      <c r="AK1289" t="s">
        <v>140</v>
      </c>
      <c r="AL1289" t="s">
        <v>141</v>
      </c>
      <c r="AM1289" t="s">
        <v>245</v>
      </c>
      <c r="AN1289" t="s">
        <v>63</v>
      </c>
      <c r="AO1289" t="s">
        <v>6628</v>
      </c>
      <c r="AP1289" t="s">
        <v>6715</v>
      </c>
    </row>
    <row r="1290" spans="1:42" x14ac:dyDescent="0.45">
      <c r="A1290" t="s">
        <v>6617</v>
      </c>
      <c r="B1290" t="s">
        <v>6618</v>
      </c>
      <c r="C1290" t="s">
        <v>6619</v>
      </c>
      <c r="D1290">
        <v>2018</v>
      </c>
      <c r="E1290" t="s">
        <v>45</v>
      </c>
      <c r="F1290" t="s">
        <v>6620</v>
      </c>
      <c r="J1290" t="s">
        <v>6719</v>
      </c>
      <c r="K1290" t="s">
        <v>6720</v>
      </c>
      <c r="L1290" t="s">
        <v>6721</v>
      </c>
      <c r="M1290" t="s">
        <v>6722</v>
      </c>
      <c r="N1290" t="s">
        <v>51</v>
      </c>
      <c r="O1290" t="s">
        <v>52</v>
      </c>
      <c r="P1290" t="s">
        <v>53</v>
      </c>
      <c r="Q1290" t="s">
        <v>6625</v>
      </c>
      <c r="S1290">
        <v>19</v>
      </c>
      <c r="T1290" t="s">
        <v>6723</v>
      </c>
      <c r="U1290">
        <v>59</v>
      </c>
      <c r="Y1290" t="s">
        <v>6627</v>
      </c>
      <c r="Z1290">
        <v>3394.94</v>
      </c>
      <c r="AA1290">
        <v>1.1100000000000001</v>
      </c>
      <c r="AB1290">
        <v>3776</v>
      </c>
      <c r="AC1290" t="b">
        <v>0</v>
      </c>
      <c r="AD1290" t="b">
        <v>0</v>
      </c>
      <c r="AE1290" t="b">
        <v>0</v>
      </c>
      <c r="AF1290" t="b">
        <v>0</v>
      </c>
      <c r="AG1290" t="s">
        <v>58</v>
      </c>
      <c r="AH1290">
        <v>-15</v>
      </c>
      <c r="AI1290" t="s">
        <v>59</v>
      </c>
      <c r="AJ1290" t="s">
        <v>60</v>
      </c>
      <c r="AK1290" t="s">
        <v>162</v>
      </c>
      <c r="AL1290" t="s">
        <v>163</v>
      </c>
      <c r="AM1290" t="s">
        <v>245</v>
      </c>
      <c r="AN1290" t="s">
        <v>63</v>
      </c>
      <c r="AO1290" t="s">
        <v>6628</v>
      </c>
      <c r="AP1290" t="s">
        <v>6720</v>
      </c>
    </row>
    <row r="1291" spans="1:42" x14ac:dyDescent="0.45">
      <c r="A1291" t="s">
        <v>6617</v>
      </c>
      <c r="B1291" t="s">
        <v>6618</v>
      </c>
      <c r="C1291" t="s">
        <v>6724</v>
      </c>
      <c r="D1291">
        <v>2020</v>
      </c>
      <c r="E1291" t="s">
        <v>45</v>
      </c>
      <c r="F1291" t="s">
        <v>6620</v>
      </c>
      <c r="J1291" t="s">
        <v>6725</v>
      </c>
      <c r="K1291" t="s">
        <v>6726</v>
      </c>
      <c r="L1291" t="s">
        <v>6727</v>
      </c>
      <c r="M1291" t="s">
        <v>6728</v>
      </c>
      <c r="N1291" t="s">
        <v>51</v>
      </c>
      <c r="O1291" t="s">
        <v>52</v>
      </c>
      <c r="P1291" t="s">
        <v>53</v>
      </c>
      <c r="Q1291" t="s">
        <v>6729</v>
      </c>
      <c r="S1291">
        <v>1</v>
      </c>
      <c r="T1291" t="s">
        <v>6730</v>
      </c>
      <c r="U1291">
        <v>4928</v>
      </c>
      <c r="Y1291" t="s">
        <v>6731</v>
      </c>
      <c r="Z1291">
        <v>2244.79</v>
      </c>
      <c r="AA1291">
        <v>583.59</v>
      </c>
      <c r="AB1291">
        <v>1310031</v>
      </c>
      <c r="AC1291" t="b">
        <v>0</v>
      </c>
      <c r="AD1291" t="b">
        <v>0</v>
      </c>
      <c r="AE1291" t="b">
        <v>0</v>
      </c>
      <c r="AF1291" t="b">
        <v>0</v>
      </c>
      <c r="AG1291" t="s">
        <v>58</v>
      </c>
      <c r="AH1291">
        <v>10</v>
      </c>
      <c r="AI1291" t="s">
        <v>386</v>
      </c>
      <c r="AJ1291" t="s">
        <v>387</v>
      </c>
      <c r="AL1291" t="s">
        <v>983</v>
      </c>
      <c r="AM1291" t="s">
        <v>245</v>
      </c>
      <c r="AN1291" t="s">
        <v>63</v>
      </c>
      <c r="AO1291" t="s">
        <v>6732</v>
      </c>
      <c r="AP1291" t="s">
        <v>6726</v>
      </c>
    </row>
    <row r="1292" spans="1:42" x14ac:dyDescent="0.45">
      <c r="A1292" t="s">
        <v>6617</v>
      </c>
      <c r="B1292" t="s">
        <v>6618</v>
      </c>
      <c r="C1292" t="s">
        <v>6724</v>
      </c>
      <c r="D1292">
        <v>2020</v>
      </c>
      <c r="E1292" t="s">
        <v>45</v>
      </c>
      <c r="F1292" t="s">
        <v>6620</v>
      </c>
      <c r="J1292" t="s">
        <v>6733</v>
      </c>
      <c r="K1292" t="s">
        <v>6734</v>
      </c>
      <c r="L1292" t="s">
        <v>6735</v>
      </c>
      <c r="M1292" t="s">
        <v>6736</v>
      </c>
      <c r="N1292" t="s">
        <v>51</v>
      </c>
      <c r="O1292" t="s">
        <v>52</v>
      </c>
      <c r="P1292" t="s">
        <v>53</v>
      </c>
      <c r="Q1292" t="s">
        <v>6729</v>
      </c>
      <c r="S1292">
        <v>2</v>
      </c>
      <c r="T1292" t="s">
        <v>6737</v>
      </c>
      <c r="U1292">
        <v>4316</v>
      </c>
      <c r="Y1292" t="s">
        <v>6731</v>
      </c>
      <c r="Z1292">
        <v>2220.83</v>
      </c>
      <c r="AA1292">
        <v>74.31</v>
      </c>
      <c r="AB1292">
        <v>165038</v>
      </c>
      <c r="AC1292" t="b">
        <v>0</v>
      </c>
      <c r="AD1292" t="b">
        <v>0</v>
      </c>
      <c r="AE1292" t="b">
        <v>0</v>
      </c>
      <c r="AF1292" t="b">
        <v>0</v>
      </c>
      <c r="AG1292" t="s">
        <v>58</v>
      </c>
      <c r="AH1292">
        <v>10</v>
      </c>
      <c r="AI1292" t="s">
        <v>386</v>
      </c>
      <c r="AJ1292" t="s">
        <v>387</v>
      </c>
      <c r="AL1292" t="s">
        <v>983</v>
      </c>
      <c r="AM1292" t="s">
        <v>245</v>
      </c>
      <c r="AN1292" t="s">
        <v>63</v>
      </c>
      <c r="AO1292" t="s">
        <v>6732</v>
      </c>
      <c r="AP1292" t="s">
        <v>6734</v>
      </c>
    </row>
    <row r="1293" spans="1:42" x14ac:dyDescent="0.45">
      <c r="A1293" t="s">
        <v>6617</v>
      </c>
      <c r="B1293" t="s">
        <v>6618</v>
      </c>
      <c r="C1293" t="s">
        <v>6724</v>
      </c>
      <c r="D1293">
        <v>2020</v>
      </c>
      <c r="E1293" t="s">
        <v>45</v>
      </c>
      <c r="F1293" t="s">
        <v>6620</v>
      </c>
      <c r="J1293" t="s">
        <v>6738</v>
      </c>
      <c r="K1293" t="s">
        <v>6739</v>
      </c>
      <c r="L1293" t="s">
        <v>6740</v>
      </c>
      <c r="M1293" t="s">
        <v>6741</v>
      </c>
      <c r="N1293" t="s">
        <v>51</v>
      </c>
      <c r="O1293" t="s">
        <v>52</v>
      </c>
      <c r="P1293" t="s">
        <v>53</v>
      </c>
      <c r="Q1293" t="s">
        <v>6729</v>
      </c>
      <c r="S1293">
        <v>0</v>
      </c>
      <c r="T1293" t="s">
        <v>6742</v>
      </c>
      <c r="U1293">
        <v>2085</v>
      </c>
      <c r="Y1293" t="s">
        <v>6731</v>
      </c>
      <c r="Z1293">
        <v>2248.81</v>
      </c>
      <c r="AA1293">
        <v>1773.12</v>
      </c>
      <c r="AB1293">
        <v>3987411</v>
      </c>
      <c r="AC1293" t="b">
        <v>0</v>
      </c>
      <c r="AD1293" t="b">
        <v>0</v>
      </c>
      <c r="AE1293" t="b">
        <v>0</v>
      </c>
      <c r="AF1293" t="b">
        <v>0</v>
      </c>
      <c r="AG1293" t="s">
        <v>58</v>
      </c>
      <c r="AH1293">
        <v>10</v>
      </c>
      <c r="AI1293" t="s">
        <v>386</v>
      </c>
      <c r="AJ1293" t="s">
        <v>387</v>
      </c>
      <c r="AL1293" t="s">
        <v>983</v>
      </c>
      <c r="AM1293" t="s">
        <v>245</v>
      </c>
      <c r="AN1293" t="s">
        <v>63</v>
      </c>
      <c r="AO1293" t="s">
        <v>6732</v>
      </c>
      <c r="AP1293" t="s">
        <v>6739</v>
      </c>
    </row>
    <row r="1294" spans="1:42" x14ac:dyDescent="0.45">
      <c r="A1294" t="s">
        <v>6617</v>
      </c>
      <c r="B1294" t="s">
        <v>6618</v>
      </c>
      <c r="C1294" t="s">
        <v>6743</v>
      </c>
      <c r="D1294">
        <v>2023</v>
      </c>
      <c r="E1294" t="s">
        <v>45</v>
      </c>
      <c r="F1294" t="s">
        <v>6620</v>
      </c>
      <c r="J1294" t="s">
        <v>6744</v>
      </c>
      <c r="K1294" t="s">
        <v>6745</v>
      </c>
      <c r="L1294" t="s">
        <v>6746</v>
      </c>
      <c r="M1294" t="s">
        <v>6747</v>
      </c>
      <c r="N1294" t="s">
        <v>51</v>
      </c>
      <c r="O1294" t="s">
        <v>52</v>
      </c>
      <c r="P1294" t="s">
        <v>53</v>
      </c>
      <c r="Q1294" t="s">
        <v>6748</v>
      </c>
      <c r="S1294">
        <v>21</v>
      </c>
      <c r="T1294" t="s">
        <v>6749</v>
      </c>
      <c r="U1294">
        <v>428</v>
      </c>
      <c r="Y1294" t="s">
        <v>6750</v>
      </c>
      <c r="Z1294">
        <v>1301.06</v>
      </c>
      <c r="AA1294">
        <v>23.12</v>
      </c>
      <c r="AB1294">
        <v>30079</v>
      </c>
      <c r="AC1294" t="b">
        <v>0</v>
      </c>
      <c r="AD1294" t="b">
        <v>0</v>
      </c>
      <c r="AE1294" t="b">
        <v>0</v>
      </c>
      <c r="AF1294" t="b">
        <v>0</v>
      </c>
      <c r="AG1294" t="s">
        <v>58</v>
      </c>
      <c r="AH1294">
        <v>8</v>
      </c>
      <c r="AI1294" t="s">
        <v>169</v>
      </c>
      <c r="AJ1294" t="s">
        <v>60</v>
      </c>
      <c r="AL1294" t="s">
        <v>380</v>
      </c>
      <c r="AM1294" t="s">
        <v>245</v>
      </c>
      <c r="AN1294" t="s">
        <v>63</v>
      </c>
      <c r="AO1294" t="s">
        <v>6751</v>
      </c>
      <c r="AP1294" t="s">
        <v>6745</v>
      </c>
    </row>
    <row r="1295" spans="1:42" x14ac:dyDescent="0.45">
      <c r="A1295" t="s">
        <v>6617</v>
      </c>
      <c r="B1295" t="s">
        <v>6618</v>
      </c>
      <c r="C1295" t="s">
        <v>6743</v>
      </c>
      <c r="D1295">
        <v>2023</v>
      </c>
      <c r="E1295" t="s">
        <v>45</v>
      </c>
      <c r="F1295" t="s">
        <v>6620</v>
      </c>
      <c r="J1295" t="s">
        <v>6752</v>
      </c>
      <c r="K1295" t="s">
        <v>6753</v>
      </c>
      <c r="L1295" t="s">
        <v>6754</v>
      </c>
      <c r="M1295" t="s">
        <v>6755</v>
      </c>
      <c r="N1295" t="s">
        <v>51</v>
      </c>
      <c r="O1295" t="s">
        <v>52</v>
      </c>
      <c r="P1295" t="s">
        <v>53</v>
      </c>
      <c r="Q1295" t="s">
        <v>6748</v>
      </c>
      <c r="S1295">
        <v>12</v>
      </c>
      <c r="T1295" t="s">
        <v>6756</v>
      </c>
      <c r="U1295">
        <v>593</v>
      </c>
      <c r="Y1295" t="s">
        <v>6750</v>
      </c>
      <c r="Z1295">
        <v>1304.1199999999999</v>
      </c>
      <c r="AA1295">
        <v>43.06</v>
      </c>
      <c r="AB1295">
        <v>56157</v>
      </c>
      <c r="AC1295" t="b">
        <v>0</v>
      </c>
      <c r="AD1295" t="b">
        <v>0</v>
      </c>
      <c r="AE1295" t="b">
        <v>0</v>
      </c>
      <c r="AF1295" t="b">
        <v>0</v>
      </c>
      <c r="AG1295" t="s">
        <v>58</v>
      </c>
      <c r="AH1295">
        <v>8</v>
      </c>
      <c r="AI1295" t="s">
        <v>169</v>
      </c>
      <c r="AJ1295" t="s">
        <v>60</v>
      </c>
      <c r="AL1295" t="s">
        <v>380</v>
      </c>
      <c r="AM1295" t="s">
        <v>245</v>
      </c>
      <c r="AN1295" t="s">
        <v>63</v>
      </c>
      <c r="AO1295" t="s">
        <v>6751</v>
      </c>
      <c r="AP1295" t="s">
        <v>6753</v>
      </c>
    </row>
    <row r="1296" spans="1:42" x14ac:dyDescent="0.45">
      <c r="A1296" t="s">
        <v>6617</v>
      </c>
      <c r="B1296" t="s">
        <v>6618</v>
      </c>
      <c r="C1296" t="s">
        <v>6743</v>
      </c>
      <c r="D1296">
        <v>2023</v>
      </c>
      <c r="E1296" t="s">
        <v>45</v>
      </c>
      <c r="F1296" t="s">
        <v>6620</v>
      </c>
      <c r="J1296" t="s">
        <v>6757</v>
      </c>
      <c r="K1296" t="s">
        <v>6758</v>
      </c>
      <c r="L1296" t="s">
        <v>6759</v>
      </c>
      <c r="M1296" t="s">
        <v>6760</v>
      </c>
      <c r="N1296" t="s">
        <v>51</v>
      </c>
      <c r="O1296" t="s">
        <v>52</v>
      </c>
      <c r="P1296" t="s">
        <v>53</v>
      </c>
      <c r="Q1296" t="s">
        <v>6748</v>
      </c>
      <c r="S1296">
        <v>14</v>
      </c>
      <c r="T1296" t="s">
        <v>6761</v>
      </c>
      <c r="U1296">
        <v>265</v>
      </c>
      <c r="Y1296" t="s">
        <v>6750</v>
      </c>
      <c r="Z1296">
        <v>1303.1199999999999</v>
      </c>
      <c r="AA1296">
        <v>3.05</v>
      </c>
      <c r="AB1296">
        <v>3975</v>
      </c>
      <c r="AC1296" t="b">
        <v>0</v>
      </c>
      <c r="AD1296" t="b">
        <v>0</v>
      </c>
      <c r="AE1296" t="b">
        <v>0</v>
      </c>
      <c r="AF1296" t="b">
        <v>0</v>
      </c>
      <c r="AG1296" t="s">
        <v>58</v>
      </c>
      <c r="AH1296">
        <v>8</v>
      </c>
      <c r="AI1296" t="s">
        <v>169</v>
      </c>
      <c r="AJ1296" t="s">
        <v>60</v>
      </c>
      <c r="AL1296" t="s">
        <v>380</v>
      </c>
      <c r="AM1296" t="s">
        <v>245</v>
      </c>
      <c r="AN1296" t="s">
        <v>63</v>
      </c>
      <c r="AO1296" t="s">
        <v>6751</v>
      </c>
      <c r="AP1296" t="s">
        <v>6758</v>
      </c>
    </row>
    <row r="1297" spans="1:42" x14ac:dyDescent="0.45">
      <c r="A1297" t="s">
        <v>6617</v>
      </c>
      <c r="B1297" t="s">
        <v>6618</v>
      </c>
      <c r="C1297" t="s">
        <v>6743</v>
      </c>
      <c r="D1297">
        <v>2023</v>
      </c>
      <c r="E1297" t="s">
        <v>45</v>
      </c>
      <c r="F1297" t="s">
        <v>6620</v>
      </c>
      <c r="J1297" t="s">
        <v>6762</v>
      </c>
      <c r="K1297" t="s">
        <v>6763</v>
      </c>
      <c r="L1297" t="s">
        <v>6764</v>
      </c>
      <c r="M1297" t="s">
        <v>6765</v>
      </c>
      <c r="N1297" t="s">
        <v>51</v>
      </c>
      <c r="O1297" t="s">
        <v>52</v>
      </c>
      <c r="P1297" t="s">
        <v>53</v>
      </c>
      <c r="Q1297" t="s">
        <v>6748</v>
      </c>
      <c r="S1297">
        <v>5</v>
      </c>
      <c r="T1297" t="s">
        <v>6766</v>
      </c>
      <c r="U1297">
        <v>318</v>
      </c>
      <c r="Y1297" t="s">
        <v>6750</v>
      </c>
      <c r="Z1297">
        <v>1308.75</v>
      </c>
      <c r="AA1297">
        <v>34.07</v>
      </c>
      <c r="AB1297">
        <v>44584</v>
      </c>
      <c r="AC1297" t="b">
        <v>0</v>
      </c>
      <c r="AD1297" t="b">
        <v>0</v>
      </c>
      <c r="AE1297" t="b">
        <v>0</v>
      </c>
      <c r="AF1297" t="b">
        <v>0</v>
      </c>
      <c r="AG1297" t="s">
        <v>58</v>
      </c>
      <c r="AH1297">
        <v>8</v>
      </c>
      <c r="AI1297" t="s">
        <v>169</v>
      </c>
      <c r="AJ1297" t="s">
        <v>60</v>
      </c>
      <c r="AL1297" t="s">
        <v>380</v>
      </c>
      <c r="AM1297" t="s">
        <v>245</v>
      </c>
      <c r="AN1297" t="s">
        <v>63</v>
      </c>
      <c r="AO1297" t="s">
        <v>6751</v>
      </c>
      <c r="AP1297" t="s">
        <v>6763</v>
      </c>
    </row>
    <row r="1298" spans="1:42" x14ac:dyDescent="0.45">
      <c r="A1298" t="s">
        <v>6617</v>
      </c>
      <c r="B1298" t="s">
        <v>6618</v>
      </c>
      <c r="C1298" t="s">
        <v>6743</v>
      </c>
      <c r="D1298">
        <v>2023</v>
      </c>
      <c r="E1298" t="s">
        <v>45</v>
      </c>
      <c r="F1298" t="s">
        <v>6620</v>
      </c>
      <c r="J1298" t="s">
        <v>6767</v>
      </c>
      <c r="K1298" t="s">
        <v>6768</v>
      </c>
      <c r="L1298" t="s">
        <v>6769</v>
      </c>
      <c r="M1298" t="s">
        <v>6770</v>
      </c>
      <c r="N1298" t="s">
        <v>51</v>
      </c>
      <c r="O1298" t="s">
        <v>52</v>
      </c>
      <c r="P1298" t="s">
        <v>53</v>
      </c>
      <c r="Q1298" t="s">
        <v>6748</v>
      </c>
      <c r="S1298">
        <v>10</v>
      </c>
      <c r="T1298" t="s">
        <v>6771</v>
      </c>
      <c r="U1298">
        <v>301</v>
      </c>
      <c r="Y1298" t="s">
        <v>6750</v>
      </c>
      <c r="Z1298">
        <v>1306.75</v>
      </c>
      <c r="AA1298">
        <v>32.79</v>
      </c>
      <c r="AB1298">
        <v>42843</v>
      </c>
      <c r="AC1298" t="b">
        <v>0</v>
      </c>
      <c r="AD1298" t="b">
        <v>0</v>
      </c>
      <c r="AE1298" t="b">
        <v>0</v>
      </c>
      <c r="AF1298" t="b">
        <v>0</v>
      </c>
      <c r="AG1298" t="s">
        <v>58</v>
      </c>
      <c r="AH1298">
        <v>8</v>
      </c>
      <c r="AI1298" t="s">
        <v>169</v>
      </c>
      <c r="AJ1298" t="s">
        <v>60</v>
      </c>
      <c r="AL1298" t="s">
        <v>380</v>
      </c>
      <c r="AM1298" t="s">
        <v>245</v>
      </c>
      <c r="AN1298" t="s">
        <v>63</v>
      </c>
      <c r="AO1298" t="s">
        <v>6751</v>
      </c>
      <c r="AP1298" t="s">
        <v>6768</v>
      </c>
    </row>
    <row r="1299" spans="1:42" x14ac:dyDescent="0.45">
      <c r="A1299" t="s">
        <v>6617</v>
      </c>
      <c r="B1299" t="s">
        <v>6618</v>
      </c>
      <c r="C1299" t="s">
        <v>6743</v>
      </c>
      <c r="D1299">
        <v>2023</v>
      </c>
      <c r="E1299" t="s">
        <v>45</v>
      </c>
      <c r="F1299" t="s">
        <v>6620</v>
      </c>
      <c r="J1299" t="s">
        <v>6772</v>
      </c>
      <c r="K1299" t="s">
        <v>6773</v>
      </c>
      <c r="L1299" t="s">
        <v>6774</v>
      </c>
      <c r="M1299" t="s">
        <v>6775</v>
      </c>
      <c r="N1299" t="s">
        <v>51</v>
      </c>
      <c r="O1299" t="s">
        <v>52</v>
      </c>
      <c r="P1299" t="s">
        <v>53</v>
      </c>
      <c r="Q1299" t="s">
        <v>6748</v>
      </c>
      <c r="S1299">
        <v>15</v>
      </c>
      <c r="T1299" t="s">
        <v>6776</v>
      </c>
      <c r="U1299">
        <v>547</v>
      </c>
      <c r="Y1299" t="s">
        <v>6750</v>
      </c>
      <c r="Z1299">
        <v>1302.75</v>
      </c>
      <c r="AA1299">
        <v>12.43</v>
      </c>
      <c r="AB1299">
        <v>16195</v>
      </c>
      <c r="AC1299" t="b">
        <v>0</v>
      </c>
      <c r="AD1299" t="b">
        <v>0</v>
      </c>
      <c r="AE1299" t="b">
        <v>0</v>
      </c>
      <c r="AF1299" t="b">
        <v>0</v>
      </c>
      <c r="AG1299" t="s">
        <v>58</v>
      </c>
      <c r="AH1299">
        <v>8</v>
      </c>
      <c r="AI1299" t="s">
        <v>169</v>
      </c>
      <c r="AJ1299" t="s">
        <v>60</v>
      </c>
      <c r="AL1299" t="s">
        <v>380</v>
      </c>
      <c r="AM1299" t="s">
        <v>245</v>
      </c>
      <c r="AN1299" t="s">
        <v>63</v>
      </c>
      <c r="AO1299" t="s">
        <v>6751</v>
      </c>
      <c r="AP1299" t="s">
        <v>6773</v>
      </c>
    </row>
    <row r="1300" spans="1:42" x14ac:dyDescent="0.45">
      <c r="A1300" t="s">
        <v>6617</v>
      </c>
      <c r="B1300" t="s">
        <v>6618</v>
      </c>
      <c r="C1300" t="s">
        <v>6743</v>
      </c>
      <c r="D1300">
        <v>2023</v>
      </c>
      <c r="E1300" t="s">
        <v>45</v>
      </c>
      <c r="F1300" t="s">
        <v>6620</v>
      </c>
      <c r="J1300" t="s">
        <v>6777</v>
      </c>
      <c r="K1300" t="s">
        <v>6778</v>
      </c>
      <c r="L1300" t="s">
        <v>6779</v>
      </c>
      <c r="M1300" t="s">
        <v>6780</v>
      </c>
      <c r="N1300" t="s">
        <v>51</v>
      </c>
      <c r="O1300" t="s">
        <v>52</v>
      </c>
      <c r="P1300" t="s">
        <v>53</v>
      </c>
      <c r="Q1300" t="s">
        <v>6748</v>
      </c>
      <c r="S1300">
        <v>8</v>
      </c>
      <c r="T1300" t="s">
        <v>6781</v>
      </c>
      <c r="U1300">
        <v>326</v>
      </c>
      <c r="Y1300" t="s">
        <v>6750</v>
      </c>
      <c r="Z1300">
        <v>1310.75</v>
      </c>
      <c r="AA1300">
        <v>97.27</v>
      </c>
      <c r="AB1300">
        <v>127501</v>
      </c>
      <c r="AC1300" t="b">
        <v>0</v>
      </c>
      <c r="AD1300" t="b">
        <v>0</v>
      </c>
      <c r="AE1300" t="b">
        <v>0</v>
      </c>
      <c r="AF1300" t="b">
        <v>0</v>
      </c>
      <c r="AG1300" t="s">
        <v>58</v>
      </c>
      <c r="AH1300">
        <v>8</v>
      </c>
      <c r="AI1300" t="s">
        <v>169</v>
      </c>
      <c r="AJ1300" t="s">
        <v>60</v>
      </c>
      <c r="AL1300" t="s">
        <v>380</v>
      </c>
      <c r="AM1300" t="s">
        <v>245</v>
      </c>
      <c r="AN1300" t="s">
        <v>63</v>
      </c>
      <c r="AO1300" t="s">
        <v>6751</v>
      </c>
      <c r="AP1300" t="s">
        <v>6778</v>
      </c>
    </row>
    <row r="1301" spans="1:42" x14ac:dyDescent="0.45">
      <c r="A1301" t="s">
        <v>6617</v>
      </c>
      <c r="B1301" t="s">
        <v>6618</v>
      </c>
      <c r="C1301" t="s">
        <v>6743</v>
      </c>
      <c r="D1301">
        <v>2023</v>
      </c>
      <c r="E1301" t="s">
        <v>45</v>
      </c>
      <c r="F1301" t="s">
        <v>6620</v>
      </c>
      <c r="J1301" t="s">
        <v>6782</v>
      </c>
      <c r="K1301" t="s">
        <v>6783</v>
      </c>
      <c r="L1301" t="s">
        <v>6784</v>
      </c>
      <c r="M1301" t="s">
        <v>6785</v>
      </c>
      <c r="N1301" t="s">
        <v>51</v>
      </c>
      <c r="O1301" t="s">
        <v>52</v>
      </c>
      <c r="P1301" t="s">
        <v>53</v>
      </c>
      <c r="Q1301" t="s">
        <v>6748</v>
      </c>
      <c r="S1301">
        <v>6</v>
      </c>
      <c r="T1301" t="s">
        <v>6786</v>
      </c>
      <c r="U1301">
        <v>525</v>
      </c>
      <c r="Y1301" t="s">
        <v>6750</v>
      </c>
      <c r="Z1301">
        <v>1309.79</v>
      </c>
      <c r="AA1301">
        <v>144.04</v>
      </c>
      <c r="AB1301">
        <v>188668</v>
      </c>
      <c r="AC1301" t="b">
        <v>0</v>
      </c>
      <c r="AD1301" t="b">
        <v>0</v>
      </c>
      <c r="AE1301" t="b">
        <v>0</v>
      </c>
      <c r="AF1301" t="b">
        <v>0</v>
      </c>
      <c r="AG1301" t="s">
        <v>58</v>
      </c>
      <c r="AH1301">
        <v>8</v>
      </c>
      <c r="AI1301" t="s">
        <v>169</v>
      </c>
      <c r="AJ1301" t="s">
        <v>60</v>
      </c>
      <c r="AL1301" t="s">
        <v>380</v>
      </c>
      <c r="AM1301" t="s">
        <v>245</v>
      </c>
      <c r="AN1301" t="s">
        <v>63</v>
      </c>
      <c r="AO1301" t="s">
        <v>6751</v>
      </c>
      <c r="AP1301" t="s">
        <v>6783</v>
      </c>
    </row>
    <row r="1302" spans="1:42" x14ac:dyDescent="0.45">
      <c r="A1302" t="s">
        <v>6617</v>
      </c>
      <c r="B1302" t="s">
        <v>6618</v>
      </c>
      <c r="C1302" t="s">
        <v>6743</v>
      </c>
      <c r="D1302">
        <v>2023</v>
      </c>
      <c r="E1302" t="s">
        <v>45</v>
      </c>
      <c r="F1302" t="s">
        <v>6620</v>
      </c>
      <c r="J1302" t="s">
        <v>6787</v>
      </c>
      <c r="K1302" t="s">
        <v>6788</v>
      </c>
      <c r="L1302" t="s">
        <v>6789</v>
      </c>
      <c r="M1302" t="s">
        <v>6790</v>
      </c>
      <c r="N1302" t="s">
        <v>51</v>
      </c>
      <c r="O1302" t="s">
        <v>52</v>
      </c>
      <c r="P1302" t="s">
        <v>53</v>
      </c>
      <c r="Q1302" t="s">
        <v>6748</v>
      </c>
      <c r="S1302">
        <v>17</v>
      </c>
      <c r="T1302" t="s">
        <v>6791</v>
      </c>
      <c r="U1302">
        <v>289</v>
      </c>
      <c r="Y1302" t="s">
        <v>6750</v>
      </c>
      <c r="Z1302">
        <v>1302.1199999999999</v>
      </c>
      <c r="AA1302">
        <v>3.17</v>
      </c>
      <c r="AB1302">
        <v>4127</v>
      </c>
      <c r="AC1302" t="b">
        <v>0</v>
      </c>
      <c r="AD1302" t="b">
        <v>0</v>
      </c>
      <c r="AE1302" t="b">
        <v>0</v>
      </c>
      <c r="AF1302" t="b">
        <v>0</v>
      </c>
      <c r="AG1302" t="s">
        <v>58</v>
      </c>
      <c r="AH1302">
        <v>8</v>
      </c>
      <c r="AI1302" t="s">
        <v>169</v>
      </c>
      <c r="AJ1302" t="s">
        <v>60</v>
      </c>
      <c r="AL1302" t="s">
        <v>380</v>
      </c>
      <c r="AM1302" t="s">
        <v>245</v>
      </c>
      <c r="AN1302" t="s">
        <v>63</v>
      </c>
      <c r="AO1302" t="s">
        <v>6751</v>
      </c>
      <c r="AP1302" t="s">
        <v>6788</v>
      </c>
    </row>
    <row r="1303" spans="1:42" x14ac:dyDescent="0.45">
      <c r="A1303" t="s">
        <v>6617</v>
      </c>
      <c r="B1303" t="s">
        <v>6618</v>
      </c>
      <c r="C1303" t="s">
        <v>6743</v>
      </c>
      <c r="D1303">
        <v>2023</v>
      </c>
      <c r="E1303" t="s">
        <v>45</v>
      </c>
      <c r="F1303" t="s">
        <v>6620</v>
      </c>
      <c r="J1303" t="s">
        <v>6792</v>
      </c>
      <c r="K1303" t="s">
        <v>6793</v>
      </c>
      <c r="L1303" t="s">
        <v>6794</v>
      </c>
      <c r="M1303" t="s">
        <v>6795</v>
      </c>
      <c r="N1303" t="s">
        <v>51</v>
      </c>
      <c r="O1303" t="s">
        <v>52</v>
      </c>
      <c r="P1303" t="s">
        <v>53</v>
      </c>
      <c r="Q1303" t="s">
        <v>6748</v>
      </c>
      <c r="S1303">
        <v>24</v>
      </c>
      <c r="T1303" t="s">
        <v>6796</v>
      </c>
      <c r="U1303">
        <v>302</v>
      </c>
      <c r="Y1303" t="s">
        <v>6750</v>
      </c>
      <c r="Z1303">
        <v>1294.71</v>
      </c>
      <c r="AA1303">
        <v>4.93</v>
      </c>
      <c r="AB1303">
        <v>6387</v>
      </c>
      <c r="AC1303" t="b">
        <v>0</v>
      </c>
      <c r="AD1303" t="b">
        <v>0</v>
      </c>
      <c r="AE1303" t="b">
        <v>0</v>
      </c>
      <c r="AF1303" t="b">
        <v>0</v>
      </c>
      <c r="AG1303" t="s">
        <v>58</v>
      </c>
      <c r="AH1303">
        <v>8</v>
      </c>
      <c r="AI1303" t="s">
        <v>169</v>
      </c>
      <c r="AJ1303" t="s">
        <v>60</v>
      </c>
      <c r="AL1303" t="s">
        <v>380</v>
      </c>
      <c r="AM1303" t="s">
        <v>245</v>
      </c>
      <c r="AN1303" t="s">
        <v>63</v>
      </c>
      <c r="AO1303" t="s">
        <v>6751</v>
      </c>
      <c r="AP1303" t="s">
        <v>6793</v>
      </c>
    </row>
    <row r="1304" spans="1:42" x14ac:dyDescent="0.45">
      <c r="A1304" t="s">
        <v>6617</v>
      </c>
      <c r="B1304" t="s">
        <v>6618</v>
      </c>
      <c r="C1304" t="s">
        <v>6743</v>
      </c>
      <c r="D1304">
        <v>2023</v>
      </c>
      <c r="E1304" t="s">
        <v>45</v>
      </c>
      <c r="F1304" t="s">
        <v>6620</v>
      </c>
      <c r="J1304" t="s">
        <v>6797</v>
      </c>
      <c r="K1304" t="s">
        <v>6798</v>
      </c>
      <c r="L1304" t="s">
        <v>6799</v>
      </c>
      <c r="M1304" t="s">
        <v>6800</v>
      </c>
      <c r="N1304" t="s">
        <v>51</v>
      </c>
      <c r="O1304" t="s">
        <v>52</v>
      </c>
      <c r="P1304" t="s">
        <v>53</v>
      </c>
      <c r="Q1304" t="s">
        <v>6748</v>
      </c>
      <c r="S1304">
        <v>25</v>
      </c>
      <c r="T1304" t="s">
        <v>6801</v>
      </c>
      <c r="U1304">
        <v>321</v>
      </c>
      <c r="Y1304" t="s">
        <v>6750</v>
      </c>
      <c r="Z1304">
        <v>1297.83</v>
      </c>
      <c r="AA1304">
        <v>34.57</v>
      </c>
      <c r="AB1304">
        <v>44864</v>
      </c>
      <c r="AC1304" t="b">
        <v>0</v>
      </c>
      <c r="AD1304" t="b">
        <v>0</v>
      </c>
      <c r="AE1304" t="b">
        <v>0</v>
      </c>
      <c r="AF1304" t="b">
        <v>0</v>
      </c>
      <c r="AG1304" t="s">
        <v>58</v>
      </c>
      <c r="AH1304">
        <v>8</v>
      </c>
      <c r="AI1304" t="s">
        <v>169</v>
      </c>
      <c r="AJ1304" t="s">
        <v>60</v>
      </c>
      <c r="AL1304" t="s">
        <v>380</v>
      </c>
      <c r="AM1304" t="s">
        <v>245</v>
      </c>
      <c r="AN1304" t="s">
        <v>63</v>
      </c>
      <c r="AO1304" t="s">
        <v>6751</v>
      </c>
      <c r="AP1304" t="s">
        <v>6798</v>
      </c>
    </row>
    <row r="1305" spans="1:42" x14ac:dyDescent="0.45">
      <c r="A1305" t="s">
        <v>6617</v>
      </c>
      <c r="B1305" t="s">
        <v>6618</v>
      </c>
      <c r="C1305" t="s">
        <v>6743</v>
      </c>
      <c r="D1305">
        <v>2023</v>
      </c>
      <c r="E1305" t="s">
        <v>45</v>
      </c>
      <c r="F1305" t="s">
        <v>6620</v>
      </c>
      <c r="J1305" t="s">
        <v>6802</v>
      </c>
      <c r="K1305" t="s">
        <v>6803</v>
      </c>
      <c r="L1305" t="s">
        <v>6804</v>
      </c>
      <c r="M1305" t="s">
        <v>6805</v>
      </c>
      <c r="N1305" t="s">
        <v>51</v>
      </c>
      <c r="O1305" t="s">
        <v>52</v>
      </c>
      <c r="P1305" t="s">
        <v>53</v>
      </c>
      <c r="Q1305" t="s">
        <v>6748</v>
      </c>
      <c r="S1305">
        <v>16</v>
      </c>
      <c r="T1305" t="s">
        <v>6806</v>
      </c>
      <c r="U1305">
        <v>384</v>
      </c>
      <c r="Y1305" t="s">
        <v>6750</v>
      </c>
      <c r="Z1305">
        <v>1301.79</v>
      </c>
      <c r="AA1305">
        <v>220.45</v>
      </c>
      <c r="AB1305">
        <v>286975</v>
      </c>
      <c r="AC1305" t="b">
        <v>0</v>
      </c>
      <c r="AD1305" t="b">
        <v>0</v>
      </c>
      <c r="AE1305" t="b">
        <v>0</v>
      </c>
      <c r="AF1305" t="b">
        <v>0</v>
      </c>
      <c r="AG1305" t="s">
        <v>58</v>
      </c>
      <c r="AH1305">
        <v>8</v>
      </c>
      <c r="AI1305" t="s">
        <v>169</v>
      </c>
      <c r="AJ1305" t="s">
        <v>60</v>
      </c>
      <c r="AL1305" t="s">
        <v>380</v>
      </c>
      <c r="AM1305" t="s">
        <v>245</v>
      </c>
      <c r="AN1305" t="s">
        <v>63</v>
      </c>
      <c r="AO1305" t="s">
        <v>6751</v>
      </c>
      <c r="AP1305" t="s">
        <v>6803</v>
      </c>
    </row>
    <row r="1306" spans="1:42" x14ac:dyDescent="0.45">
      <c r="A1306" t="s">
        <v>6617</v>
      </c>
      <c r="B1306" t="s">
        <v>6618</v>
      </c>
      <c r="C1306" t="s">
        <v>6743</v>
      </c>
      <c r="D1306">
        <v>2023</v>
      </c>
      <c r="E1306" t="s">
        <v>45</v>
      </c>
      <c r="F1306" t="s">
        <v>6620</v>
      </c>
      <c r="J1306" t="s">
        <v>6807</v>
      </c>
      <c r="K1306" t="s">
        <v>6808</v>
      </c>
      <c r="L1306" t="s">
        <v>6809</v>
      </c>
      <c r="M1306" t="s">
        <v>6810</v>
      </c>
      <c r="N1306" t="s">
        <v>51</v>
      </c>
      <c r="O1306" t="s">
        <v>52</v>
      </c>
      <c r="P1306" t="s">
        <v>53</v>
      </c>
      <c r="Q1306" t="s">
        <v>6748</v>
      </c>
      <c r="S1306">
        <v>23</v>
      </c>
      <c r="T1306" t="s">
        <v>6811</v>
      </c>
      <c r="U1306">
        <v>492</v>
      </c>
      <c r="Y1306" t="s">
        <v>6750</v>
      </c>
      <c r="Z1306">
        <v>1295.79</v>
      </c>
      <c r="AA1306">
        <v>1485.09</v>
      </c>
      <c r="AB1306">
        <v>1924363</v>
      </c>
      <c r="AC1306" t="b">
        <v>0</v>
      </c>
      <c r="AD1306" t="b">
        <v>0</v>
      </c>
      <c r="AE1306" t="b">
        <v>0</v>
      </c>
      <c r="AF1306" t="b">
        <v>0</v>
      </c>
      <c r="AG1306" t="s">
        <v>58</v>
      </c>
      <c r="AH1306">
        <v>8</v>
      </c>
      <c r="AI1306" t="s">
        <v>169</v>
      </c>
      <c r="AJ1306" t="s">
        <v>60</v>
      </c>
      <c r="AL1306" t="s">
        <v>380</v>
      </c>
      <c r="AM1306" t="s">
        <v>245</v>
      </c>
      <c r="AN1306" t="s">
        <v>63</v>
      </c>
      <c r="AO1306" t="s">
        <v>6751</v>
      </c>
      <c r="AP1306" t="s">
        <v>6808</v>
      </c>
    </row>
    <row r="1307" spans="1:42" x14ac:dyDescent="0.45">
      <c r="A1307" t="s">
        <v>6617</v>
      </c>
      <c r="B1307" t="s">
        <v>6618</v>
      </c>
      <c r="C1307" t="s">
        <v>6743</v>
      </c>
      <c r="D1307">
        <v>2023</v>
      </c>
      <c r="E1307" t="s">
        <v>45</v>
      </c>
      <c r="F1307" t="s">
        <v>6620</v>
      </c>
      <c r="J1307" t="s">
        <v>6812</v>
      </c>
      <c r="K1307" t="s">
        <v>6813</v>
      </c>
      <c r="L1307" t="s">
        <v>6814</v>
      </c>
      <c r="M1307" t="s">
        <v>6815</v>
      </c>
      <c r="N1307" t="s">
        <v>51</v>
      </c>
      <c r="O1307" t="s">
        <v>52</v>
      </c>
      <c r="P1307" t="s">
        <v>53</v>
      </c>
      <c r="Q1307" t="s">
        <v>6748</v>
      </c>
      <c r="S1307">
        <v>13</v>
      </c>
      <c r="T1307" t="s">
        <v>6816</v>
      </c>
      <c r="U1307">
        <v>368</v>
      </c>
      <c r="Y1307" t="s">
        <v>6750</v>
      </c>
      <c r="Z1307">
        <v>1303.75</v>
      </c>
      <c r="AA1307">
        <v>36.92</v>
      </c>
      <c r="AB1307">
        <v>48136</v>
      </c>
      <c r="AC1307" t="b">
        <v>0</v>
      </c>
      <c r="AD1307" t="b">
        <v>0</v>
      </c>
      <c r="AE1307" t="b">
        <v>0</v>
      </c>
      <c r="AF1307" t="b">
        <v>0</v>
      </c>
      <c r="AG1307" t="s">
        <v>58</v>
      </c>
      <c r="AH1307">
        <v>8</v>
      </c>
      <c r="AI1307" t="s">
        <v>169</v>
      </c>
      <c r="AJ1307" t="s">
        <v>60</v>
      </c>
      <c r="AL1307" t="s">
        <v>380</v>
      </c>
      <c r="AM1307" t="s">
        <v>245</v>
      </c>
      <c r="AN1307" t="s">
        <v>63</v>
      </c>
      <c r="AO1307" t="s">
        <v>6751</v>
      </c>
      <c r="AP1307" t="s">
        <v>6813</v>
      </c>
    </row>
    <row r="1308" spans="1:42" x14ac:dyDescent="0.45">
      <c r="A1308" t="s">
        <v>6617</v>
      </c>
      <c r="B1308" t="s">
        <v>6618</v>
      </c>
      <c r="C1308" t="s">
        <v>6743</v>
      </c>
      <c r="D1308">
        <v>2023</v>
      </c>
      <c r="E1308" t="s">
        <v>45</v>
      </c>
      <c r="F1308" t="s">
        <v>6620</v>
      </c>
      <c r="J1308" t="s">
        <v>6817</v>
      </c>
      <c r="K1308" t="s">
        <v>6818</v>
      </c>
      <c r="L1308" t="s">
        <v>6819</v>
      </c>
      <c r="M1308" t="s">
        <v>6820</v>
      </c>
      <c r="N1308" t="s">
        <v>51</v>
      </c>
      <c r="O1308" t="s">
        <v>52</v>
      </c>
      <c r="P1308" t="s">
        <v>53</v>
      </c>
      <c r="Q1308" t="s">
        <v>6748</v>
      </c>
      <c r="S1308">
        <v>26</v>
      </c>
      <c r="T1308" t="s">
        <v>6821</v>
      </c>
      <c r="U1308">
        <v>431</v>
      </c>
      <c r="Y1308" t="s">
        <v>6750</v>
      </c>
      <c r="Z1308">
        <v>1296.21</v>
      </c>
      <c r="AA1308">
        <v>802.94</v>
      </c>
      <c r="AB1308">
        <v>1040774</v>
      </c>
      <c r="AC1308" t="b">
        <v>0</v>
      </c>
      <c r="AD1308" t="b">
        <v>0</v>
      </c>
      <c r="AE1308" t="b">
        <v>0</v>
      </c>
      <c r="AF1308" t="b">
        <v>0</v>
      </c>
      <c r="AG1308" t="s">
        <v>58</v>
      </c>
      <c r="AH1308">
        <v>8</v>
      </c>
      <c r="AI1308" t="s">
        <v>169</v>
      </c>
      <c r="AJ1308" t="s">
        <v>60</v>
      </c>
      <c r="AL1308" t="s">
        <v>380</v>
      </c>
      <c r="AM1308" t="s">
        <v>245</v>
      </c>
      <c r="AN1308" t="s">
        <v>63</v>
      </c>
      <c r="AO1308" t="s">
        <v>6751</v>
      </c>
      <c r="AP1308" t="s">
        <v>6818</v>
      </c>
    </row>
    <row r="1309" spans="1:42" x14ac:dyDescent="0.45">
      <c r="A1309" t="s">
        <v>6617</v>
      </c>
      <c r="B1309" t="s">
        <v>6618</v>
      </c>
      <c r="C1309" t="s">
        <v>6743</v>
      </c>
      <c r="D1309">
        <v>2023</v>
      </c>
      <c r="E1309" t="s">
        <v>45</v>
      </c>
      <c r="F1309" t="s">
        <v>6620</v>
      </c>
      <c r="J1309" t="s">
        <v>6822</v>
      </c>
      <c r="K1309" t="s">
        <v>6823</v>
      </c>
      <c r="L1309" t="s">
        <v>6824</v>
      </c>
      <c r="M1309" t="s">
        <v>6825</v>
      </c>
      <c r="N1309" t="s">
        <v>51</v>
      </c>
      <c r="O1309" t="s">
        <v>52</v>
      </c>
      <c r="P1309" t="s">
        <v>53</v>
      </c>
      <c r="Q1309" t="s">
        <v>6748</v>
      </c>
      <c r="S1309">
        <v>19</v>
      </c>
      <c r="T1309" t="s">
        <v>6826</v>
      </c>
      <c r="U1309">
        <v>394</v>
      </c>
      <c r="Y1309" t="s">
        <v>6750</v>
      </c>
      <c r="Z1309">
        <v>1299.75</v>
      </c>
      <c r="AA1309">
        <v>70.92</v>
      </c>
      <c r="AB1309">
        <v>92182</v>
      </c>
      <c r="AC1309" t="b">
        <v>0</v>
      </c>
      <c r="AD1309" t="b">
        <v>0</v>
      </c>
      <c r="AE1309" t="b">
        <v>0</v>
      </c>
      <c r="AF1309" t="b">
        <v>0</v>
      </c>
      <c r="AG1309" t="s">
        <v>58</v>
      </c>
      <c r="AH1309">
        <v>8</v>
      </c>
      <c r="AI1309" t="s">
        <v>169</v>
      </c>
      <c r="AJ1309" t="s">
        <v>60</v>
      </c>
      <c r="AL1309" t="s">
        <v>380</v>
      </c>
      <c r="AM1309" t="s">
        <v>245</v>
      </c>
      <c r="AN1309" t="s">
        <v>63</v>
      </c>
      <c r="AO1309" t="s">
        <v>6751</v>
      </c>
      <c r="AP1309" t="s">
        <v>6823</v>
      </c>
    </row>
    <row r="1310" spans="1:42" x14ac:dyDescent="0.45">
      <c r="A1310" t="s">
        <v>6617</v>
      </c>
      <c r="B1310" t="s">
        <v>6618</v>
      </c>
      <c r="C1310" t="s">
        <v>6743</v>
      </c>
      <c r="D1310">
        <v>2023</v>
      </c>
      <c r="E1310" t="s">
        <v>45</v>
      </c>
      <c r="F1310" t="s">
        <v>6620</v>
      </c>
      <c r="J1310" t="s">
        <v>6827</v>
      </c>
      <c r="K1310" t="s">
        <v>6828</v>
      </c>
      <c r="L1310" t="s">
        <v>6829</v>
      </c>
      <c r="M1310" t="s">
        <v>6830</v>
      </c>
      <c r="N1310" t="s">
        <v>51</v>
      </c>
      <c r="O1310" t="s">
        <v>52</v>
      </c>
      <c r="P1310" t="s">
        <v>53</v>
      </c>
      <c r="Q1310" t="s">
        <v>6748</v>
      </c>
      <c r="S1310">
        <v>3</v>
      </c>
      <c r="T1310" t="s">
        <v>6831</v>
      </c>
      <c r="U1310">
        <v>324</v>
      </c>
      <c r="Y1310" t="s">
        <v>6750</v>
      </c>
      <c r="Z1310">
        <v>1305.75</v>
      </c>
      <c r="AA1310">
        <v>9.25</v>
      </c>
      <c r="AB1310">
        <v>12078</v>
      </c>
      <c r="AC1310" t="b">
        <v>0</v>
      </c>
      <c r="AD1310" t="b">
        <v>0</v>
      </c>
      <c r="AE1310" t="b">
        <v>0</v>
      </c>
      <c r="AF1310" t="b">
        <v>0</v>
      </c>
      <c r="AG1310" t="s">
        <v>58</v>
      </c>
      <c r="AH1310">
        <v>8</v>
      </c>
      <c r="AI1310" t="s">
        <v>169</v>
      </c>
      <c r="AJ1310" t="s">
        <v>60</v>
      </c>
      <c r="AL1310" t="s">
        <v>380</v>
      </c>
      <c r="AM1310" t="s">
        <v>245</v>
      </c>
      <c r="AN1310" t="s">
        <v>63</v>
      </c>
      <c r="AO1310" t="s">
        <v>6751</v>
      </c>
      <c r="AP1310" t="s">
        <v>6828</v>
      </c>
    </row>
    <row r="1311" spans="1:42" x14ac:dyDescent="0.45">
      <c r="A1311" t="s">
        <v>6617</v>
      </c>
      <c r="B1311" t="s">
        <v>6618</v>
      </c>
      <c r="C1311" t="s">
        <v>6743</v>
      </c>
      <c r="D1311">
        <v>2023</v>
      </c>
      <c r="E1311" t="s">
        <v>45</v>
      </c>
      <c r="F1311" t="s">
        <v>6620</v>
      </c>
      <c r="J1311" t="s">
        <v>6832</v>
      </c>
      <c r="K1311" t="s">
        <v>6833</v>
      </c>
      <c r="L1311" t="s">
        <v>6834</v>
      </c>
      <c r="M1311" t="s">
        <v>6835</v>
      </c>
      <c r="N1311" t="s">
        <v>51</v>
      </c>
      <c r="O1311" t="s">
        <v>52</v>
      </c>
      <c r="P1311" t="s">
        <v>53</v>
      </c>
      <c r="Q1311" t="s">
        <v>6748</v>
      </c>
      <c r="S1311">
        <v>9</v>
      </c>
      <c r="T1311" t="s">
        <v>6836</v>
      </c>
      <c r="U1311">
        <v>360</v>
      </c>
      <c r="Y1311" t="s">
        <v>6750</v>
      </c>
      <c r="Z1311">
        <v>1307.75</v>
      </c>
      <c r="AA1311">
        <v>192.98</v>
      </c>
      <c r="AB1311">
        <v>252364</v>
      </c>
      <c r="AC1311" t="b">
        <v>0</v>
      </c>
      <c r="AD1311" t="b">
        <v>0</v>
      </c>
      <c r="AE1311" t="b">
        <v>0</v>
      </c>
      <c r="AF1311" t="b">
        <v>0</v>
      </c>
      <c r="AG1311" t="s">
        <v>58</v>
      </c>
      <c r="AH1311">
        <v>8</v>
      </c>
      <c r="AI1311" t="s">
        <v>169</v>
      </c>
      <c r="AJ1311" t="s">
        <v>60</v>
      </c>
      <c r="AL1311" t="s">
        <v>380</v>
      </c>
      <c r="AM1311" t="s">
        <v>245</v>
      </c>
      <c r="AN1311" t="s">
        <v>63</v>
      </c>
      <c r="AO1311" t="s">
        <v>6751</v>
      </c>
      <c r="AP1311" t="s">
        <v>6833</v>
      </c>
    </row>
    <row r="1312" spans="1:42" x14ac:dyDescent="0.45">
      <c r="A1312" t="s">
        <v>6617</v>
      </c>
      <c r="B1312" t="s">
        <v>6618</v>
      </c>
      <c r="C1312" t="s">
        <v>6743</v>
      </c>
      <c r="D1312">
        <v>2023</v>
      </c>
      <c r="E1312" t="s">
        <v>45</v>
      </c>
      <c r="F1312" t="s">
        <v>6620</v>
      </c>
      <c r="J1312" t="s">
        <v>6837</v>
      </c>
      <c r="K1312" t="s">
        <v>6838</v>
      </c>
      <c r="L1312" t="s">
        <v>6839</v>
      </c>
      <c r="M1312" t="s">
        <v>6840</v>
      </c>
      <c r="N1312" t="s">
        <v>201</v>
      </c>
      <c r="O1312" t="s">
        <v>202</v>
      </c>
      <c r="P1312" t="s">
        <v>203</v>
      </c>
      <c r="Q1312" t="s">
        <v>6748</v>
      </c>
      <c r="S1312">
        <v>0</v>
      </c>
      <c r="T1312" t="s">
        <v>6841</v>
      </c>
      <c r="U1312">
        <v>17300</v>
      </c>
      <c r="Y1312" t="s">
        <v>6750</v>
      </c>
      <c r="Z1312">
        <v>1298.83</v>
      </c>
      <c r="AA1312">
        <v>4976.83</v>
      </c>
      <c r="AB1312">
        <v>6464054</v>
      </c>
      <c r="AC1312" t="b">
        <v>0</v>
      </c>
      <c r="AD1312" t="b">
        <v>0</v>
      </c>
      <c r="AE1312" t="b">
        <v>0</v>
      </c>
      <c r="AF1312" t="b">
        <v>0</v>
      </c>
      <c r="AG1312" t="s">
        <v>58</v>
      </c>
      <c r="AH1312">
        <v>6</v>
      </c>
      <c r="AI1312" t="s">
        <v>386</v>
      </c>
      <c r="AJ1312" t="s">
        <v>387</v>
      </c>
      <c r="AL1312" t="s">
        <v>388</v>
      </c>
      <c r="AM1312" t="s">
        <v>245</v>
      </c>
      <c r="AN1312" t="s">
        <v>63</v>
      </c>
      <c r="AO1312" t="s">
        <v>6751</v>
      </c>
      <c r="AP1312" t="s">
        <v>6838</v>
      </c>
    </row>
    <row r="1313" spans="1:42" x14ac:dyDescent="0.45">
      <c r="A1313" t="s">
        <v>6617</v>
      </c>
      <c r="B1313" t="s">
        <v>6618</v>
      </c>
      <c r="C1313" t="s">
        <v>6743</v>
      </c>
      <c r="D1313">
        <v>2023</v>
      </c>
      <c r="E1313" t="s">
        <v>45</v>
      </c>
      <c r="F1313" t="s">
        <v>6620</v>
      </c>
      <c r="J1313" t="s">
        <v>6842</v>
      </c>
      <c r="K1313" t="s">
        <v>6843</v>
      </c>
      <c r="L1313" t="s">
        <v>6844</v>
      </c>
      <c r="M1313" t="s">
        <v>6845</v>
      </c>
      <c r="N1313" t="s">
        <v>51</v>
      </c>
      <c r="O1313" t="s">
        <v>52</v>
      </c>
      <c r="P1313" t="s">
        <v>53</v>
      </c>
      <c r="Q1313" t="s">
        <v>6748</v>
      </c>
      <c r="S1313">
        <v>29</v>
      </c>
      <c r="T1313" t="s">
        <v>6846</v>
      </c>
      <c r="U1313">
        <v>356</v>
      </c>
      <c r="Y1313" t="s">
        <v>6750</v>
      </c>
      <c r="Z1313">
        <v>1296.79</v>
      </c>
      <c r="AA1313">
        <v>1964.82</v>
      </c>
      <c r="AB1313">
        <v>2547963</v>
      </c>
      <c r="AC1313" t="b">
        <v>0</v>
      </c>
      <c r="AD1313" t="b">
        <v>0</v>
      </c>
      <c r="AE1313" t="b">
        <v>0</v>
      </c>
      <c r="AF1313" t="b">
        <v>0</v>
      </c>
      <c r="AG1313" t="s">
        <v>58</v>
      </c>
      <c r="AH1313">
        <v>8</v>
      </c>
      <c r="AI1313" t="s">
        <v>169</v>
      </c>
      <c r="AJ1313" t="s">
        <v>60</v>
      </c>
      <c r="AL1313" t="s">
        <v>380</v>
      </c>
      <c r="AM1313" t="s">
        <v>245</v>
      </c>
      <c r="AN1313" t="s">
        <v>63</v>
      </c>
      <c r="AO1313" t="s">
        <v>6751</v>
      </c>
      <c r="AP1313" t="s">
        <v>6843</v>
      </c>
    </row>
    <row r="1314" spans="1:42" x14ac:dyDescent="0.45">
      <c r="A1314" t="s">
        <v>6617</v>
      </c>
      <c r="B1314" t="s">
        <v>6618</v>
      </c>
      <c r="C1314" t="s">
        <v>6743</v>
      </c>
      <c r="D1314">
        <v>2023</v>
      </c>
      <c r="E1314" t="s">
        <v>45</v>
      </c>
      <c r="F1314" t="s">
        <v>6620</v>
      </c>
      <c r="J1314" t="s">
        <v>6847</v>
      </c>
      <c r="K1314" t="s">
        <v>6848</v>
      </c>
      <c r="L1314" t="s">
        <v>6849</v>
      </c>
      <c r="M1314" t="s">
        <v>6850</v>
      </c>
      <c r="N1314" t="s">
        <v>51</v>
      </c>
      <c r="O1314" t="s">
        <v>52</v>
      </c>
      <c r="P1314" t="s">
        <v>53</v>
      </c>
      <c r="Q1314" t="s">
        <v>6748</v>
      </c>
      <c r="S1314">
        <v>4</v>
      </c>
      <c r="T1314" t="s">
        <v>6851</v>
      </c>
      <c r="U1314">
        <v>396</v>
      </c>
      <c r="Y1314" t="s">
        <v>6750</v>
      </c>
      <c r="Z1314">
        <v>1308.1199999999999</v>
      </c>
      <c r="AA1314">
        <v>8.0399999999999991</v>
      </c>
      <c r="AB1314">
        <v>10520</v>
      </c>
      <c r="AC1314" t="b">
        <v>0</v>
      </c>
      <c r="AD1314" t="b">
        <v>0</v>
      </c>
      <c r="AE1314" t="b">
        <v>0</v>
      </c>
      <c r="AF1314" t="b">
        <v>0</v>
      </c>
      <c r="AG1314" t="s">
        <v>58</v>
      </c>
      <c r="AH1314">
        <v>8</v>
      </c>
      <c r="AI1314" t="s">
        <v>169</v>
      </c>
      <c r="AJ1314" t="s">
        <v>60</v>
      </c>
      <c r="AL1314" t="s">
        <v>380</v>
      </c>
      <c r="AM1314" t="s">
        <v>245</v>
      </c>
      <c r="AN1314" t="s">
        <v>63</v>
      </c>
      <c r="AO1314" t="s">
        <v>6751</v>
      </c>
      <c r="AP1314" t="s">
        <v>6848</v>
      </c>
    </row>
    <row r="1315" spans="1:42" x14ac:dyDescent="0.45">
      <c r="A1315" t="s">
        <v>6617</v>
      </c>
      <c r="B1315" t="s">
        <v>6618</v>
      </c>
      <c r="C1315" t="s">
        <v>6743</v>
      </c>
      <c r="D1315">
        <v>2023</v>
      </c>
      <c r="E1315" t="s">
        <v>45</v>
      </c>
      <c r="F1315" t="s">
        <v>6620</v>
      </c>
      <c r="J1315" t="s">
        <v>6852</v>
      </c>
      <c r="K1315" t="s">
        <v>6853</v>
      </c>
      <c r="L1315" t="s">
        <v>6854</v>
      </c>
      <c r="M1315" t="s">
        <v>6855</v>
      </c>
      <c r="N1315" t="s">
        <v>51</v>
      </c>
      <c r="O1315" t="s">
        <v>52</v>
      </c>
      <c r="P1315" t="s">
        <v>53</v>
      </c>
      <c r="Q1315" t="s">
        <v>6748</v>
      </c>
      <c r="S1315">
        <v>27</v>
      </c>
      <c r="T1315" t="s">
        <v>6856</v>
      </c>
      <c r="U1315">
        <v>514</v>
      </c>
      <c r="Y1315" t="s">
        <v>6750</v>
      </c>
      <c r="Z1315">
        <v>1297.79</v>
      </c>
      <c r="AA1315">
        <v>1095.92</v>
      </c>
      <c r="AB1315">
        <v>1422271</v>
      </c>
      <c r="AC1315" t="b">
        <v>0</v>
      </c>
      <c r="AD1315" t="b">
        <v>0</v>
      </c>
      <c r="AE1315" t="b">
        <v>0</v>
      </c>
      <c r="AF1315" t="b">
        <v>0</v>
      </c>
      <c r="AG1315" t="s">
        <v>58</v>
      </c>
      <c r="AH1315">
        <v>8</v>
      </c>
      <c r="AI1315" t="s">
        <v>169</v>
      </c>
      <c r="AJ1315" t="s">
        <v>60</v>
      </c>
      <c r="AL1315" t="s">
        <v>380</v>
      </c>
      <c r="AM1315" t="s">
        <v>245</v>
      </c>
      <c r="AN1315" t="s">
        <v>63</v>
      </c>
      <c r="AO1315" t="s">
        <v>6751</v>
      </c>
      <c r="AP1315" t="s">
        <v>6853</v>
      </c>
    </row>
    <row r="1316" spans="1:42" x14ac:dyDescent="0.45">
      <c r="A1316" t="s">
        <v>6617</v>
      </c>
      <c r="B1316" t="s">
        <v>6618</v>
      </c>
      <c r="C1316" t="s">
        <v>6743</v>
      </c>
      <c r="D1316">
        <v>2023</v>
      </c>
      <c r="E1316" t="s">
        <v>45</v>
      </c>
      <c r="F1316" t="s">
        <v>6620</v>
      </c>
      <c r="J1316" t="s">
        <v>6857</v>
      </c>
      <c r="K1316" t="s">
        <v>6858</v>
      </c>
      <c r="L1316" t="s">
        <v>6839</v>
      </c>
      <c r="M1316" t="s">
        <v>6840</v>
      </c>
      <c r="N1316" t="s">
        <v>89</v>
      </c>
      <c r="O1316" t="s">
        <v>90</v>
      </c>
      <c r="P1316" t="s">
        <v>91</v>
      </c>
      <c r="Q1316" t="s">
        <v>6748</v>
      </c>
      <c r="S1316">
        <v>1</v>
      </c>
      <c r="T1316" t="s">
        <v>6859</v>
      </c>
      <c r="U1316">
        <v>17270</v>
      </c>
      <c r="Y1316" t="s">
        <v>6750</v>
      </c>
      <c r="Z1316">
        <v>1298.83</v>
      </c>
      <c r="AA1316">
        <v>1092.29</v>
      </c>
      <c r="AB1316">
        <v>1418696</v>
      </c>
      <c r="AC1316" t="b">
        <v>0</v>
      </c>
      <c r="AD1316" t="b">
        <v>0</v>
      </c>
      <c r="AE1316" t="b">
        <v>0</v>
      </c>
      <c r="AF1316" t="b">
        <v>0</v>
      </c>
      <c r="AG1316" t="s">
        <v>58</v>
      </c>
      <c r="AH1316">
        <v>10</v>
      </c>
      <c r="AI1316" t="s">
        <v>386</v>
      </c>
      <c r="AJ1316" t="s">
        <v>387</v>
      </c>
      <c r="AL1316" t="s">
        <v>983</v>
      </c>
      <c r="AM1316" t="s">
        <v>245</v>
      </c>
      <c r="AN1316" t="s">
        <v>63</v>
      </c>
      <c r="AO1316" t="s">
        <v>6751</v>
      </c>
      <c r="AP1316" t="s">
        <v>6858</v>
      </c>
    </row>
    <row r="1317" spans="1:42" x14ac:dyDescent="0.45">
      <c r="A1317" t="s">
        <v>6617</v>
      </c>
      <c r="B1317" t="s">
        <v>6618</v>
      </c>
      <c r="C1317" t="s">
        <v>6743</v>
      </c>
      <c r="D1317">
        <v>2023</v>
      </c>
      <c r="E1317" t="s">
        <v>45</v>
      </c>
      <c r="F1317" t="s">
        <v>6620</v>
      </c>
      <c r="J1317" t="s">
        <v>6860</v>
      </c>
      <c r="K1317" t="s">
        <v>6861</v>
      </c>
      <c r="L1317" t="s">
        <v>6862</v>
      </c>
      <c r="M1317" t="s">
        <v>6863</v>
      </c>
      <c r="N1317" t="s">
        <v>51</v>
      </c>
      <c r="O1317" t="s">
        <v>52</v>
      </c>
      <c r="P1317" t="s">
        <v>53</v>
      </c>
      <c r="Q1317" t="s">
        <v>6748</v>
      </c>
      <c r="S1317">
        <v>22</v>
      </c>
      <c r="T1317" t="s">
        <v>6864</v>
      </c>
      <c r="U1317">
        <v>504</v>
      </c>
      <c r="Y1317" t="s">
        <v>6750</v>
      </c>
      <c r="Z1317">
        <v>1300.79</v>
      </c>
      <c r="AA1317">
        <v>0.87</v>
      </c>
      <c r="AB1317">
        <v>1127</v>
      </c>
      <c r="AC1317" t="b">
        <v>0</v>
      </c>
      <c r="AD1317" t="b">
        <v>0</v>
      </c>
      <c r="AE1317" t="b">
        <v>0</v>
      </c>
      <c r="AF1317" t="b">
        <v>0</v>
      </c>
      <c r="AG1317" t="s">
        <v>58</v>
      </c>
      <c r="AH1317">
        <v>8</v>
      </c>
      <c r="AI1317" t="s">
        <v>169</v>
      </c>
      <c r="AJ1317" t="s">
        <v>60</v>
      </c>
      <c r="AL1317" t="s">
        <v>380</v>
      </c>
      <c r="AM1317" t="s">
        <v>245</v>
      </c>
      <c r="AN1317" t="s">
        <v>63</v>
      </c>
      <c r="AO1317" t="s">
        <v>6751</v>
      </c>
      <c r="AP1317" t="s">
        <v>6861</v>
      </c>
    </row>
    <row r="1318" spans="1:42" x14ac:dyDescent="0.45">
      <c r="A1318" t="s">
        <v>6617</v>
      </c>
      <c r="B1318" t="s">
        <v>6618</v>
      </c>
      <c r="C1318" t="s">
        <v>6743</v>
      </c>
      <c r="D1318">
        <v>2023</v>
      </c>
      <c r="E1318" t="s">
        <v>45</v>
      </c>
      <c r="F1318" t="s">
        <v>6620</v>
      </c>
      <c r="J1318" t="s">
        <v>6865</v>
      </c>
      <c r="K1318" t="s">
        <v>6866</v>
      </c>
      <c r="L1318" t="s">
        <v>6867</v>
      </c>
      <c r="M1318" t="s">
        <v>6868</v>
      </c>
      <c r="N1318" t="s">
        <v>51</v>
      </c>
      <c r="O1318" t="s">
        <v>52</v>
      </c>
      <c r="P1318" t="s">
        <v>53</v>
      </c>
      <c r="Q1318" t="s">
        <v>6748</v>
      </c>
      <c r="S1318">
        <v>2</v>
      </c>
      <c r="T1318" t="s">
        <v>6869</v>
      </c>
      <c r="U1318">
        <v>691</v>
      </c>
      <c r="Y1318" t="s">
        <v>6750</v>
      </c>
      <c r="Z1318">
        <v>1307.1199999999999</v>
      </c>
      <c r="AA1318">
        <v>81.2</v>
      </c>
      <c r="AB1318">
        <v>106139</v>
      </c>
      <c r="AC1318" t="b">
        <v>0</v>
      </c>
      <c r="AD1318" t="b">
        <v>0</v>
      </c>
      <c r="AE1318" t="b">
        <v>0</v>
      </c>
      <c r="AF1318" t="b">
        <v>0</v>
      </c>
      <c r="AG1318" t="s">
        <v>58</v>
      </c>
      <c r="AH1318">
        <v>8</v>
      </c>
      <c r="AI1318" t="s">
        <v>169</v>
      </c>
      <c r="AJ1318" t="s">
        <v>60</v>
      </c>
      <c r="AL1318" t="s">
        <v>380</v>
      </c>
      <c r="AM1318" t="s">
        <v>245</v>
      </c>
      <c r="AN1318" t="s">
        <v>63</v>
      </c>
      <c r="AO1318" t="s">
        <v>6751</v>
      </c>
      <c r="AP1318" t="s">
        <v>6866</v>
      </c>
    </row>
    <row r="1319" spans="1:42" x14ac:dyDescent="0.45">
      <c r="A1319" t="s">
        <v>6617</v>
      </c>
      <c r="B1319" t="s">
        <v>6618</v>
      </c>
      <c r="C1319" t="s">
        <v>6743</v>
      </c>
      <c r="D1319">
        <v>2023</v>
      </c>
      <c r="E1319" t="s">
        <v>45</v>
      </c>
      <c r="F1319" t="s">
        <v>6620</v>
      </c>
      <c r="J1319" t="s">
        <v>6870</v>
      </c>
      <c r="K1319" t="s">
        <v>6871</v>
      </c>
      <c r="L1319" t="s">
        <v>6872</v>
      </c>
      <c r="M1319" t="s">
        <v>6873</v>
      </c>
      <c r="N1319" t="s">
        <v>51</v>
      </c>
      <c r="O1319" t="s">
        <v>52</v>
      </c>
      <c r="P1319" t="s">
        <v>53</v>
      </c>
      <c r="Q1319" t="s">
        <v>6748</v>
      </c>
      <c r="S1319">
        <v>18</v>
      </c>
      <c r="T1319" t="s">
        <v>6874</v>
      </c>
      <c r="U1319">
        <v>449</v>
      </c>
      <c r="Y1319" t="s">
        <v>6750</v>
      </c>
      <c r="Z1319">
        <v>1301.75</v>
      </c>
      <c r="AA1319">
        <v>116.76</v>
      </c>
      <c r="AB1319">
        <v>151988</v>
      </c>
      <c r="AC1319" t="b">
        <v>0</v>
      </c>
      <c r="AD1319" t="b">
        <v>0</v>
      </c>
      <c r="AE1319" t="b">
        <v>0</v>
      </c>
      <c r="AF1319" t="b">
        <v>0</v>
      </c>
      <c r="AG1319" t="s">
        <v>58</v>
      </c>
      <c r="AH1319">
        <v>8</v>
      </c>
      <c r="AI1319" t="s">
        <v>169</v>
      </c>
      <c r="AJ1319" t="s">
        <v>60</v>
      </c>
      <c r="AL1319" t="s">
        <v>380</v>
      </c>
      <c r="AM1319" t="s">
        <v>245</v>
      </c>
      <c r="AN1319" t="s">
        <v>63</v>
      </c>
      <c r="AO1319" t="s">
        <v>6751</v>
      </c>
      <c r="AP1319" t="s">
        <v>6871</v>
      </c>
    </row>
    <row r="1320" spans="1:42" x14ac:dyDescent="0.45">
      <c r="A1320" t="s">
        <v>6617</v>
      </c>
      <c r="B1320" t="s">
        <v>6618</v>
      </c>
      <c r="C1320" t="s">
        <v>6743</v>
      </c>
      <c r="D1320">
        <v>2023</v>
      </c>
      <c r="E1320" t="s">
        <v>45</v>
      </c>
      <c r="F1320" t="s">
        <v>6620</v>
      </c>
      <c r="J1320" t="s">
        <v>6875</v>
      </c>
      <c r="K1320" t="s">
        <v>6876</v>
      </c>
      <c r="L1320" t="s">
        <v>6877</v>
      </c>
      <c r="M1320" t="s">
        <v>6878</v>
      </c>
      <c r="N1320" t="s">
        <v>51</v>
      </c>
      <c r="O1320" t="s">
        <v>52</v>
      </c>
      <c r="P1320" t="s">
        <v>53</v>
      </c>
      <c r="Q1320" t="s">
        <v>6748</v>
      </c>
      <c r="S1320">
        <v>28</v>
      </c>
      <c r="T1320" t="s">
        <v>6879</v>
      </c>
      <c r="U1320">
        <v>355</v>
      </c>
      <c r="Y1320" t="s">
        <v>6750</v>
      </c>
      <c r="Z1320">
        <v>1294.75</v>
      </c>
      <c r="AA1320">
        <v>9.68</v>
      </c>
      <c r="AB1320">
        <v>12528</v>
      </c>
      <c r="AC1320" t="b">
        <v>0</v>
      </c>
      <c r="AD1320" t="b">
        <v>0</v>
      </c>
      <c r="AE1320" t="b">
        <v>0</v>
      </c>
      <c r="AF1320" t="b">
        <v>0</v>
      </c>
      <c r="AG1320" t="s">
        <v>58</v>
      </c>
      <c r="AH1320">
        <v>8</v>
      </c>
      <c r="AI1320" t="s">
        <v>169</v>
      </c>
      <c r="AJ1320" t="s">
        <v>60</v>
      </c>
      <c r="AL1320" t="s">
        <v>380</v>
      </c>
      <c r="AM1320" t="s">
        <v>245</v>
      </c>
      <c r="AN1320" t="s">
        <v>63</v>
      </c>
      <c r="AO1320" t="s">
        <v>6751</v>
      </c>
      <c r="AP1320" t="s">
        <v>6876</v>
      </c>
    </row>
    <row r="1321" spans="1:42" x14ac:dyDescent="0.45">
      <c r="A1321" t="s">
        <v>6617</v>
      </c>
      <c r="B1321" t="s">
        <v>6618</v>
      </c>
      <c r="C1321" t="s">
        <v>6743</v>
      </c>
      <c r="D1321">
        <v>2023</v>
      </c>
      <c r="E1321" t="s">
        <v>45</v>
      </c>
      <c r="F1321" t="s">
        <v>6620</v>
      </c>
      <c r="J1321" t="s">
        <v>6880</v>
      </c>
      <c r="K1321" t="s">
        <v>6881</v>
      </c>
      <c r="L1321" t="s">
        <v>6882</v>
      </c>
      <c r="M1321" t="s">
        <v>6883</v>
      </c>
      <c r="N1321" t="s">
        <v>51</v>
      </c>
      <c r="O1321" t="s">
        <v>52</v>
      </c>
      <c r="P1321" t="s">
        <v>53</v>
      </c>
      <c r="Q1321" t="s">
        <v>6748</v>
      </c>
      <c r="S1321">
        <v>11</v>
      </c>
      <c r="T1321" t="s">
        <v>6884</v>
      </c>
      <c r="U1321">
        <v>262</v>
      </c>
      <c r="Y1321" t="s">
        <v>6750</v>
      </c>
      <c r="Z1321">
        <v>1305.1199999999999</v>
      </c>
      <c r="AA1321">
        <v>4.24</v>
      </c>
      <c r="AB1321">
        <v>5528</v>
      </c>
      <c r="AC1321" t="b">
        <v>0</v>
      </c>
      <c r="AD1321" t="b">
        <v>0</v>
      </c>
      <c r="AE1321" t="b">
        <v>0</v>
      </c>
      <c r="AF1321" t="b">
        <v>0</v>
      </c>
      <c r="AG1321" t="s">
        <v>58</v>
      </c>
      <c r="AH1321">
        <v>8</v>
      </c>
      <c r="AI1321" t="s">
        <v>169</v>
      </c>
      <c r="AJ1321" t="s">
        <v>60</v>
      </c>
      <c r="AL1321" t="s">
        <v>380</v>
      </c>
      <c r="AM1321" t="s">
        <v>245</v>
      </c>
      <c r="AN1321" t="s">
        <v>63</v>
      </c>
      <c r="AO1321" t="s">
        <v>6751</v>
      </c>
      <c r="AP1321" t="s">
        <v>6881</v>
      </c>
    </row>
    <row r="1322" spans="1:42" x14ac:dyDescent="0.45">
      <c r="A1322" t="s">
        <v>6617</v>
      </c>
      <c r="B1322" t="s">
        <v>6618</v>
      </c>
      <c r="C1322" t="s">
        <v>6743</v>
      </c>
      <c r="D1322">
        <v>2023</v>
      </c>
      <c r="E1322" t="s">
        <v>45</v>
      </c>
      <c r="F1322" t="s">
        <v>6620</v>
      </c>
      <c r="J1322" t="s">
        <v>6885</v>
      </c>
      <c r="K1322" t="s">
        <v>6886</v>
      </c>
      <c r="L1322" t="s">
        <v>6887</v>
      </c>
      <c r="M1322" t="s">
        <v>6888</v>
      </c>
      <c r="N1322" t="s">
        <v>51</v>
      </c>
      <c r="O1322" t="s">
        <v>52</v>
      </c>
      <c r="P1322" t="s">
        <v>53</v>
      </c>
      <c r="Q1322" t="s">
        <v>6748</v>
      </c>
      <c r="S1322">
        <v>20</v>
      </c>
      <c r="T1322" t="s">
        <v>6889</v>
      </c>
      <c r="U1322">
        <v>313</v>
      </c>
      <c r="Y1322" t="s">
        <v>6750</v>
      </c>
      <c r="Z1322">
        <v>1298.1199999999999</v>
      </c>
      <c r="AA1322">
        <v>1001.84</v>
      </c>
      <c r="AB1322">
        <v>1300517</v>
      </c>
      <c r="AC1322" t="b">
        <v>0</v>
      </c>
      <c r="AD1322" t="b">
        <v>0</v>
      </c>
      <c r="AE1322" t="b">
        <v>0</v>
      </c>
      <c r="AF1322" t="b">
        <v>0</v>
      </c>
      <c r="AG1322" t="s">
        <v>58</v>
      </c>
      <c r="AH1322">
        <v>8</v>
      </c>
      <c r="AI1322" t="s">
        <v>169</v>
      </c>
      <c r="AJ1322" t="s">
        <v>60</v>
      </c>
      <c r="AL1322" t="s">
        <v>380</v>
      </c>
      <c r="AM1322" t="s">
        <v>245</v>
      </c>
      <c r="AN1322" t="s">
        <v>63</v>
      </c>
      <c r="AO1322" t="s">
        <v>6751</v>
      </c>
      <c r="AP1322" t="s">
        <v>6886</v>
      </c>
    </row>
    <row r="1323" spans="1:42" x14ac:dyDescent="0.45">
      <c r="A1323" t="s">
        <v>6617</v>
      </c>
      <c r="B1323" t="s">
        <v>6618</v>
      </c>
      <c r="C1323" t="s">
        <v>6743</v>
      </c>
      <c r="D1323">
        <v>2023</v>
      </c>
      <c r="E1323" t="s">
        <v>45</v>
      </c>
      <c r="F1323" t="s">
        <v>6620</v>
      </c>
      <c r="J1323" t="s">
        <v>6890</v>
      </c>
      <c r="K1323" t="s">
        <v>6891</v>
      </c>
      <c r="L1323" t="s">
        <v>6892</v>
      </c>
      <c r="M1323" t="s">
        <v>6893</v>
      </c>
      <c r="N1323" t="s">
        <v>51</v>
      </c>
      <c r="O1323" t="s">
        <v>52</v>
      </c>
      <c r="P1323" t="s">
        <v>53</v>
      </c>
      <c r="Q1323" t="s">
        <v>6748</v>
      </c>
      <c r="S1323">
        <v>7</v>
      </c>
      <c r="T1323" t="s">
        <v>6894</v>
      </c>
      <c r="U1323">
        <v>179</v>
      </c>
      <c r="Y1323" t="s">
        <v>6750</v>
      </c>
      <c r="Z1323">
        <v>1312.79</v>
      </c>
      <c r="AA1323">
        <v>22.76</v>
      </c>
      <c r="AB1323">
        <v>29882</v>
      </c>
      <c r="AC1323" t="b">
        <v>0</v>
      </c>
      <c r="AD1323" t="b">
        <v>0</v>
      </c>
      <c r="AE1323" t="b">
        <v>0</v>
      </c>
      <c r="AF1323" t="b">
        <v>0</v>
      </c>
      <c r="AG1323" t="s">
        <v>58</v>
      </c>
      <c r="AH1323">
        <v>-15</v>
      </c>
      <c r="AI1323" t="s">
        <v>59</v>
      </c>
      <c r="AJ1323" t="s">
        <v>60</v>
      </c>
      <c r="AK1323" t="s">
        <v>162</v>
      </c>
      <c r="AL1323" t="s">
        <v>163</v>
      </c>
      <c r="AM1323" t="s">
        <v>245</v>
      </c>
      <c r="AN1323" t="s">
        <v>63</v>
      </c>
      <c r="AO1323" t="s">
        <v>6751</v>
      </c>
      <c r="AP1323" t="s">
        <v>6891</v>
      </c>
    </row>
    <row r="1324" spans="1:42" x14ac:dyDescent="0.45">
      <c r="A1324" t="s">
        <v>6617</v>
      </c>
      <c r="B1324" t="s">
        <v>6618</v>
      </c>
      <c r="C1324" t="s">
        <v>6895</v>
      </c>
      <c r="D1324">
        <v>2024</v>
      </c>
      <c r="E1324" t="s">
        <v>45</v>
      </c>
      <c r="F1324" t="s">
        <v>6620</v>
      </c>
      <c r="J1324" t="s">
        <v>6896</v>
      </c>
      <c r="K1324" t="s">
        <v>6897</v>
      </c>
      <c r="L1324" t="s">
        <v>6898</v>
      </c>
      <c r="M1324" t="s">
        <v>6899</v>
      </c>
      <c r="N1324" t="s">
        <v>51</v>
      </c>
      <c r="O1324" t="s">
        <v>52</v>
      </c>
      <c r="P1324" t="s">
        <v>53</v>
      </c>
      <c r="Q1324" t="s">
        <v>6900</v>
      </c>
      <c r="S1324">
        <v>10</v>
      </c>
      <c r="T1324" t="s">
        <v>6901</v>
      </c>
      <c r="U1324">
        <v>309</v>
      </c>
      <c r="Y1324" t="s">
        <v>6902</v>
      </c>
      <c r="Z1324">
        <v>913.79</v>
      </c>
      <c r="AA1324">
        <v>795.6</v>
      </c>
      <c r="AB1324">
        <v>727015</v>
      </c>
      <c r="AC1324" t="b">
        <v>0</v>
      </c>
      <c r="AD1324" t="b">
        <v>0</v>
      </c>
      <c r="AE1324" t="b">
        <v>0</v>
      </c>
      <c r="AF1324" t="b">
        <v>0</v>
      </c>
      <c r="AG1324" t="s">
        <v>58</v>
      </c>
      <c r="AH1324">
        <v>8</v>
      </c>
      <c r="AI1324" t="s">
        <v>169</v>
      </c>
      <c r="AJ1324" t="s">
        <v>60</v>
      </c>
      <c r="AL1324" t="s">
        <v>380</v>
      </c>
      <c r="AM1324" t="s">
        <v>245</v>
      </c>
      <c r="AN1324" t="s">
        <v>63</v>
      </c>
      <c r="AO1324" t="s">
        <v>6903</v>
      </c>
      <c r="AP1324" t="s">
        <v>6897</v>
      </c>
    </row>
    <row r="1325" spans="1:42" x14ac:dyDescent="0.45">
      <c r="A1325" t="s">
        <v>6617</v>
      </c>
      <c r="B1325" t="s">
        <v>6618</v>
      </c>
      <c r="C1325" t="s">
        <v>6895</v>
      </c>
      <c r="D1325">
        <v>2024</v>
      </c>
      <c r="E1325" t="s">
        <v>45</v>
      </c>
      <c r="F1325" t="s">
        <v>6620</v>
      </c>
      <c r="J1325" t="s">
        <v>6904</v>
      </c>
      <c r="K1325" t="s">
        <v>6905</v>
      </c>
      <c r="L1325" t="s">
        <v>6906</v>
      </c>
      <c r="M1325" t="s">
        <v>6907</v>
      </c>
      <c r="N1325" t="s">
        <v>51</v>
      </c>
      <c r="O1325" t="s">
        <v>52</v>
      </c>
      <c r="P1325" t="s">
        <v>53</v>
      </c>
      <c r="Q1325" t="s">
        <v>6900</v>
      </c>
      <c r="S1325">
        <v>11</v>
      </c>
      <c r="T1325" t="s">
        <v>6908</v>
      </c>
      <c r="U1325">
        <v>346</v>
      </c>
      <c r="Y1325" t="s">
        <v>6902</v>
      </c>
      <c r="Z1325">
        <v>912.25</v>
      </c>
      <c r="AA1325">
        <v>655.02</v>
      </c>
      <c r="AB1325">
        <v>597545</v>
      </c>
      <c r="AC1325" t="b">
        <v>0</v>
      </c>
      <c r="AD1325" t="b">
        <v>0</v>
      </c>
      <c r="AE1325" t="b">
        <v>0</v>
      </c>
      <c r="AF1325" t="b">
        <v>0</v>
      </c>
      <c r="AG1325" t="s">
        <v>58</v>
      </c>
      <c r="AH1325">
        <v>8</v>
      </c>
      <c r="AI1325" t="s">
        <v>169</v>
      </c>
      <c r="AJ1325" t="s">
        <v>60</v>
      </c>
      <c r="AL1325" t="s">
        <v>380</v>
      </c>
      <c r="AM1325" t="s">
        <v>245</v>
      </c>
      <c r="AN1325" t="s">
        <v>63</v>
      </c>
      <c r="AO1325" t="s">
        <v>6903</v>
      </c>
      <c r="AP1325" t="s">
        <v>6905</v>
      </c>
    </row>
    <row r="1326" spans="1:42" x14ac:dyDescent="0.45">
      <c r="A1326" t="s">
        <v>6617</v>
      </c>
      <c r="B1326" t="s">
        <v>6618</v>
      </c>
      <c r="C1326" t="s">
        <v>6895</v>
      </c>
      <c r="D1326">
        <v>2024</v>
      </c>
      <c r="E1326" t="s">
        <v>45</v>
      </c>
      <c r="F1326" t="s">
        <v>6620</v>
      </c>
      <c r="J1326" t="s">
        <v>6909</v>
      </c>
      <c r="K1326" t="s">
        <v>6910</v>
      </c>
      <c r="L1326" t="s">
        <v>6911</v>
      </c>
      <c r="M1326" t="s">
        <v>6912</v>
      </c>
      <c r="N1326" t="s">
        <v>51</v>
      </c>
      <c r="O1326" t="s">
        <v>52</v>
      </c>
      <c r="P1326" t="s">
        <v>53</v>
      </c>
      <c r="Q1326" t="s">
        <v>6900</v>
      </c>
      <c r="S1326">
        <v>8</v>
      </c>
      <c r="T1326" t="s">
        <v>6913</v>
      </c>
      <c r="U1326">
        <v>203</v>
      </c>
      <c r="Y1326" t="s">
        <v>6902</v>
      </c>
      <c r="Z1326">
        <v>907.79</v>
      </c>
      <c r="AA1326">
        <v>1514.3</v>
      </c>
      <c r="AB1326">
        <v>1374664</v>
      </c>
      <c r="AC1326" t="b">
        <v>0</v>
      </c>
      <c r="AD1326" t="b">
        <v>0</v>
      </c>
      <c r="AE1326" t="b">
        <v>0</v>
      </c>
      <c r="AF1326" t="b">
        <v>0</v>
      </c>
      <c r="AG1326" t="s">
        <v>58</v>
      </c>
      <c r="AH1326">
        <v>8</v>
      </c>
      <c r="AI1326" t="s">
        <v>169</v>
      </c>
      <c r="AJ1326" t="s">
        <v>60</v>
      </c>
      <c r="AL1326" t="s">
        <v>380</v>
      </c>
      <c r="AM1326" t="s">
        <v>245</v>
      </c>
      <c r="AN1326" t="s">
        <v>63</v>
      </c>
      <c r="AO1326" t="s">
        <v>6903</v>
      </c>
      <c r="AP1326" t="s">
        <v>6910</v>
      </c>
    </row>
    <row r="1327" spans="1:42" x14ac:dyDescent="0.45">
      <c r="A1327" t="s">
        <v>6617</v>
      </c>
      <c r="B1327" t="s">
        <v>6618</v>
      </c>
      <c r="C1327" t="s">
        <v>6895</v>
      </c>
      <c r="D1327">
        <v>2024</v>
      </c>
      <c r="E1327" t="s">
        <v>45</v>
      </c>
      <c r="F1327" t="s">
        <v>6620</v>
      </c>
      <c r="J1327" t="s">
        <v>6914</v>
      </c>
      <c r="K1327" t="s">
        <v>6915</v>
      </c>
      <c r="L1327" t="s">
        <v>6916</v>
      </c>
      <c r="M1327" t="s">
        <v>6917</v>
      </c>
      <c r="N1327" t="s">
        <v>546</v>
      </c>
      <c r="O1327" t="s">
        <v>547</v>
      </c>
      <c r="P1327" t="s">
        <v>293</v>
      </c>
      <c r="Q1327" t="s">
        <v>6900</v>
      </c>
      <c r="S1327">
        <v>13</v>
      </c>
      <c r="T1327" t="s">
        <v>6918</v>
      </c>
      <c r="U1327">
        <v>3848</v>
      </c>
      <c r="Y1327" t="s">
        <v>6902</v>
      </c>
      <c r="Z1327">
        <v>913.12</v>
      </c>
      <c r="AA1327">
        <v>564.63</v>
      </c>
      <c r="AB1327">
        <v>515574</v>
      </c>
      <c r="AC1327" t="b">
        <v>0</v>
      </c>
      <c r="AD1327" t="b">
        <v>0</v>
      </c>
      <c r="AE1327" t="b">
        <v>0</v>
      </c>
      <c r="AF1327" t="b">
        <v>0</v>
      </c>
      <c r="AG1327" t="s">
        <v>58</v>
      </c>
      <c r="AH1327">
        <v>2</v>
      </c>
      <c r="AI1327" t="s">
        <v>59</v>
      </c>
      <c r="AJ1327" t="s">
        <v>60</v>
      </c>
      <c r="AL1327" t="s">
        <v>6919</v>
      </c>
      <c r="AM1327" t="s">
        <v>245</v>
      </c>
      <c r="AN1327" t="s">
        <v>63</v>
      </c>
      <c r="AO1327" t="s">
        <v>6903</v>
      </c>
      <c r="AP1327" t="s">
        <v>6915</v>
      </c>
    </row>
    <row r="1328" spans="1:42" x14ac:dyDescent="0.45">
      <c r="A1328" t="s">
        <v>6617</v>
      </c>
      <c r="B1328" t="s">
        <v>6618</v>
      </c>
      <c r="C1328" t="s">
        <v>6895</v>
      </c>
      <c r="D1328">
        <v>2024</v>
      </c>
      <c r="E1328" t="s">
        <v>45</v>
      </c>
      <c r="F1328" t="s">
        <v>6620</v>
      </c>
      <c r="J1328" t="s">
        <v>231</v>
      </c>
      <c r="K1328" t="s">
        <v>6920</v>
      </c>
      <c r="L1328" t="s">
        <v>233</v>
      </c>
      <c r="M1328" t="s">
        <v>234</v>
      </c>
      <c r="N1328" t="s">
        <v>51</v>
      </c>
      <c r="O1328" t="s">
        <v>52</v>
      </c>
      <c r="P1328" t="s">
        <v>53</v>
      </c>
      <c r="Q1328" t="s">
        <v>6900</v>
      </c>
      <c r="S1328">
        <v>9</v>
      </c>
      <c r="T1328" t="s">
        <v>235</v>
      </c>
      <c r="U1328">
        <v>337</v>
      </c>
      <c r="Y1328" t="s">
        <v>6902</v>
      </c>
      <c r="Z1328">
        <v>913.25</v>
      </c>
      <c r="AA1328">
        <v>855.18</v>
      </c>
      <c r="AB1328">
        <v>780987</v>
      </c>
      <c r="AC1328" t="b">
        <v>0</v>
      </c>
      <c r="AD1328" t="b">
        <v>0</v>
      </c>
      <c r="AE1328" t="b">
        <v>0</v>
      </c>
      <c r="AF1328" t="b">
        <v>0</v>
      </c>
      <c r="AG1328" t="s">
        <v>58</v>
      </c>
      <c r="AH1328">
        <v>8</v>
      </c>
      <c r="AI1328" t="s">
        <v>169</v>
      </c>
      <c r="AJ1328" t="s">
        <v>60</v>
      </c>
      <c r="AL1328" t="s">
        <v>380</v>
      </c>
      <c r="AM1328" t="s">
        <v>245</v>
      </c>
      <c r="AN1328" t="s">
        <v>63</v>
      </c>
      <c r="AO1328" t="s">
        <v>6903</v>
      </c>
      <c r="AP1328" t="s">
        <v>6920</v>
      </c>
    </row>
    <row r="1329" spans="1:42" x14ac:dyDescent="0.45">
      <c r="A1329" t="s">
        <v>6617</v>
      </c>
      <c r="B1329" t="s">
        <v>6618</v>
      </c>
      <c r="C1329" t="s">
        <v>6895</v>
      </c>
      <c r="D1329">
        <v>2024</v>
      </c>
      <c r="E1329" t="s">
        <v>45</v>
      </c>
      <c r="F1329" t="s">
        <v>6620</v>
      </c>
      <c r="J1329" t="s">
        <v>6921</v>
      </c>
      <c r="K1329" t="s">
        <v>6922</v>
      </c>
      <c r="L1329" t="s">
        <v>6923</v>
      </c>
      <c r="M1329" t="s">
        <v>6924</v>
      </c>
      <c r="N1329" t="s">
        <v>51</v>
      </c>
      <c r="O1329" t="s">
        <v>52</v>
      </c>
      <c r="P1329" t="s">
        <v>53</v>
      </c>
      <c r="Q1329" t="s">
        <v>6900</v>
      </c>
      <c r="S1329">
        <v>12</v>
      </c>
      <c r="T1329" t="s">
        <v>6925</v>
      </c>
      <c r="U1329">
        <v>670</v>
      </c>
      <c r="Y1329" t="s">
        <v>6902</v>
      </c>
      <c r="Z1329">
        <v>917.75</v>
      </c>
      <c r="AA1329">
        <v>648.58000000000004</v>
      </c>
      <c r="AB1329">
        <v>595230</v>
      </c>
      <c r="AC1329" t="b">
        <v>0</v>
      </c>
      <c r="AD1329" t="b">
        <v>0</v>
      </c>
      <c r="AE1329" t="b">
        <v>0</v>
      </c>
      <c r="AF1329" t="b">
        <v>0</v>
      </c>
      <c r="AG1329" t="s">
        <v>58</v>
      </c>
      <c r="AH1329">
        <v>8</v>
      </c>
      <c r="AI1329" t="s">
        <v>169</v>
      </c>
      <c r="AJ1329" t="s">
        <v>60</v>
      </c>
      <c r="AL1329" t="s">
        <v>380</v>
      </c>
      <c r="AM1329" t="s">
        <v>245</v>
      </c>
      <c r="AN1329" t="s">
        <v>63</v>
      </c>
      <c r="AO1329" t="s">
        <v>6903</v>
      </c>
      <c r="AP1329" t="s">
        <v>6922</v>
      </c>
    </row>
    <row r="1330" spans="1:42" x14ac:dyDescent="0.45">
      <c r="A1330" t="s">
        <v>6617</v>
      </c>
      <c r="B1330" t="s">
        <v>6618</v>
      </c>
      <c r="C1330" t="s">
        <v>6895</v>
      </c>
      <c r="D1330">
        <v>2024</v>
      </c>
      <c r="E1330" t="s">
        <v>45</v>
      </c>
      <c r="F1330" t="s">
        <v>6620</v>
      </c>
      <c r="J1330" t="s">
        <v>6926</v>
      </c>
      <c r="K1330" t="s">
        <v>6927</v>
      </c>
      <c r="L1330" t="s">
        <v>6928</v>
      </c>
      <c r="M1330" t="s">
        <v>6929</v>
      </c>
      <c r="N1330" t="s">
        <v>51</v>
      </c>
      <c r="O1330" t="s">
        <v>52</v>
      </c>
      <c r="P1330" t="s">
        <v>53</v>
      </c>
      <c r="Q1330" t="s">
        <v>6900</v>
      </c>
      <c r="S1330">
        <v>14</v>
      </c>
      <c r="T1330" t="s">
        <v>6930</v>
      </c>
      <c r="U1330">
        <v>202</v>
      </c>
      <c r="Y1330" t="s">
        <v>6902</v>
      </c>
      <c r="Z1330">
        <v>909.81</v>
      </c>
      <c r="AA1330">
        <v>523.11</v>
      </c>
      <c r="AB1330">
        <v>475931</v>
      </c>
      <c r="AC1330" t="b">
        <v>0</v>
      </c>
      <c r="AD1330" t="b">
        <v>0</v>
      </c>
      <c r="AE1330" t="b">
        <v>0</v>
      </c>
      <c r="AF1330" t="b">
        <v>0</v>
      </c>
      <c r="AG1330" t="s">
        <v>58</v>
      </c>
      <c r="AH1330">
        <v>8</v>
      </c>
      <c r="AI1330" t="s">
        <v>169</v>
      </c>
      <c r="AJ1330" t="s">
        <v>60</v>
      </c>
      <c r="AL1330" t="s">
        <v>380</v>
      </c>
      <c r="AM1330" t="s">
        <v>245</v>
      </c>
      <c r="AN1330" t="s">
        <v>63</v>
      </c>
      <c r="AO1330" t="s">
        <v>6903</v>
      </c>
      <c r="AP1330" t="s">
        <v>6927</v>
      </c>
    </row>
    <row r="1331" spans="1:42" x14ac:dyDescent="0.45">
      <c r="A1331" t="s">
        <v>6617</v>
      </c>
      <c r="B1331" t="s">
        <v>6618</v>
      </c>
      <c r="C1331" t="s">
        <v>6895</v>
      </c>
      <c r="D1331">
        <v>2024</v>
      </c>
      <c r="E1331" t="s">
        <v>45</v>
      </c>
      <c r="F1331" t="s">
        <v>6620</v>
      </c>
      <c r="J1331" t="s">
        <v>6931</v>
      </c>
      <c r="K1331" t="s">
        <v>6932</v>
      </c>
      <c r="L1331" t="s">
        <v>6933</v>
      </c>
      <c r="M1331" t="s">
        <v>6934</v>
      </c>
      <c r="N1331" t="s">
        <v>51</v>
      </c>
      <c r="O1331" t="s">
        <v>52</v>
      </c>
      <c r="P1331" t="s">
        <v>53</v>
      </c>
      <c r="Q1331" t="s">
        <v>6900</v>
      </c>
      <c r="S1331">
        <v>17</v>
      </c>
      <c r="T1331" t="s">
        <v>6935</v>
      </c>
      <c r="U1331">
        <v>586</v>
      </c>
      <c r="Y1331" t="s">
        <v>6902</v>
      </c>
      <c r="Z1331">
        <v>917</v>
      </c>
      <c r="AA1331">
        <v>155.47</v>
      </c>
      <c r="AB1331">
        <v>142563</v>
      </c>
      <c r="AC1331" t="b">
        <v>0</v>
      </c>
      <c r="AD1331" t="b">
        <v>0</v>
      </c>
      <c r="AE1331" t="b">
        <v>0</v>
      </c>
      <c r="AF1331" t="b">
        <v>0</v>
      </c>
      <c r="AG1331" t="s">
        <v>58</v>
      </c>
      <c r="AH1331">
        <v>8</v>
      </c>
      <c r="AI1331" t="s">
        <v>169</v>
      </c>
      <c r="AJ1331" t="s">
        <v>60</v>
      </c>
      <c r="AL1331" t="s">
        <v>380</v>
      </c>
      <c r="AM1331" t="s">
        <v>245</v>
      </c>
      <c r="AN1331" t="s">
        <v>63</v>
      </c>
      <c r="AO1331" t="s">
        <v>6903</v>
      </c>
      <c r="AP1331" t="s">
        <v>6932</v>
      </c>
    </row>
    <row r="1332" spans="1:42" x14ac:dyDescent="0.45">
      <c r="A1332" t="s">
        <v>6617</v>
      </c>
      <c r="B1332" t="s">
        <v>6618</v>
      </c>
      <c r="C1332" t="s">
        <v>6895</v>
      </c>
      <c r="D1332">
        <v>2024</v>
      </c>
      <c r="E1332" t="s">
        <v>45</v>
      </c>
      <c r="F1332" t="s">
        <v>6620</v>
      </c>
      <c r="J1332" t="s">
        <v>6936</v>
      </c>
      <c r="K1332" t="s">
        <v>6937</v>
      </c>
      <c r="L1332" t="s">
        <v>6938</v>
      </c>
      <c r="M1332" t="s">
        <v>6939</v>
      </c>
      <c r="N1332" t="s">
        <v>51</v>
      </c>
      <c r="O1332" t="s">
        <v>52</v>
      </c>
      <c r="P1332" t="s">
        <v>53</v>
      </c>
      <c r="Q1332" t="s">
        <v>6900</v>
      </c>
      <c r="S1332">
        <v>18</v>
      </c>
      <c r="T1332" t="s">
        <v>6940</v>
      </c>
      <c r="U1332">
        <v>579</v>
      </c>
      <c r="Y1332" t="s">
        <v>6902</v>
      </c>
      <c r="Z1332">
        <v>880.78</v>
      </c>
      <c r="AA1332">
        <v>153.63</v>
      </c>
      <c r="AB1332">
        <v>135316</v>
      </c>
      <c r="AC1332" t="b">
        <v>0</v>
      </c>
      <c r="AD1332" t="b">
        <v>0</v>
      </c>
      <c r="AE1332" t="b">
        <v>0</v>
      </c>
      <c r="AF1332" t="b">
        <v>0</v>
      </c>
      <c r="AG1332" t="s">
        <v>58</v>
      </c>
      <c r="AH1332">
        <v>-15</v>
      </c>
      <c r="AI1332" t="s">
        <v>59</v>
      </c>
      <c r="AJ1332" t="s">
        <v>60</v>
      </c>
      <c r="AK1332" t="s">
        <v>78</v>
      </c>
      <c r="AL1332" t="s">
        <v>79</v>
      </c>
      <c r="AM1332" t="s">
        <v>245</v>
      </c>
      <c r="AN1332" t="s">
        <v>63</v>
      </c>
      <c r="AO1332" t="s">
        <v>6903</v>
      </c>
      <c r="AP1332" t="s">
        <v>6937</v>
      </c>
    </row>
    <row r="1333" spans="1:42" x14ac:dyDescent="0.45">
      <c r="A1333" t="s">
        <v>6617</v>
      </c>
      <c r="B1333" t="s">
        <v>6618</v>
      </c>
      <c r="C1333" t="s">
        <v>6895</v>
      </c>
      <c r="D1333">
        <v>2024</v>
      </c>
      <c r="E1333" t="s">
        <v>45</v>
      </c>
      <c r="F1333" t="s">
        <v>6620</v>
      </c>
      <c r="J1333" t="s">
        <v>6941</v>
      </c>
      <c r="K1333" t="s">
        <v>6942</v>
      </c>
      <c r="L1333" t="s">
        <v>6943</v>
      </c>
      <c r="M1333" t="s">
        <v>6944</v>
      </c>
      <c r="N1333" t="s">
        <v>51</v>
      </c>
      <c r="O1333" t="s">
        <v>52</v>
      </c>
      <c r="P1333" t="s">
        <v>53</v>
      </c>
      <c r="Q1333" t="s">
        <v>6900</v>
      </c>
      <c r="S1333">
        <v>7</v>
      </c>
      <c r="T1333" t="s">
        <v>6945</v>
      </c>
      <c r="U1333">
        <v>15652</v>
      </c>
      <c r="Y1333" t="s">
        <v>6902</v>
      </c>
      <c r="Z1333">
        <v>914.81</v>
      </c>
      <c r="AA1333">
        <v>2241.94</v>
      </c>
      <c r="AB1333">
        <v>2050955</v>
      </c>
      <c r="AC1333" t="b">
        <v>0</v>
      </c>
      <c r="AD1333" t="b">
        <v>0</v>
      </c>
      <c r="AE1333" t="b">
        <v>0</v>
      </c>
      <c r="AF1333" t="b">
        <v>0</v>
      </c>
      <c r="AG1333" t="s">
        <v>58</v>
      </c>
      <c r="AH1333">
        <v>10</v>
      </c>
      <c r="AI1333" t="s">
        <v>386</v>
      </c>
      <c r="AJ1333" t="s">
        <v>387</v>
      </c>
      <c r="AL1333" t="s">
        <v>983</v>
      </c>
      <c r="AM1333" t="s">
        <v>245</v>
      </c>
      <c r="AN1333" t="s">
        <v>63</v>
      </c>
      <c r="AO1333" t="s">
        <v>6903</v>
      </c>
      <c r="AP1333" t="s">
        <v>6942</v>
      </c>
    </row>
    <row r="1334" spans="1:42" x14ac:dyDescent="0.45">
      <c r="A1334" t="s">
        <v>6617</v>
      </c>
      <c r="B1334" t="s">
        <v>6618</v>
      </c>
      <c r="C1334" t="s">
        <v>6895</v>
      </c>
      <c r="D1334">
        <v>2024</v>
      </c>
      <c r="E1334" t="s">
        <v>45</v>
      </c>
      <c r="F1334" t="s">
        <v>6620</v>
      </c>
      <c r="J1334" t="s">
        <v>6946</v>
      </c>
      <c r="K1334" t="s">
        <v>6947</v>
      </c>
      <c r="L1334" t="s">
        <v>6948</v>
      </c>
      <c r="M1334" t="s">
        <v>6949</v>
      </c>
      <c r="N1334" t="s">
        <v>533</v>
      </c>
      <c r="O1334" t="s">
        <v>534</v>
      </c>
      <c r="P1334" t="s">
        <v>293</v>
      </c>
      <c r="Q1334" t="s">
        <v>6900</v>
      </c>
      <c r="S1334">
        <v>6</v>
      </c>
      <c r="T1334" t="s">
        <v>6950</v>
      </c>
      <c r="U1334">
        <v>2290</v>
      </c>
      <c r="Y1334" t="s">
        <v>6902</v>
      </c>
      <c r="Z1334">
        <v>912.16</v>
      </c>
      <c r="AA1334">
        <v>2293.89</v>
      </c>
      <c r="AB1334">
        <v>2092406</v>
      </c>
      <c r="AC1334" t="b">
        <v>0</v>
      </c>
      <c r="AD1334" t="b">
        <v>0</v>
      </c>
      <c r="AE1334" t="b">
        <v>0</v>
      </c>
      <c r="AF1334" t="b">
        <v>0</v>
      </c>
      <c r="AG1334" t="s">
        <v>58</v>
      </c>
      <c r="AH1334">
        <v>6</v>
      </c>
      <c r="AI1334" t="s">
        <v>386</v>
      </c>
      <c r="AJ1334" t="s">
        <v>387</v>
      </c>
      <c r="AL1334" t="s">
        <v>388</v>
      </c>
      <c r="AM1334" t="s">
        <v>245</v>
      </c>
      <c r="AN1334" t="s">
        <v>63</v>
      </c>
      <c r="AO1334" t="s">
        <v>6903</v>
      </c>
      <c r="AP1334" t="s">
        <v>6947</v>
      </c>
    </row>
    <row r="1335" spans="1:42" x14ac:dyDescent="0.45">
      <c r="A1335" t="s">
        <v>6617</v>
      </c>
      <c r="B1335" t="s">
        <v>6618</v>
      </c>
      <c r="C1335" t="s">
        <v>6895</v>
      </c>
      <c r="D1335">
        <v>2024</v>
      </c>
      <c r="E1335" t="s">
        <v>45</v>
      </c>
      <c r="F1335" t="s">
        <v>6620</v>
      </c>
      <c r="J1335" t="s">
        <v>6951</v>
      </c>
      <c r="K1335" t="s">
        <v>6952</v>
      </c>
      <c r="L1335" t="s">
        <v>6953</v>
      </c>
      <c r="M1335" t="s">
        <v>6954</v>
      </c>
      <c r="N1335" t="s">
        <v>51</v>
      </c>
      <c r="O1335" t="s">
        <v>52</v>
      </c>
      <c r="P1335" t="s">
        <v>53</v>
      </c>
      <c r="Q1335" t="s">
        <v>6900</v>
      </c>
      <c r="S1335">
        <v>20</v>
      </c>
      <c r="T1335" t="s">
        <v>6955</v>
      </c>
      <c r="U1335">
        <v>701</v>
      </c>
      <c r="Y1335" t="s">
        <v>6902</v>
      </c>
      <c r="Z1335">
        <v>921.74</v>
      </c>
      <c r="AA1335">
        <v>141.99</v>
      </c>
      <c r="AB1335">
        <v>130874</v>
      </c>
      <c r="AC1335" t="b">
        <v>0</v>
      </c>
      <c r="AD1335" t="b">
        <v>0</v>
      </c>
      <c r="AE1335" t="b">
        <v>0</v>
      </c>
      <c r="AF1335" t="b">
        <v>0</v>
      </c>
      <c r="AG1335" t="s">
        <v>58</v>
      </c>
      <c r="AH1335">
        <v>8</v>
      </c>
      <c r="AI1335" t="s">
        <v>169</v>
      </c>
      <c r="AJ1335" t="s">
        <v>60</v>
      </c>
      <c r="AL1335" t="s">
        <v>380</v>
      </c>
      <c r="AM1335" t="s">
        <v>245</v>
      </c>
      <c r="AN1335" t="s">
        <v>63</v>
      </c>
      <c r="AO1335" t="s">
        <v>6903</v>
      </c>
      <c r="AP1335" t="s">
        <v>6952</v>
      </c>
    </row>
    <row r="1336" spans="1:42" x14ac:dyDescent="0.45">
      <c r="A1336" t="s">
        <v>6617</v>
      </c>
      <c r="B1336" t="s">
        <v>6618</v>
      </c>
      <c r="C1336" t="s">
        <v>6895</v>
      </c>
      <c r="D1336">
        <v>2024</v>
      </c>
      <c r="E1336" t="s">
        <v>45</v>
      </c>
      <c r="F1336" t="s">
        <v>6620</v>
      </c>
      <c r="J1336" t="s">
        <v>6956</v>
      </c>
      <c r="K1336" t="s">
        <v>6957</v>
      </c>
      <c r="L1336" t="s">
        <v>6958</v>
      </c>
      <c r="M1336" t="s">
        <v>6959</v>
      </c>
      <c r="N1336" t="s">
        <v>51</v>
      </c>
      <c r="O1336" t="s">
        <v>52</v>
      </c>
      <c r="P1336" t="s">
        <v>53</v>
      </c>
      <c r="Q1336" t="s">
        <v>6900</v>
      </c>
      <c r="S1336">
        <v>23</v>
      </c>
      <c r="T1336" t="s">
        <v>6960</v>
      </c>
      <c r="U1336">
        <v>3855</v>
      </c>
      <c r="Y1336" t="s">
        <v>6902</v>
      </c>
      <c r="Z1336">
        <v>902.91</v>
      </c>
      <c r="AA1336">
        <v>114.86</v>
      </c>
      <c r="AB1336">
        <v>103706</v>
      </c>
      <c r="AC1336" t="b">
        <v>0</v>
      </c>
      <c r="AD1336" t="b">
        <v>0</v>
      </c>
      <c r="AE1336" t="b">
        <v>0</v>
      </c>
      <c r="AF1336" t="b">
        <v>0</v>
      </c>
      <c r="AG1336" t="s">
        <v>58</v>
      </c>
      <c r="AH1336">
        <v>10</v>
      </c>
      <c r="AI1336" t="s">
        <v>386</v>
      </c>
      <c r="AJ1336" t="s">
        <v>387</v>
      </c>
      <c r="AL1336" t="s">
        <v>983</v>
      </c>
      <c r="AM1336" t="s">
        <v>245</v>
      </c>
      <c r="AN1336" t="s">
        <v>63</v>
      </c>
      <c r="AO1336" t="s">
        <v>6903</v>
      </c>
      <c r="AP1336" t="s">
        <v>6957</v>
      </c>
    </row>
    <row r="1337" spans="1:42" x14ac:dyDescent="0.45">
      <c r="A1337" t="s">
        <v>6617</v>
      </c>
      <c r="B1337" t="s">
        <v>6618</v>
      </c>
      <c r="C1337" t="s">
        <v>6895</v>
      </c>
      <c r="D1337">
        <v>2024</v>
      </c>
      <c r="E1337" t="s">
        <v>45</v>
      </c>
      <c r="F1337" t="s">
        <v>6620</v>
      </c>
      <c r="J1337" t="s">
        <v>6961</v>
      </c>
      <c r="K1337" t="s">
        <v>6962</v>
      </c>
      <c r="L1337" t="s">
        <v>6963</v>
      </c>
      <c r="M1337" t="s">
        <v>6964</v>
      </c>
      <c r="N1337" t="s">
        <v>533</v>
      </c>
      <c r="O1337" t="s">
        <v>534</v>
      </c>
      <c r="P1337" t="s">
        <v>293</v>
      </c>
      <c r="Q1337" t="s">
        <v>6900</v>
      </c>
      <c r="S1337">
        <v>5</v>
      </c>
      <c r="T1337" t="s">
        <v>6965</v>
      </c>
      <c r="U1337">
        <v>795</v>
      </c>
      <c r="Y1337" t="s">
        <v>6902</v>
      </c>
      <c r="Z1337">
        <v>913.21</v>
      </c>
      <c r="AA1337">
        <v>2356.4299999999998</v>
      </c>
      <c r="AB1337">
        <v>2151911</v>
      </c>
      <c r="AC1337" t="b">
        <v>0</v>
      </c>
      <c r="AD1337" t="b">
        <v>0</v>
      </c>
      <c r="AE1337" t="b">
        <v>0</v>
      </c>
      <c r="AF1337" t="b">
        <v>0</v>
      </c>
      <c r="AG1337" t="s">
        <v>58</v>
      </c>
      <c r="AH1337">
        <v>0</v>
      </c>
      <c r="AI1337" t="s">
        <v>59</v>
      </c>
      <c r="AJ1337" t="s">
        <v>60</v>
      </c>
      <c r="AL1337" t="s">
        <v>322</v>
      </c>
      <c r="AM1337" t="s">
        <v>245</v>
      </c>
      <c r="AN1337" t="s">
        <v>63</v>
      </c>
      <c r="AO1337" t="s">
        <v>6903</v>
      </c>
      <c r="AP1337" t="s">
        <v>6962</v>
      </c>
    </row>
    <row r="1338" spans="1:42" x14ac:dyDescent="0.45">
      <c r="A1338" t="s">
        <v>6617</v>
      </c>
      <c r="B1338" t="s">
        <v>6618</v>
      </c>
      <c r="C1338" t="s">
        <v>6895</v>
      </c>
      <c r="D1338">
        <v>2024</v>
      </c>
      <c r="E1338" t="s">
        <v>45</v>
      </c>
      <c r="F1338" t="s">
        <v>6620</v>
      </c>
      <c r="J1338" t="s">
        <v>6966</v>
      </c>
      <c r="K1338" t="s">
        <v>6967</v>
      </c>
      <c r="L1338" t="s">
        <v>6968</v>
      </c>
      <c r="M1338" t="s">
        <v>6969</v>
      </c>
      <c r="N1338" t="s">
        <v>51</v>
      </c>
      <c r="O1338" t="s">
        <v>52</v>
      </c>
      <c r="P1338" t="s">
        <v>53</v>
      </c>
      <c r="Q1338" t="s">
        <v>6900</v>
      </c>
      <c r="S1338">
        <v>21</v>
      </c>
      <c r="T1338" t="s">
        <v>6970</v>
      </c>
      <c r="U1338">
        <v>786</v>
      </c>
      <c r="Y1338" t="s">
        <v>6902</v>
      </c>
      <c r="Z1338">
        <v>917.78</v>
      </c>
      <c r="AA1338">
        <v>124.4</v>
      </c>
      <c r="AB1338">
        <v>114171</v>
      </c>
      <c r="AC1338" t="b">
        <v>0</v>
      </c>
      <c r="AD1338" t="b">
        <v>0</v>
      </c>
      <c r="AE1338" t="b">
        <v>0</v>
      </c>
      <c r="AF1338" t="b">
        <v>0</v>
      </c>
      <c r="AG1338" t="s">
        <v>58</v>
      </c>
      <c r="AH1338">
        <v>8</v>
      </c>
      <c r="AI1338" t="s">
        <v>169</v>
      </c>
      <c r="AJ1338" t="s">
        <v>60</v>
      </c>
      <c r="AL1338" t="s">
        <v>380</v>
      </c>
      <c r="AM1338" t="s">
        <v>245</v>
      </c>
      <c r="AN1338" t="s">
        <v>63</v>
      </c>
      <c r="AO1338" t="s">
        <v>6903</v>
      </c>
      <c r="AP1338" t="s">
        <v>6967</v>
      </c>
    </row>
    <row r="1339" spans="1:42" x14ac:dyDescent="0.45">
      <c r="A1339" t="s">
        <v>6617</v>
      </c>
      <c r="B1339" t="s">
        <v>6618</v>
      </c>
      <c r="C1339" t="s">
        <v>6895</v>
      </c>
      <c r="D1339">
        <v>2024</v>
      </c>
      <c r="E1339" t="s">
        <v>45</v>
      </c>
      <c r="F1339" t="s">
        <v>6620</v>
      </c>
      <c r="J1339" t="s">
        <v>6971</v>
      </c>
      <c r="K1339" t="s">
        <v>6972</v>
      </c>
      <c r="L1339" t="s">
        <v>6943</v>
      </c>
      <c r="M1339" t="s">
        <v>6944</v>
      </c>
      <c r="N1339" t="s">
        <v>201</v>
      </c>
      <c r="O1339" t="s">
        <v>202</v>
      </c>
      <c r="P1339" t="s">
        <v>203</v>
      </c>
      <c r="Q1339" t="s">
        <v>6900</v>
      </c>
      <c r="S1339">
        <v>1</v>
      </c>
      <c r="T1339" t="s">
        <v>6945</v>
      </c>
      <c r="U1339">
        <v>15652</v>
      </c>
      <c r="Y1339" t="s">
        <v>6902</v>
      </c>
      <c r="Z1339">
        <v>914.81</v>
      </c>
      <c r="AA1339">
        <v>6092.76</v>
      </c>
      <c r="AB1339">
        <v>5573722</v>
      </c>
      <c r="AC1339" t="b">
        <v>0</v>
      </c>
      <c r="AD1339" t="b">
        <v>0</v>
      </c>
      <c r="AE1339" t="b">
        <v>0</v>
      </c>
      <c r="AF1339" t="b">
        <v>0</v>
      </c>
      <c r="AG1339" t="s">
        <v>58</v>
      </c>
      <c r="AH1339">
        <v>6</v>
      </c>
      <c r="AI1339" t="s">
        <v>386</v>
      </c>
      <c r="AJ1339" t="s">
        <v>387</v>
      </c>
      <c r="AL1339" t="s">
        <v>388</v>
      </c>
      <c r="AM1339" t="s">
        <v>245</v>
      </c>
      <c r="AN1339" t="s">
        <v>63</v>
      </c>
      <c r="AO1339" t="s">
        <v>6903</v>
      </c>
      <c r="AP1339" t="s">
        <v>6972</v>
      </c>
    </row>
    <row r="1340" spans="1:42" x14ac:dyDescent="0.45">
      <c r="A1340" t="s">
        <v>6617</v>
      </c>
      <c r="B1340" t="s">
        <v>6618</v>
      </c>
      <c r="C1340" t="s">
        <v>6895</v>
      </c>
      <c r="D1340">
        <v>2024</v>
      </c>
      <c r="E1340" t="s">
        <v>45</v>
      </c>
      <c r="F1340" t="s">
        <v>6620</v>
      </c>
      <c r="J1340" t="s">
        <v>6973</v>
      </c>
      <c r="K1340" t="s">
        <v>6974</v>
      </c>
      <c r="L1340" t="s">
        <v>6975</v>
      </c>
      <c r="M1340" t="s">
        <v>6976</v>
      </c>
      <c r="N1340" t="s">
        <v>89</v>
      </c>
      <c r="O1340" t="s">
        <v>90</v>
      </c>
      <c r="P1340" t="s">
        <v>91</v>
      </c>
      <c r="Q1340" t="s">
        <v>6900</v>
      </c>
      <c r="S1340">
        <v>0</v>
      </c>
      <c r="T1340" t="s">
        <v>6977</v>
      </c>
      <c r="U1340">
        <v>557</v>
      </c>
      <c r="Y1340" t="s">
        <v>6902</v>
      </c>
      <c r="Z1340">
        <v>913.21</v>
      </c>
      <c r="AA1340">
        <v>8179.35</v>
      </c>
      <c r="AB1340">
        <v>7469432</v>
      </c>
      <c r="AC1340" t="b">
        <v>0</v>
      </c>
      <c r="AD1340" t="b">
        <v>0</v>
      </c>
      <c r="AE1340" t="b">
        <v>0</v>
      </c>
      <c r="AF1340" t="b">
        <v>0</v>
      </c>
      <c r="AG1340" t="s">
        <v>58</v>
      </c>
      <c r="AH1340">
        <v>8</v>
      </c>
      <c r="AI1340" t="s">
        <v>169</v>
      </c>
      <c r="AJ1340" t="s">
        <v>60</v>
      </c>
      <c r="AL1340" t="s">
        <v>380</v>
      </c>
      <c r="AM1340" t="s">
        <v>245</v>
      </c>
      <c r="AN1340" t="s">
        <v>63</v>
      </c>
      <c r="AO1340" t="s">
        <v>6903</v>
      </c>
      <c r="AP1340" t="s">
        <v>6974</v>
      </c>
    </row>
    <row r="1341" spans="1:42" x14ac:dyDescent="0.45">
      <c r="A1341" t="s">
        <v>6617</v>
      </c>
      <c r="B1341" t="s">
        <v>6618</v>
      </c>
      <c r="C1341" t="s">
        <v>6895</v>
      </c>
      <c r="D1341">
        <v>2024</v>
      </c>
      <c r="E1341" t="s">
        <v>45</v>
      </c>
      <c r="F1341" t="s">
        <v>6620</v>
      </c>
      <c r="J1341" t="s">
        <v>6978</v>
      </c>
      <c r="K1341" t="s">
        <v>6979</v>
      </c>
      <c r="L1341" t="s">
        <v>6943</v>
      </c>
      <c r="M1341" t="s">
        <v>6944</v>
      </c>
      <c r="N1341" t="s">
        <v>89</v>
      </c>
      <c r="O1341" t="s">
        <v>90</v>
      </c>
      <c r="P1341" t="s">
        <v>91</v>
      </c>
      <c r="Q1341" t="s">
        <v>6900</v>
      </c>
      <c r="S1341">
        <v>4</v>
      </c>
      <c r="T1341" t="s">
        <v>6980</v>
      </c>
      <c r="U1341">
        <v>15329</v>
      </c>
      <c r="Y1341" t="s">
        <v>6902</v>
      </c>
      <c r="Z1341">
        <v>914.81</v>
      </c>
      <c r="AA1341">
        <v>2350.94</v>
      </c>
      <c r="AB1341">
        <v>2150664</v>
      </c>
      <c r="AC1341" t="b">
        <v>0</v>
      </c>
      <c r="AD1341" t="b">
        <v>0</v>
      </c>
      <c r="AE1341" t="b">
        <v>0</v>
      </c>
      <c r="AF1341" t="b">
        <v>0</v>
      </c>
      <c r="AG1341" t="s">
        <v>58</v>
      </c>
      <c r="AH1341">
        <v>10</v>
      </c>
      <c r="AI1341" t="s">
        <v>386</v>
      </c>
      <c r="AJ1341" t="s">
        <v>387</v>
      </c>
      <c r="AL1341" t="s">
        <v>983</v>
      </c>
      <c r="AM1341" t="s">
        <v>245</v>
      </c>
      <c r="AN1341" t="s">
        <v>63</v>
      </c>
      <c r="AO1341" t="s">
        <v>6903</v>
      </c>
      <c r="AP1341" t="s">
        <v>6979</v>
      </c>
    </row>
    <row r="1342" spans="1:42" x14ac:dyDescent="0.45">
      <c r="A1342" t="s">
        <v>6617</v>
      </c>
      <c r="B1342" t="s">
        <v>6618</v>
      </c>
      <c r="C1342" t="s">
        <v>6895</v>
      </c>
      <c r="D1342">
        <v>2024</v>
      </c>
      <c r="E1342" t="s">
        <v>45</v>
      </c>
      <c r="F1342" t="s">
        <v>6620</v>
      </c>
      <c r="J1342" t="s">
        <v>6981</v>
      </c>
      <c r="K1342" t="s">
        <v>6982</v>
      </c>
      <c r="L1342" t="s">
        <v>6983</v>
      </c>
      <c r="M1342" t="s">
        <v>6984</v>
      </c>
      <c r="N1342" t="s">
        <v>51</v>
      </c>
      <c r="O1342" t="s">
        <v>52</v>
      </c>
      <c r="P1342" t="s">
        <v>53</v>
      </c>
      <c r="Q1342" t="s">
        <v>6900</v>
      </c>
      <c r="S1342">
        <v>27</v>
      </c>
      <c r="T1342" t="s">
        <v>6985</v>
      </c>
      <c r="U1342">
        <v>186</v>
      </c>
      <c r="Y1342" t="s">
        <v>6902</v>
      </c>
      <c r="Z1342">
        <v>924.71</v>
      </c>
      <c r="AA1342">
        <v>77.59</v>
      </c>
      <c r="AB1342">
        <v>71750</v>
      </c>
      <c r="AC1342" t="b">
        <v>0</v>
      </c>
      <c r="AD1342" t="b">
        <v>0</v>
      </c>
      <c r="AE1342" t="b">
        <v>0</v>
      </c>
      <c r="AF1342" t="b">
        <v>0</v>
      </c>
      <c r="AG1342" t="s">
        <v>58</v>
      </c>
      <c r="AH1342">
        <v>-15</v>
      </c>
      <c r="AI1342" t="s">
        <v>59</v>
      </c>
      <c r="AJ1342" t="s">
        <v>60</v>
      </c>
      <c r="AK1342" t="s">
        <v>162</v>
      </c>
      <c r="AL1342" t="s">
        <v>163</v>
      </c>
      <c r="AM1342" t="s">
        <v>245</v>
      </c>
      <c r="AN1342" t="s">
        <v>63</v>
      </c>
      <c r="AO1342" t="s">
        <v>6903</v>
      </c>
      <c r="AP1342" t="s">
        <v>6982</v>
      </c>
    </row>
    <row r="1343" spans="1:42" x14ac:dyDescent="0.45">
      <c r="A1343" t="s">
        <v>6617</v>
      </c>
      <c r="B1343" t="s">
        <v>6618</v>
      </c>
      <c r="C1343" t="s">
        <v>6895</v>
      </c>
      <c r="D1343">
        <v>2024</v>
      </c>
      <c r="E1343" t="s">
        <v>45</v>
      </c>
      <c r="F1343" t="s">
        <v>6620</v>
      </c>
      <c r="J1343" t="s">
        <v>6986</v>
      </c>
      <c r="K1343" t="s">
        <v>6987</v>
      </c>
      <c r="L1343" t="s">
        <v>6988</v>
      </c>
      <c r="M1343" t="s">
        <v>6989</v>
      </c>
      <c r="N1343" t="s">
        <v>51</v>
      </c>
      <c r="O1343" t="s">
        <v>52</v>
      </c>
      <c r="P1343" t="s">
        <v>53</v>
      </c>
      <c r="Q1343" t="s">
        <v>6900</v>
      </c>
      <c r="S1343">
        <v>15</v>
      </c>
      <c r="T1343" t="s">
        <v>6990</v>
      </c>
      <c r="U1343">
        <v>3698</v>
      </c>
      <c r="Y1343" t="s">
        <v>6902</v>
      </c>
      <c r="Z1343">
        <v>904.75</v>
      </c>
      <c r="AA1343">
        <v>335.06</v>
      </c>
      <c r="AB1343">
        <v>303143</v>
      </c>
      <c r="AC1343" t="b">
        <v>0</v>
      </c>
      <c r="AD1343" t="b">
        <v>0</v>
      </c>
      <c r="AE1343" t="b">
        <v>0</v>
      </c>
      <c r="AF1343" t="b">
        <v>0</v>
      </c>
      <c r="AG1343" t="s">
        <v>58</v>
      </c>
      <c r="AH1343">
        <v>10</v>
      </c>
      <c r="AI1343" t="s">
        <v>386</v>
      </c>
      <c r="AJ1343" t="s">
        <v>387</v>
      </c>
      <c r="AL1343" t="s">
        <v>983</v>
      </c>
      <c r="AM1343" t="s">
        <v>245</v>
      </c>
      <c r="AN1343" t="s">
        <v>63</v>
      </c>
      <c r="AO1343" t="s">
        <v>6903</v>
      </c>
      <c r="AP1343" t="s">
        <v>6987</v>
      </c>
    </row>
    <row r="1344" spans="1:42" x14ac:dyDescent="0.45">
      <c r="A1344" t="s">
        <v>6617</v>
      </c>
      <c r="B1344" t="s">
        <v>6618</v>
      </c>
      <c r="C1344" t="s">
        <v>6895</v>
      </c>
      <c r="D1344">
        <v>2024</v>
      </c>
      <c r="E1344" t="s">
        <v>45</v>
      </c>
      <c r="F1344" t="s">
        <v>6620</v>
      </c>
      <c r="J1344" t="s">
        <v>6991</v>
      </c>
      <c r="K1344" t="s">
        <v>6992</v>
      </c>
      <c r="L1344" t="s">
        <v>6993</v>
      </c>
      <c r="M1344" t="s">
        <v>6994</v>
      </c>
      <c r="N1344" t="s">
        <v>51</v>
      </c>
      <c r="O1344" t="s">
        <v>52</v>
      </c>
      <c r="P1344" t="s">
        <v>53</v>
      </c>
      <c r="Q1344" t="s">
        <v>6900</v>
      </c>
      <c r="S1344">
        <v>29</v>
      </c>
      <c r="T1344" t="s">
        <v>6995</v>
      </c>
      <c r="U1344">
        <v>3822</v>
      </c>
      <c r="Y1344" t="s">
        <v>6902</v>
      </c>
      <c r="Z1344">
        <v>903.83</v>
      </c>
      <c r="AA1344">
        <v>46.85</v>
      </c>
      <c r="AB1344">
        <v>42340</v>
      </c>
      <c r="AC1344" t="b">
        <v>0</v>
      </c>
      <c r="AD1344" t="b">
        <v>0</v>
      </c>
      <c r="AE1344" t="b">
        <v>0</v>
      </c>
      <c r="AF1344" t="b">
        <v>0</v>
      </c>
      <c r="AG1344" t="s">
        <v>58</v>
      </c>
      <c r="AH1344">
        <v>10</v>
      </c>
      <c r="AI1344" t="s">
        <v>386</v>
      </c>
      <c r="AJ1344" t="s">
        <v>387</v>
      </c>
      <c r="AL1344" t="s">
        <v>983</v>
      </c>
      <c r="AM1344" t="s">
        <v>245</v>
      </c>
      <c r="AN1344" t="s">
        <v>63</v>
      </c>
      <c r="AO1344" t="s">
        <v>6903</v>
      </c>
      <c r="AP1344" t="s">
        <v>6992</v>
      </c>
    </row>
    <row r="1345" spans="1:42" x14ac:dyDescent="0.45">
      <c r="A1345" t="s">
        <v>6617</v>
      </c>
      <c r="B1345" t="s">
        <v>6618</v>
      </c>
      <c r="C1345" t="s">
        <v>6895</v>
      </c>
      <c r="D1345">
        <v>2024</v>
      </c>
      <c r="E1345" t="s">
        <v>45</v>
      </c>
      <c r="F1345" t="s">
        <v>6620</v>
      </c>
      <c r="J1345" t="s">
        <v>6996</v>
      </c>
      <c r="K1345" t="s">
        <v>6997</v>
      </c>
      <c r="L1345" t="s">
        <v>6998</v>
      </c>
      <c r="M1345" t="s">
        <v>6999</v>
      </c>
      <c r="N1345" t="s">
        <v>51</v>
      </c>
      <c r="O1345" t="s">
        <v>52</v>
      </c>
      <c r="P1345" t="s">
        <v>53</v>
      </c>
      <c r="Q1345" t="s">
        <v>6900</v>
      </c>
      <c r="S1345">
        <v>25</v>
      </c>
      <c r="T1345" t="s">
        <v>7000</v>
      </c>
      <c r="U1345">
        <v>730</v>
      </c>
      <c r="Y1345" t="s">
        <v>6902</v>
      </c>
      <c r="Z1345">
        <v>918.75</v>
      </c>
      <c r="AA1345">
        <v>86.34</v>
      </c>
      <c r="AB1345">
        <v>79323</v>
      </c>
      <c r="AC1345" t="b">
        <v>0</v>
      </c>
      <c r="AD1345" t="b">
        <v>0</v>
      </c>
      <c r="AE1345" t="b">
        <v>0</v>
      </c>
      <c r="AF1345" t="b">
        <v>0</v>
      </c>
      <c r="AG1345" t="s">
        <v>58</v>
      </c>
      <c r="AH1345">
        <v>8</v>
      </c>
      <c r="AI1345" t="s">
        <v>169</v>
      </c>
      <c r="AJ1345" t="s">
        <v>60</v>
      </c>
      <c r="AL1345" t="s">
        <v>380</v>
      </c>
      <c r="AM1345" t="s">
        <v>245</v>
      </c>
      <c r="AN1345" t="s">
        <v>63</v>
      </c>
      <c r="AO1345" t="s">
        <v>6903</v>
      </c>
      <c r="AP1345" t="s">
        <v>6997</v>
      </c>
    </row>
    <row r="1346" spans="1:42" x14ac:dyDescent="0.45">
      <c r="A1346" t="s">
        <v>6617</v>
      </c>
      <c r="B1346" t="s">
        <v>6618</v>
      </c>
      <c r="C1346" t="s">
        <v>6895</v>
      </c>
      <c r="D1346">
        <v>2024</v>
      </c>
      <c r="E1346" t="s">
        <v>45</v>
      </c>
      <c r="F1346" t="s">
        <v>6620</v>
      </c>
      <c r="J1346" t="s">
        <v>7001</v>
      </c>
      <c r="K1346" t="s">
        <v>7002</v>
      </c>
      <c r="L1346" t="s">
        <v>7003</v>
      </c>
      <c r="M1346" t="s">
        <v>7004</v>
      </c>
      <c r="N1346" t="s">
        <v>51</v>
      </c>
      <c r="O1346" t="s">
        <v>52</v>
      </c>
      <c r="P1346" t="s">
        <v>53</v>
      </c>
      <c r="Q1346" t="s">
        <v>6900</v>
      </c>
      <c r="S1346">
        <v>26</v>
      </c>
      <c r="T1346" t="s">
        <v>7005</v>
      </c>
      <c r="U1346">
        <v>232</v>
      </c>
      <c r="Y1346" t="s">
        <v>6902</v>
      </c>
      <c r="Z1346">
        <v>912.16</v>
      </c>
      <c r="AA1346">
        <v>79.510000000000005</v>
      </c>
      <c r="AB1346">
        <v>72526</v>
      </c>
      <c r="AC1346" t="b">
        <v>0</v>
      </c>
      <c r="AD1346" t="b">
        <v>0</v>
      </c>
      <c r="AE1346" t="b">
        <v>0</v>
      </c>
      <c r="AF1346" t="b">
        <v>0</v>
      </c>
      <c r="AG1346" t="s">
        <v>58</v>
      </c>
      <c r="AH1346">
        <v>8</v>
      </c>
      <c r="AI1346" t="s">
        <v>169</v>
      </c>
      <c r="AJ1346" t="s">
        <v>60</v>
      </c>
      <c r="AL1346" t="s">
        <v>380</v>
      </c>
      <c r="AM1346" t="s">
        <v>245</v>
      </c>
      <c r="AN1346" t="s">
        <v>63</v>
      </c>
      <c r="AO1346" t="s">
        <v>6903</v>
      </c>
      <c r="AP1346" t="s">
        <v>7002</v>
      </c>
    </row>
    <row r="1347" spans="1:42" x14ac:dyDescent="0.45">
      <c r="A1347" t="s">
        <v>6617</v>
      </c>
      <c r="B1347" t="s">
        <v>6618</v>
      </c>
      <c r="C1347" t="s">
        <v>6895</v>
      </c>
      <c r="D1347">
        <v>2024</v>
      </c>
      <c r="E1347" t="s">
        <v>45</v>
      </c>
      <c r="F1347" t="s">
        <v>6620</v>
      </c>
      <c r="J1347" t="s">
        <v>47</v>
      </c>
      <c r="K1347" t="s">
        <v>7006</v>
      </c>
      <c r="L1347" t="s">
        <v>49</v>
      </c>
      <c r="M1347" t="s">
        <v>50</v>
      </c>
      <c r="N1347" t="s">
        <v>51</v>
      </c>
      <c r="O1347" t="s">
        <v>52</v>
      </c>
      <c r="P1347" t="s">
        <v>53</v>
      </c>
      <c r="Q1347" t="s">
        <v>6900</v>
      </c>
      <c r="S1347">
        <v>22</v>
      </c>
      <c r="T1347" t="s">
        <v>55</v>
      </c>
      <c r="U1347">
        <v>282</v>
      </c>
      <c r="Y1347" t="s">
        <v>6902</v>
      </c>
      <c r="Z1347">
        <v>913.16</v>
      </c>
      <c r="AA1347">
        <v>116.4</v>
      </c>
      <c r="AB1347">
        <v>106288</v>
      </c>
      <c r="AC1347" t="b">
        <v>0</v>
      </c>
      <c r="AD1347" t="b">
        <v>0</v>
      </c>
      <c r="AE1347" t="b">
        <v>0</v>
      </c>
      <c r="AF1347" t="b">
        <v>0</v>
      </c>
      <c r="AG1347" t="s">
        <v>58</v>
      </c>
      <c r="AH1347">
        <v>8</v>
      </c>
      <c r="AI1347" t="s">
        <v>169</v>
      </c>
      <c r="AJ1347" t="s">
        <v>60</v>
      </c>
      <c r="AL1347" t="s">
        <v>380</v>
      </c>
      <c r="AM1347" t="s">
        <v>245</v>
      </c>
      <c r="AN1347" t="s">
        <v>63</v>
      </c>
      <c r="AO1347" t="s">
        <v>6903</v>
      </c>
      <c r="AP1347" t="s">
        <v>7006</v>
      </c>
    </row>
    <row r="1348" spans="1:42" x14ac:dyDescent="0.45">
      <c r="A1348" t="s">
        <v>6617</v>
      </c>
      <c r="B1348" t="s">
        <v>6618</v>
      </c>
      <c r="C1348" t="s">
        <v>6895</v>
      </c>
      <c r="D1348">
        <v>2024</v>
      </c>
      <c r="E1348" t="s">
        <v>45</v>
      </c>
      <c r="F1348" t="s">
        <v>6620</v>
      </c>
      <c r="J1348" t="s">
        <v>7007</v>
      </c>
      <c r="K1348" t="s">
        <v>7008</v>
      </c>
      <c r="L1348" t="s">
        <v>7009</v>
      </c>
      <c r="M1348" t="s">
        <v>7010</v>
      </c>
      <c r="N1348" t="s">
        <v>51</v>
      </c>
      <c r="O1348" t="s">
        <v>52</v>
      </c>
      <c r="P1348" t="s">
        <v>53</v>
      </c>
      <c r="Q1348" t="s">
        <v>6900</v>
      </c>
      <c r="S1348">
        <v>28</v>
      </c>
      <c r="T1348" t="s">
        <v>7011</v>
      </c>
      <c r="U1348">
        <v>530</v>
      </c>
      <c r="Y1348" t="s">
        <v>6902</v>
      </c>
      <c r="Z1348">
        <v>917.84</v>
      </c>
      <c r="AA1348">
        <v>56.67</v>
      </c>
      <c r="AB1348">
        <v>52018</v>
      </c>
      <c r="AC1348" t="b">
        <v>0</v>
      </c>
      <c r="AD1348" t="b">
        <v>0</v>
      </c>
      <c r="AE1348" t="b">
        <v>0</v>
      </c>
      <c r="AF1348" t="b">
        <v>0</v>
      </c>
      <c r="AG1348" t="s">
        <v>58</v>
      </c>
      <c r="AH1348">
        <v>8</v>
      </c>
      <c r="AI1348" t="s">
        <v>169</v>
      </c>
      <c r="AJ1348" t="s">
        <v>60</v>
      </c>
      <c r="AL1348" t="s">
        <v>380</v>
      </c>
      <c r="AM1348" t="s">
        <v>245</v>
      </c>
      <c r="AN1348" t="s">
        <v>63</v>
      </c>
      <c r="AO1348" t="s">
        <v>6903</v>
      </c>
      <c r="AP1348" t="s">
        <v>7008</v>
      </c>
    </row>
    <row r="1349" spans="1:42" x14ac:dyDescent="0.45">
      <c r="A1349" t="s">
        <v>6617</v>
      </c>
      <c r="B1349" t="s">
        <v>6618</v>
      </c>
      <c r="C1349" t="s">
        <v>6895</v>
      </c>
      <c r="D1349">
        <v>2024</v>
      </c>
      <c r="E1349" t="s">
        <v>45</v>
      </c>
      <c r="F1349" t="s">
        <v>6620</v>
      </c>
      <c r="J1349" t="s">
        <v>7012</v>
      </c>
      <c r="K1349" t="s">
        <v>7013</v>
      </c>
      <c r="L1349" t="s">
        <v>7014</v>
      </c>
      <c r="M1349" t="s">
        <v>7015</v>
      </c>
      <c r="N1349" t="s">
        <v>51</v>
      </c>
      <c r="O1349" t="s">
        <v>52</v>
      </c>
      <c r="P1349" t="s">
        <v>53</v>
      </c>
      <c r="Q1349" t="s">
        <v>6900</v>
      </c>
      <c r="S1349">
        <v>19</v>
      </c>
      <c r="T1349" t="s">
        <v>7016</v>
      </c>
      <c r="U1349">
        <v>699</v>
      </c>
      <c r="Y1349" t="s">
        <v>6902</v>
      </c>
      <c r="Z1349">
        <v>916.79</v>
      </c>
      <c r="AA1349">
        <v>146.27000000000001</v>
      </c>
      <c r="AB1349">
        <v>134094</v>
      </c>
      <c r="AC1349" t="b">
        <v>0</v>
      </c>
      <c r="AD1349" t="b">
        <v>0</v>
      </c>
      <c r="AE1349" t="b">
        <v>0</v>
      </c>
      <c r="AF1349" t="b">
        <v>0</v>
      </c>
      <c r="AG1349" t="s">
        <v>58</v>
      </c>
      <c r="AH1349">
        <v>8</v>
      </c>
      <c r="AI1349" t="s">
        <v>169</v>
      </c>
      <c r="AJ1349" t="s">
        <v>60</v>
      </c>
      <c r="AL1349" t="s">
        <v>380</v>
      </c>
      <c r="AM1349" t="s">
        <v>245</v>
      </c>
      <c r="AN1349" t="s">
        <v>63</v>
      </c>
      <c r="AO1349" t="s">
        <v>6903</v>
      </c>
      <c r="AP1349" t="s">
        <v>7013</v>
      </c>
    </row>
    <row r="1350" spans="1:42" x14ac:dyDescent="0.45">
      <c r="A1350" t="s">
        <v>6617</v>
      </c>
      <c r="B1350" t="s">
        <v>6618</v>
      </c>
      <c r="C1350" t="s">
        <v>6895</v>
      </c>
      <c r="D1350">
        <v>2024</v>
      </c>
      <c r="E1350" t="s">
        <v>45</v>
      </c>
      <c r="F1350" t="s">
        <v>6620</v>
      </c>
      <c r="J1350" t="s">
        <v>7017</v>
      </c>
      <c r="K1350" t="s">
        <v>7018</v>
      </c>
      <c r="L1350" t="s">
        <v>7019</v>
      </c>
      <c r="M1350" t="s">
        <v>7020</v>
      </c>
      <c r="N1350" t="s">
        <v>51</v>
      </c>
      <c r="O1350" t="s">
        <v>52</v>
      </c>
      <c r="P1350" t="s">
        <v>53</v>
      </c>
      <c r="Q1350" t="s">
        <v>6900</v>
      </c>
      <c r="S1350">
        <v>3</v>
      </c>
      <c r="T1350" t="s">
        <v>7021</v>
      </c>
      <c r="U1350">
        <v>2236</v>
      </c>
      <c r="Y1350" t="s">
        <v>6902</v>
      </c>
      <c r="Z1350">
        <v>913.83</v>
      </c>
      <c r="AA1350">
        <v>4189.8</v>
      </c>
      <c r="AB1350">
        <v>3828771</v>
      </c>
      <c r="AC1350" t="b">
        <v>0</v>
      </c>
      <c r="AD1350" t="b">
        <v>0</v>
      </c>
      <c r="AE1350" t="b">
        <v>0</v>
      </c>
      <c r="AF1350" t="b">
        <v>0</v>
      </c>
      <c r="AG1350" t="s">
        <v>58</v>
      </c>
      <c r="AH1350">
        <v>10</v>
      </c>
      <c r="AI1350" t="s">
        <v>386</v>
      </c>
      <c r="AJ1350" t="s">
        <v>387</v>
      </c>
      <c r="AL1350" t="s">
        <v>983</v>
      </c>
      <c r="AM1350" t="s">
        <v>245</v>
      </c>
      <c r="AN1350" t="s">
        <v>63</v>
      </c>
      <c r="AO1350" t="s">
        <v>6903</v>
      </c>
      <c r="AP1350" t="s">
        <v>7018</v>
      </c>
    </row>
    <row r="1351" spans="1:42" x14ac:dyDescent="0.45">
      <c r="A1351" t="s">
        <v>6617</v>
      </c>
      <c r="B1351" t="s">
        <v>6618</v>
      </c>
      <c r="C1351" t="s">
        <v>6895</v>
      </c>
      <c r="D1351">
        <v>2024</v>
      </c>
      <c r="E1351" t="s">
        <v>45</v>
      </c>
      <c r="F1351" t="s">
        <v>6620</v>
      </c>
      <c r="J1351" t="s">
        <v>7022</v>
      </c>
      <c r="K1351" t="s">
        <v>7023</v>
      </c>
      <c r="L1351" t="s">
        <v>7024</v>
      </c>
      <c r="M1351" t="s">
        <v>7025</v>
      </c>
      <c r="N1351" t="s">
        <v>51</v>
      </c>
      <c r="O1351" t="s">
        <v>52</v>
      </c>
      <c r="P1351" t="s">
        <v>53</v>
      </c>
      <c r="Q1351" t="s">
        <v>6900</v>
      </c>
      <c r="S1351">
        <v>24</v>
      </c>
      <c r="T1351" t="s">
        <v>7026</v>
      </c>
      <c r="U1351">
        <v>590</v>
      </c>
      <c r="Y1351" t="s">
        <v>6902</v>
      </c>
      <c r="Z1351">
        <v>922.74</v>
      </c>
      <c r="AA1351">
        <v>86.35</v>
      </c>
      <c r="AB1351">
        <v>79681</v>
      </c>
      <c r="AC1351" t="b">
        <v>0</v>
      </c>
      <c r="AD1351" t="b">
        <v>0</v>
      </c>
      <c r="AE1351" t="b">
        <v>0</v>
      </c>
      <c r="AF1351" t="b">
        <v>0</v>
      </c>
      <c r="AG1351" t="s">
        <v>58</v>
      </c>
      <c r="AH1351">
        <v>8</v>
      </c>
      <c r="AI1351" t="s">
        <v>169</v>
      </c>
      <c r="AJ1351" t="s">
        <v>60</v>
      </c>
      <c r="AL1351" t="s">
        <v>380</v>
      </c>
      <c r="AM1351" t="s">
        <v>245</v>
      </c>
      <c r="AN1351" t="s">
        <v>63</v>
      </c>
      <c r="AO1351" t="s">
        <v>6903</v>
      </c>
      <c r="AP1351" t="s">
        <v>7023</v>
      </c>
    </row>
    <row r="1352" spans="1:42" x14ac:dyDescent="0.45">
      <c r="A1352" t="s">
        <v>6617</v>
      </c>
      <c r="B1352" t="s">
        <v>6618</v>
      </c>
      <c r="C1352" t="s">
        <v>6895</v>
      </c>
      <c r="D1352">
        <v>2024</v>
      </c>
      <c r="E1352" t="s">
        <v>45</v>
      </c>
      <c r="F1352" t="s">
        <v>6620</v>
      </c>
      <c r="J1352" t="s">
        <v>7027</v>
      </c>
      <c r="K1352" t="s">
        <v>7028</v>
      </c>
      <c r="L1352" t="s">
        <v>7029</v>
      </c>
      <c r="M1352" t="s">
        <v>7030</v>
      </c>
      <c r="N1352" t="s">
        <v>51</v>
      </c>
      <c r="O1352" t="s">
        <v>52</v>
      </c>
      <c r="P1352" t="s">
        <v>53</v>
      </c>
      <c r="Q1352" t="s">
        <v>6900</v>
      </c>
      <c r="S1352">
        <v>16</v>
      </c>
      <c r="T1352" t="s">
        <v>7031</v>
      </c>
      <c r="U1352">
        <v>748</v>
      </c>
      <c r="Y1352" t="s">
        <v>6902</v>
      </c>
      <c r="Z1352">
        <v>906.75</v>
      </c>
      <c r="AA1352">
        <v>192.65</v>
      </c>
      <c r="AB1352">
        <v>174688</v>
      </c>
      <c r="AC1352" t="b">
        <v>0</v>
      </c>
      <c r="AD1352" t="b">
        <v>0</v>
      </c>
      <c r="AE1352" t="b">
        <v>0</v>
      </c>
      <c r="AF1352" t="b">
        <v>0</v>
      </c>
      <c r="AG1352" t="s">
        <v>58</v>
      </c>
      <c r="AH1352">
        <v>-15</v>
      </c>
      <c r="AI1352" t="s">
        <v>59</v>
      </c>
      <c r="AJ1352" t="s">
        <v>60</v>
      </c>
      <c r="AK1352" t="s">
        <v>78</v>
      </c>
      <c r="AL1352" t="s">
        <v>79</v>
      </c>
      <c r="AM1352" t="s">
        <v>245</v>
      </c>
      <c r="AN1352" t="s">
        <v>63</v>
      </c>
      <c r="AO1352" t="s">
        <v>6903</v>
      </c>
      <c r="AP1352" t="s">
        <v>7028</v>
      </c>
    </row>
    <row r="1353" spans="1:42" x14ac:dyDescent="0.45">
      <c r="A1353" t="s">
        <v>6617</v>
      </c>
      <c r="B1353" t="s">
        <v>6618</v>
      </c>
      <c r="C1353" t="s">
        <v>6895</v>
      </c>
      <c r="D1353">
        <v>2024</v>
      </c>
      <c r="E1353" t="s">
        <v>45</v>
      </c>
      <c r="F1353" t="s">
        <v>6620</v>
      </c>
      <c r="J1353" t="s">
        <v>7032</v>
      </c>
      <c r="K1353" t="s">
        <v>7033</v>
      </c>
      <c r="L1353" t="s">
        <v>7034</v>
      </c>
      <c r="M1353" t="s">
        <v>7035</v>
      </c>
      <c r="N1353" t="s">
        <v>51</v>
      </c>
      <c r="O1353" t="s">
        <v>52</v>
      </c>
      <c r="P1353" t="s">
        <v>53</v>
      </c>
      <c r="Q1353" t="s">
        <v>6900</v>
      </c>
      <c r="S1353">
        <v>2</v>
      </c>
      <c r="T1353" t="s">
        <v>7036</v>
      </c>
      <c r="U1353">
        <v>427</v>
      </c>
      <c r="Y1353" t="s">
        <v>6902</v>
      </c>
      <c r="Z1353">
        <v>913.21</v>
      </c>
      <c r="AA1353">
        <v>4875.3</v>
      </c>
      <c r="AB1353">
        <v>4452153</v>
      </c>
      <c r="AC1353" t="b">
        <v>0</v>
      </c>
      <c r="AD1353" t="b">
        <v>0</v>
      </c>
      <c r="AE1353" t="b">
        <v>0</v>
      </c>
      <c r="AF1353" t="b">
        <v>0</v>
      </c>
      <c r="AG1353" t="s">
        <v>58</v>
      </c>
      <c r="AH1353">
        <v>8</v>
      </c>
      <c r="AI1353" t="s">
        <v>169</v>
      </c>
      <c r="AJ1353" t="s">
        <v>60</v>
      </c>
      <c r="AL1353" t="s">
        <v>380</v>
      </c>
      <c r="AM1353" t="s">
        <v>245</v>
      </c>
      <c r="AN1353" t="s">
        <v>63</v>
      </c>
      <c r="AO1353" t="s">
        <v>6903</v>
      </c>
      <c r="AP1353" t="s">
        <v>7033</v>
      </c>
    </row>
    <row r="1354" spans="1:42" x14ac:dyDescent="0.45">
      <c r="A1354" t="s">
        <v>6617</v>
      </c>
      <c r="B1354" t="s">
        <v>6618</v>
      </c>
      <c r="C1354" t="s">
        <v>7037</v>
      </c>
      <c r="D1354">
        <v>2025</v>
      </c>
      <c r="E1354" t="s">
        <v>45</v>
      </c>
      <c r="F1354" t="s">
        <v>6620</v>
      </c>
      <c r="J1354" t="s">
        <v>7038</v>
      </c>
      <c r="K1354" t="s">
        <v>7039</v>
      </c>
      <c r="L1354" t="s">
        <v>7040</v>
      </c>
      <c r="M1354" t="s">
        <v>7041</v>
      </c>
      <c r="N1354" t="s">
        <v>51</v>
      </c>
      <c r="O1354" t="s">
        <v>52</v>
      </c>
      <c r="P1354" t="s">
        <v>53</v>
      </c>
      <c r="Q1354" t="s">
        <v>7042</v>
      </c>
      <c r="S1354">
        <v>4</v>
      </c>
      <c r="T1354" t="s">
        <v>7043</v>
      </c>
      <c r="U1354">
        <v>379</v>
      </c>
      <c r="Y1354" t="s">
        <v>7044</v>
      </c>
      <c r="Z1354">
        <v>560.12</v>
      </c>
      <c r="AA1354">
        <v>214.74</v>
      </c>
      <c r="AB1354">
        <v>120282</v>
      </c>
      <c r="AC1354" t="b">
        <v>0</v>
      </c>
      <c r="AD1354" t="b">
        <v>0</v>
      </c>
      <c r="AE1354" t="b">
        <v>0</v>
      </c>
      <c r="AF1354" t="b">
        <v>0</v>
      </c>
      <c r="AG1354" t="s">
        <v>58</v>
      </c>
      <c r="AH1354">
        <v>8</v>
      </c>
      <c r="AI1354" t="s">
        <v>169</v>
      </c>
      <c r="AJ1354" t="s">
        <v>60</v>
      </c>
      <c r="AL1354" t="s">
        <v>380</v>
      </c>
      <c r="AM1354" t="s">
        <v>245</v>
      </c>
      <c r="AN1354" t="s">
        <v>63</v>
      </c>
      <c r="AO1354" t="s">
        <v>7045</v>
      </c>
      <c r="AP1354" t="s">
        <v>7039</v>
      </c>
    </row>
    <row r="1355" spans="1:42" x14ac:dyDescent="0.45">
      <c r="A1355" t="s">
        <v>6617</v>
      </c>
      <c r="B1355" t="s">
        <v>6618</v>
      </c>
      <c r="C1355" t="s">
        <v>7037</v>
      </c>
      <c r="D1355">
        <v>2025</v>
      </c>
      <c r="E1355" t="s">
        <v>45</v>
      </c>
      <c r="F1355" t="s">
        <v>6620</v>
      </c>
      <c r="J1355" t="s">
        <v>7046</v>
      </c>
      <c r="K1355" t="s">
        <v>7047</v>
      </c>
      <c r="L1355" t="s">
        <v>7048</v>
      </c>
      <c r="M1355" t="s">
        <v>7049</v>
      </c>
      <c r="N1355" t="s">
        <v>51</v>
      </c>
      <c r="O1355" t="s">
        <v>52</v>
      </c>
      <c r="P1355" t="s">
        <v>53</v>
      </c>
      <c r="Q1355" t="s">
        <v>7042</v>
      </c>
      <c r="S1355">
        <v>0</v>
      </c>
      <c r="T1355" t="s">
        <v>7050</v>
      </c>
      <c r="U1355">
        <v>667</v>
      </c>
      <c r="Y1355" t="s">
        <v>7044</v>
      </c>
      <c r="Z1355">
        <v>558.21</v>
      </c>
      <c r="AA1355">
        <v>28.52</v>
      </c>
      <c r="AB1355">
        <v>15922</v>
      </c>
      <c r="AC1355" t="b">
        <v>0</v>
      </c>
      <c r="AD1355" t="b">
        <v>0</v>
      </c>
      <c r="AE1355" t="b">
        <v>0</v>
      </c>
      <c r="AF1355" t="b">
        <v>0</v>
      </c>
      <c r="AG1355" t="s">
        <v>58</v>
      </c>
      <c r="AH1355">
        <v>8</v>
      </c>
      <c r="AI1355" t="s">
        <v>169</v>
      </c>
      <c r="AJ1355" t="s">
        <v>60</v>
      </c>
      <c r="AL1355" t="s">
        <v>380</v>
      </c>
      <c r="AM1355" t="s">
        <v>245</v>
      </c>
      <c r="AN1355" t="s">
        <v>63</v>
      </c>
      <c r="AO1355" t="s">
        <v>7045</v>
      </c>
      <c r="AP1355" t="s">
        <v>7047</v>
      </c>
    </row>
    <row r="1356" spans="1:42" x14ac:dyDescent="0.45">
      <c r="A1356" t="s">
        <v>6617</v>
      </c>
      <c r="B1356" t="s">
        <v>6618</v>
      </c>
      <c r="C1356" t="s">
        <v>7037</v>
      </c>
      <c r="D1356">
        <v>2025</v>
      </c>
      <c r="E1356" t="s">
        <v>45</v>
      </c>
      <c r="F1356" t="s">
        <v>6620</v>
      </c>
      <c r="J1356" t="s">
        <v>7051</v>
      </c>
      <c r="K1356" t="s">
        <v>7052</v>
      </c>
      <c r="L1356" t="s">
        <v>7053</v>
      </c>
      <c r="M1356" t="s">
        <v>7054</v>
      </c>
      <c r="N1356" t="s">
        <v>51</v>
      </c>
      <c r="O1356" t="s">
        <v>52</v>
      </c>
      <c r="P1356" t="s">
        <v>53</v>
      </c>
      <c r="Q1356" t="s">
        <v>7042</v>
      </c>
      <c r="S1356">
        <v>3</v>
      </c>
      <c r="T1356" t="s">
        <v>7055</v>
      </c>
      <c r="U1356">
        <v>1267</v>
      </c>
      <c r="Y1356" t="s">
        <v>7044</v>
      </c>
      <c r="Z1356">
        <v>559.25</v>
      </c>
      <c r="AA1356">
        <v>280.13</v>
      </c>
      <c r="AB1356">
        <v>156663</v>
      </c>
      <c r="AC1356" t="b">
        <v>0</v>
      </c>
      <c r="AD1356" t="b">
        <v>0</v>
      </c>
      <c r="AE1356" t="b">
        <v>0</v>
      </c>
      <c r="AF1356" t="b">
        <v>0</v>
      </c>
      <c r="AG1356" t="s">
        <v>58</v>
      </c>
      <c r="AH1356">
        <v>8</v>
      </c>
      <c r="AI1356" t="s">
        <v>169</v>
      </c>
      <c r="AJ1356" t="s">
        <v>60</v>
      </c>
      <c r="AL1356" t="s">
        <v>380</v>
      </c>
      <c r="AM1356" t="s">
        <v>245</v>
      </c>
      <c r="AN1356" t="s">
        <v>63</v>
      </c>
      <c r="AO1356" t="s">
        <v>7045</v>
      </c>
      <c r="AP1356" t="s">
        <v>7052</v>
      </c>
    </row>
    <row r="1357" spans="1:42" x14ac:dyDescent="0.45">
      <c r="A1357" t="s">
        <v>6617</v>
      </c>
      <c r="B1357" t="s">
        <v>6618</v>
      </c>
      <c r="C1357" t="s">
        <v>7037</v>
      </c>
      <c r="D1357">
        <v>2025</v>
      </c>
      <c r="E1357" t="s">
        <v>45</v>
      </c>
      <c r="F1357" t="s">
        <v>6620</v>
      </c>
      <c r="J1357" t="s">
        <v>7056</v>
      </c>
      <c r="K1357" t="s">
        <v>7057</v>
      </c>
      <c r="L1357" t="s">
        <v>7058</v>
      </c>
      <c r="M1357" t="s">
        <v>7059</v>
      </c>
      <c r="N1357" t="s">
        <v>51</v>
      </c>
      <c r="O1357" t="s">
        <v>52</v>
      </c>
      <c r="P1357" t="s">
        <v>53</v>
      </c>
      <c r="Q1357" t="s">
        <v>7042</v>
      </c>
      <c r="S1357">
        <v>1</v>
      </c>
      <c r="T1357" t="s">
        <v>7060</v>
      </c>
      <c r="U1357">
        <v>441</v>
      </c>
      <c r="Y1357" t="s">
        <v>7044</v>
      </c>
      <c r="Z1357">
        <v>558.25</v>
      </c>
      <c r="AA1357">
        <v>13.76</v>
      </c>
      <c r="AB1357">
        <v>7681</v>
      </c>
      <c r="AC1357" t="b">
        <v>0</v>
      </c>
      <c r="AD1357" t="b">
        <v>0</v>
      </c>
      <c r="AE1357" t="b">
        <v>0</v>
      </c>
      <c r="AF1357" t="b">
        <v>0</v>
      </c>
      <c r="AG1357" t="s">
        <v>58</v>
      </c>
      <c r="AH1357">
        <v>8</v>
      </c>
      <c r="AI1357" t="s">
        <v>169</v>
      </c>
      <c r="AJ1357" t="s">
        <v>60</v>
      </c>
      <c r="AL1357" t="s">
        <v>380</v>
      </c>
      <c r="AM1357" t="s">
        <v>245</v>
      </c>
      <c r="AN1357" t="s">
        <v>63</v>
      </c>
      <c r="AO1357" t="s">
        <v>7045</v>
      </c>
      <c r="AP1357" t="s">
        <v>7057</v>
      </c>
    </row>
    <row r="1358" spans="1:42" x14ac:dyDescent="0.45">
      <c r="A1358" t="s">
        <v>6617</v>
      </c>
      <c r="B1358" t="s">
        <v>6618</v>
      </c>
      <c r="C1358" t="s">
        <v>7037</v>
      </c>
      <c r="D1358">
        <v>2025</v>
      </c>
      <c r="E1358" t="s">
        <v>45</v>
      </c>
      <c r="F1358" t="s">
        <v>6620</v>
      </c>
      <c r="J1358" t="s">
        <v>7061</v>
      </c>
      <c r="K1358" t="s">
        <v>7062</v>
      </c>
      <c r="L1358" t="s">
        <v>7063</v>
      </c>
      <c r="M1358" t="s">
        <v>7064</v>
      </c>
      <c r="N1358" t="s">
        <v>51</v>
      </c>
      <c r="O1358" t="s">
        <v>52</v>
      </c>
      <c r="P1358" t="s">
        <v>53</v>
      </c>
      <c r="Q1358" t="s">
        <v>7042</v>
      </c>
      <c r="S1358">
        <v>6</v>
      </c>
      <c r="T1358" t="s">
        <v>7065</v>
      </c>
      <c r="U1358">
        <v>1177</v>
      </c>
      <c r="Y1358" t="s">
        <v>7044</v>
      </c>
      <c r="Z1358">
        <v>560.21</v>
      </c>
      <c r="AA1358">
        <v>1319.27</v>
      </c>
      <c r="AB1358">
        <v>739064</v>
      </c>
      <c r="AC1358" t="b">
        <v>0</v>
      </c>
      <c r="AD1358" t="b">
        <v>0</v>
      </c>
      <c r="AE1358" t="b">
        <v>0</v>
      </c>
      <c r="AF1358" t="b">
        <v>0</v>
      </c>
      <c r="AG1358" t="s">
        <v>58</v>
      </c>
      <c r="AH1358">
        <v>8</v>
      </c>
      <c r="AI1358" t="s">
        <v>169</v>
      </c>
      <c r="AJ1358" t="s">
        <v>60</v>
      </c>
      <c r="AL1358" t="s">
        <v>380</v>
      </c>
      <c r="AM1358" t="s">
        <v>245</v>
      </c>
      <c r="AN1358" t="s">
        <v>63</v>
      </c>
      <c r="AO1358" t="s">
        <v>7045</v>
      </c>
      <c r="AP1358" t="s">
        <v>7062</v>
      </c>
    </row>
    <row r="1359" spans="1:42" x14ac:dyDescent="0.45">
      <c r="A1359" t="s">
        <v>6617</v>
      </c>
      <c r="B1359" t="s">
        <v>6618</v>
      </c>
      <c r="C1359" t="s">
        <v>7037</v>
      </c>
      <c r="D1359">
        <v>2025</v>
      </c>
      <c r="E1359" t="s">
        <v>45</v>
      </c>
      <c r="F1359" t="s">
        <v>6620</v>
      </c>
      <c r="J1359" t="s">
        <v>7066</v>
      </c>
      <c r="K1359" t="s">
        <v>7067</v>
      </c>
      <c r="L1359" t="s">
        <v>7068</v>
      </c>
      <c r="M1359" t="s">
        <v>7069</v>
      </c>
      <c r="N1359" t="s">
        <v>51</v>
      </c>
      <c r="O1359" t="s">
        <v>52</v>
      </c>
      <c r="P1359" t="s">
        <v>53</v>
      </c>
      <c r="Q1359" t="s">
        <v>7042</v>
      </c>
      <c r="S1359">
        <v>5</v>
      </c>
      <c r="T1359" t="s">
        <v>7070</v>
      </c>
      <c r="U1359">
        <v>503</v>
      </c>
      <c r="Y1359" t="s">
        <v>7044</v>
      </c>
      <c r="Z1359">
        <v>560.16999999999996</v>
      </c>
      <c r="AA1359">
        <v>119.44</v>
      </c>
      <c r="AB1359">
        <v>66908</v>
      </c>
      <c r="AC1359" t="b">
        <v>0</v>
      </c>
      <c r="AD1359" t="b">
        <v>0</v>
      </c>
      <c r="AE1359" t="b">
        <v>0</v>
      </c>
      <c r="AF1359" t="b">
        <v>0</v>
      </c>
      <c r="AG1359" t="s">
        <v>58</v>
      </c>
      <c r="AH1359">
        <v>8</v>
      </c>
      <c r="AI1359" t="s">
        <v>169</v>
      </c>
      <c r="AJ1359" t="s">
        <v>60</v>
      </c>
      <c r="AL1359" t="s">
        <v>380</v>
      </c>
      <c r="AM1359" t="s">
        <v>245</v>
      </c>
      <c r="AN1359" t="s">
        <v>63</v>
      </c>
      <c r="AO1359" t="s">
        <v>7045</v>
      </c>
      <c r="AP1359" t="s">
        <v>7067</v>
      </c>
    </row>
    <row r="1360" spans="1:42" x14ac:dyDescent="0.45">
      <c r="A1360" t="s">
        <v>6617</v>
      </c>
      <c r="B1360" t="s">
        <v>6618</v>
      </c>
      <c r="C1360" t="s">
        <v>7037</v>
      </c>
      <c r="D1360">
        <v>2025</v>
      </c>
      <c r="E1360" t="s">
        <v>45</v>
      </c>
      <c r="F1360" t="s">
        <v>6620</v>
      </c>
      <c r="J1360" t="s">
        <v>7071</v>
      </c>
      <c r="K1360" t="s">
        <v>7072</v>
      </c>
      <c r="L1360" t="s">
        <v>7073</v>
      </c>
      <c r="M1360" t="s">
        <v>7074</v>
      </c>
      <c r="N1360" t="s">
        <v>51</v>
      </c>
      <c r="O1360" t="s">
        <v>52</v>
      </c>
      <c r="P1360" t="s">
        <v>53</v>
      </c>
      <c r="Q1360" t="s">
        <v>7042</v>
      </c>
      <c r="S1360">
        <v>7</v>
      </c>
      <c r="T1360" t="s">
        <v>7075</v>
      </c>
      <c r="U1360">
        <v>2217</v>
      </c>
      <c r="Y1360" t="s">
        <v>7044</v>
      </c>
      <c r="Z1360">
        <v>560.25</v>
      </c>
      <c r="AA1360">
        <v>1809.89</v>
      </c>
      <c r="AB1360">
        <v>1013990</v>
      </c>
      <c r="AC1360" t="b">
        <v>0</v>
      </c>
      <c r="AD1360" t="b">
        <v>0</v>
      </c>
      <c r="AE1360" t="b">
        <v>0</v>
      </c>
      <c r="AF1360" t="b">
        <v>0</v>
      </c>
      <c r="AG1360" t="s">
        <v>58</v>
      </c>
      <c r="AH1360">
        <v>10</v>
      </c>
      <c r="AI1360" t="s">
        <v>386</v>
      </c>
      <c r="AJ1360" t="s">
        <v>387</v>
      </c>
      <c r="AL1360" t="s">
        <v>983</v>
      </c>
      <c r="AM1360" t="s">
        <v>245</v>
      </c>
      <c r="AN1360" t="s">
        <v>63</v>
      </c>
      <c r="AO1360" t="s">
        <v>7045</v>
      </c>
      <c r="AP1360" t="s">
        <v>7072</v>
      </c>
    </row>
    <row r="1361" spans="1:42" x14ac:dyDescent="0.45">
      <c r="A1361" t="s">
        <v>6617</v>
      </c>
      <c r="B1361" t="s">
        <v>6618</v>
      </c>
      <c r="C1361" t="s">
        <v>7037</v>
      </c>
      <c r="D1361">
        <v>2025</v>
      </c>
      <c r="E1361" t="s">
        <v>45</v>
      </c>
      <c r="F1361" t="s">
        <v>6620</v>
      </c>
      <c r="J1361" t="s">
        <v>7076</v>
      </c>
      <c r="K1361" t="s">
        <v>7077</v>
      </c>
      <c r="L1361" t="s">
        <v>7078</v>
      </c>
      <c r="M1361" t="s">
        <v>7079</v>
      </c>
      <c r="N1361" t="s">
        <v>51</v>
      </c>
      <c r="O1361" t="s">
        <v>52</v>
      </c>
      <c r="P1361" t="s">
        <v>53</v>
      </c>
      <c r="Q1361" t="s">
        <v>7042</v>
      </c>
      <c r="S1361">
        <v>2</v>
      </c>
      <c r="T1361" t="s">
        <v>7080</v>
      </c>
      <c r="U1361">
        <v>456</v>
      </c>
      <c r="Y1361" t="s">
        <v>7044</v>
      </c>
      <c r="Z1361">
        <v>559.21</v>
      </c>
      <c r="AA1361">
        <v>882.21</v>
      </c>
      <c r="AB1361">
        <v>493338</v>
      </c>
      <c r="AC1361" t="b">
        <v>0</v>
      </c>
      <c r="AD1361" t="b">
        <v>0</v>
      </c>
      <c r="AE1361" t="b">
        <v>0</v>
      </c>
      <c r="AF1361" t="b">
        <v>0</v>
      </c>
      <c r="AG1361" t="s">
        <v>58</v>
      </c>
      <c r="AH1361">
        <v>8</v>
      </c>
      <c r="AI1361" t="s">
        <v>169</v>
      </c>
      <c r="AJ1361" t="s">
        <v>60</v>
      </c>
      <c r="AL1361" t="s">
        <v>380</v>
      </c>
      <c r="AM1361" t="s">
        <v>245</v>
      </c>
      <c r="AN1361" t="s">
        <v>63</v>
      </c>
      <c r="AO1361" t="s">
        <v>7045</v>
      </c>
      <c r="AP1361" t="s">
        <v>7077</v>
      </c>
    </row>
    <row r="1362" spans="1:42" x14ac:dyDescent="0.45">
      <c r="A1362" t="s">
        <v>6617</v>
      </c>
      <c r="B1362" t="s">
        <v>6618</v>
      </c>
      <c r="C1362" t="s">
        <v>7081</v>
      </c>
      <c r="D1362">
        <v>2026</v>
      </c>
      <c r="E1362" t="s">
        <v>45</v>
      </c>
      <c r="F1362" t="s">
        <v>6620</v>
      </c>
      <c r="J1362" t="s">
        <v>7082</v>
      </c>
      <c r="K1362" t="s">
        <v>7083</v>
      </c>
      <c r="L1362" t="s">
        <v>7084</v>
      </c>
      <c r="M1362" t="s">
        <v>7085</v>
      </c>
      <c r="N1362" t="s">
        <v>51</v>
      </c>
      <c r="O1362" t="s">
        <v>52</v>
      </c>
      <c r="P1362" t="s">
        <v>53</v>
      </c>
      <c r="Q1362" t="s">
        <v>7086</v>
      </c>
      <c r="S1362">
        <v>8</v>
      </c>
      <c r="T1362" t="s">
        <v>7087</v>
      </c>
      <c r="U1362">
        <v>899</v>
      </c>
      <c r="V1362">
        <v>363</v>
      </c>
      <c r="W1362">
        <v>2.4765999999999999</v>
      </c>
      <c r="X1362" t="s">
        <v>242</v>
      </c>
      <c r="Y1362" t="s">
        <v>7088</v>
      </c>
      <c r="Z1362">
        <v>180.81</v>
      </c>
      <c r="AA1362">
        <v>221.18</v>
      </c>
      <c r="AB1362">
        <v>39992</v>
      </c>
      <c r="AC1362" t="b">
        <v>0</v>
      </c>
      <c r="AD1362" t="b">
        <v>0</v>
      </c>
      <c r="AE1362" t="b">
        <v>0</v>
      </c>
      <c r="AF1362" t="b">
        <v>0</v>
      </c>
      <c r="AG1362" t="s">
        <v>58</v>
      </c>
      <c r="AH1362">
        <v>8</v>
      </c>
      <c r="AI1362" t="s">
        <v>169</v>
      </c>
      <c r="AJ1362" t="s">
        <v>60</v>
      </c>
      <c r="AL1362" t="s">
        <v>380</v>
      </c>
      <c r="AM1362" t="s">
        <v>245</v>
      </c>
      <c r="AN1362" t="s">
        <v>63</v>
      </c>
      <c r="AO1362" t="s">
        <v>7089</v>
      </c>
      <c r="AP1362" t="s">
        <v>7083</v>
      </c>
    </row>
    <row r="1363" spans="1:42" x14ac:dyDescent="0.45">
      <c r="A1363" t="s">
        <v>6617</v>
      </c>
      <c r="B1363" t="s">
        <v>6618</v>
      </c>
      <c r="C1363" t="s">
        <v>7081</v>
      </c>
      <c r="D1363">
        <v>2026</v>
      </c>
      <c r="E1363" t="s">
        <v>45</v>
      </c>
      <c r="F1363" t="s">
        <v>6620</v>
      </c>
      <c r="J1363" t="s">
        <v>7090</v>
      </c>
      <c r="K1363" t="s">
        <v>7091</v>
      </c>
      <c r="L1363" t="s">
        <v>7092</v>
      </c>
      <c r="M1363" t="s">
        <v>7093</v>
      </c>
      <c r="N1363" t="s">
        <v>51</v>
      </c>
      <c r="O1363" t="s">
        <v>52</v>
      </c>
      <c r="P1363" t="s">
        <v>53</v>
      </c>
      <c r="Q1363" t="s">
        <v>7086</v>
      </c>
      <c r="S1363">
        <v>22</v>
      </c>
      <c r="T1363" t="s">
        <v>7094</v>
      </c>
      <c r="U1363">
        <v>655</v>
      </c>
      <c r="V1363">
        <v>363</v>
      </c>
      <c r="W1363">
        <v>1.8044</v>
      </c>
      <c r="X1363" t="s">
        <v>242</v>
      </c>
      <c r="Y1363" t="s">
        <v>7088</v>
      </c>
      <c r="Z1363">
        <v>175.12</v>
      </c>
      <c r="AA1363">
        <v>52.36</v>
      </c>
      <c r="AB1363">
        <v>9169</v>
      </c>
      <c r="AC1363" t="b">
        <v>0</v>
      </c>
      <c r="AD1363" t="b">
        <v>0</v>
      </c>
      <c r="AE1363" t="b">
        <v>0</v>
      </c>
      <c r="AF1363" t="b">
        <v>0</v>
      </c>
      <c r="AG1363" t="s">
        <v>58</v>
      </c>
      <c r="AH1363">
        <v>8</v>
      </c>
      <c r="AI1363" t="s">
        <v>169</v>
      </c>
      <c r="AJ1363" t="s">
        <v>60</v>
      </c>
      <c r="AL1363" t="s">
        <v>380</v>
      </c>
      <c r="AM1363" t="s">
        <v>245</v>
      </c>
      <c r="AN1363" t="s">
        <v>63</v>
      </c>
      <c r="AO1363" t="s">
        <v>7089</v>
      </c>
      <c r="AP1363" t="s">
        <v>7091</v>
      </c>
    </row>
    <row r="1364" spans="1:42" x14ac:dyDescent="0.45">
      <c r="A1364" t="s">
        <v>6617</v>
      </c>
      <c r="B1364" t="s">
        <v>6618</v>
      </c>
      <c r="C1364" t="s">
        <v>7081</v>
      </c>
      <c r="D1364">
        <v>2026</v>
      </c>
      <c r="E1364" t="s">
        <v>45</v>
      </c>
      <c r="F1364" t="s">
        <v>6620</v>
      </c>
      <c r="J1364" t="s">
        <v>7095</v>
      </c>
      <c r="K1364" t="s">
        <v>7096</v>
      </c>
      <c r="L1364" t="s">
        <v>7097</v>
      </c>
      <c r="M1364" t="s">
        <v>7098</v>
      </c>
      <c r="N1364" t="s">
        <v>51</v>
      </c>
      <c r="O1364" t="s">
        <v>52</v>
      </c>
      <c r="P1364" t="s">
        <v>53</v>
      </c>
      <c r="Q1364" t="s">
        <v>7086</v>
      </c>
      <c r="S1364">
        <v>21</v>
      </c>
      <c r="T1364" t="s">
        <v>7099</v>
      </c>
      <c r="U1364">
        <v>89</v>
      </c>
      <c r="V1364">
        <v>363</v>
      </c>
      <c r="W1364">
        <v>0.2452</v>
      </c>
      <c r="X1364" t="s">
        <v>56</v>
      </c>
      <c r="Y1364" t="s">
        <v>7088</v>
      </c>
      <c r="Z1364">
        <v>176.9</v>
      </c>
      <c r="AA1364">
        <v>209.03</v>
      </c>
      <c r="AB1364">
        <v>36977</v>
      </c>
      <c r="AC1364" t="b">
        <v>0</v>
      </c>
      <c r="AD1364" t="b">
        <v>0</v>
      </c>
      <c r="AE1364" t="b">
        <v>0</v>
      </c>
      <c r="AF1364" t="b">
        <v>0</v>
      </c>
      <c r="AG1364" t="s">
        <v>58</v>
      </c>
      <c r="AH1364">
        <v>8</v>
      </c>
      <c r="AI1364" t="s">
        <v>169</v>
      </c>
      <c r="AJ1364" t="s">
        <v>60</v>
      </c>
      <c r="AL1364" t="s">
        <v>380</v>
      </c>
      <c r="AM1364" t="s">
        <v>245</v>
      </c>
      <c r="AN1364" t="s">
        <v>63</v>
      </c>
      <c r="AO1364" t="s">
        <v>7089</v>
      </c>
      <c r="AP1364" t="s">
        <v>7096</v>
      </c>
    </row>
    <row r="1365" spans="1:42" x14ac:dyDescent="0.45">
      <c r="A1365" t="s">
        <v>6617</v>
      </c>
      <c r="B1365" t="s">
        <v>6618</v>
      </c>
      <c r="C1365" t="s">
        <v>7081</v>
      </c>
      <c r="D1365">
        <v>2026</v>
      </c>
      <c r="E1365" t="s">
        <v>45</v>
      </c>
      <c r="F1365" t="s">
        <v>6620</v>
      </c>
      <c r="J1365" t="s">
        <v>7100</v>
      </c>
      <c r="K1365" t="s">
        <v>7101</v>
      </c>
      <c r="L1365" t="s">
        <v>7102</v>
      </c>
      <c r="M1365" t="s">
        <v>7103</v>
      </c>
      <c r="N1365" t="s">
        <v>51</v>
      </c>
      <c r="O1365" t="s">
        <v>52</v>
      </c>
      <c r="P1365" t="s">
        <v>53</v>
      </c>
      <c r="Q1365" t="s">
        <v>7086</v>
      </c>
      <c r="S1365">
        <v>11</v>
      </c>
      <c r="T1365" t="s">
        <v>7104</v>
      </c>
      <c r="U1365">
        <v>575</v>
      </c>
      <c r="V1365">
        <v>363</v>
      </c>
      <c r="W1365">
        <v>1.5840000000000001</v>
      </c>
      <c r="X1365" t="s">
        <v>70</v>
      </c>
      <c r="Y1365" t="s">
        <v>7088</v>
      </c>
      <c r="Z1365">
        <v>179.79</v>
      </c>
      <c r="AA1365">
        <v>362.94</v>
      </c>
      <c r="AB1365">
        <v>65253</v>
      </c>
      <c r="AC1365" t="b">
        <v>0</v>
      </c>
      <c r="AD1365" t="b">
        <v>0</v>
      </c>
      <c r="AE1365" t="b">
        <v>0</v>
      </c>
      <c r="AF1365" t="b">
        <v>0</v>
      </c>
      <c r="AG1365" t="s">
        <v>58</v>
      </c>
      <c r="AH1365">
        <v>-15</v>
      </c>
      <c r="AI1365" t="s">
        <v>59</v>
      </c>
      <c r="AJ1365" t="s">
        <v>60</v>
      </c>
      <c r="AK1365" t="s">
        <v>433</v>
      </c>
      <c r="AL1365" t="s">
        <v>434</v>
      </c>
      <c r="AM1365" t="s">
        <v>245</v>
      </c>
      <c r="AN1365" t="s">
        <v>63</v>
      </c>
      <c r="AO1365" t="s">
        <v>7089</v>
      </c>
      <c r="AP1365" t="s">
        <v>7101</v>
      </c>
    </row>
    <row r="1366" spans="1:42" x14ac:dyDescent="0.45">
      <c r="A1366" t="s">
        <v>6617</v>
      </c>
      <c r="B1366" t="s">
        <v>6618</v>
      </c>
      <c r="C1366" t="s">
        <v>7081</v>
      </c>
      <c r="D1366">
        <v>2026</v>
      </c>
      <c r="E1366" t="s">
        <v>45</v>
      </c>
      <c r="F1366" t="s">
        <v>6620</v>
      </c>
      <c r="J1366" t="s">
        <v>7105</v>
      </c>
      <c r="K1366" t="s">
        <v>7106</v>
      </c>
      <c r="L1366" t="s">
        <v>7107</v>
      </c>
      <c r="M1366" t="s">
        <v>7108</v>
      </c>
      <c r="N1366" t="s">
        <v>51</v>
      </c>
      <c r="O1366" t="s">
        <v>52</v>
      </c>
      <c r="P1366" t="s">
        <v>53</v>
      </c>
      <c r="Q1366" t="s">
        <v>7086</v>
      </c>
      <c r="S1366">
        <v>9</v>
      </c>
      <c r="T1366" t="s">
        <v>7109</v>
      </c>
      <c r="U1366">
        <v>81</v>
      </c>
      <c r="V1366">
        <v>363</v>
      </c>
      <c r="W1366">
        <v>0.22309999999999999</v>
      </c>
      <c r="X1366" t="s">
        <v>56</v>
      </c>
      <c r="Y1366" t="s">
        <v>7088</v>
      </c>
      <c r="Z1366">
        <v>179.2</v>
      </c>
      <c r="AA1366">
        <v>72.61</v>
      </c>
      <c r="AB1366">
        <v>13011</v>
      </c>
      <c r="AC1366" t="b">
        <v>0</v>
      </c>
      <c r="AD1366" t="b">
        <v>0</v>
      </c>
      <c r="AE1366" t="b">
        <v>0</v>
      </c>
      <c r="AF1366" t="b">
        <v>0</v>
      </c>
      <c r="AG1366" t="s">
        <v>58</v>
      </c>
      <c r="AH1366">
        <v>8</v>
      </c>
      <c r="AI1366" t="s">
        <v>169</v>
      </c>
      <c r="AJ1366" t="s">
        <v>60</v>
      </c>
      <c r="AL1366" t="s">
        <v>380</v>
      </c>
      <c r="AM1366" t="s">
        <v>245</v>
      </c>
      <c r="AN1366" t="s">
        <v>63</v>
      </c>
      <c r="AO1366" t="s">
        <v>7089</v>
      </c>
      <c r="AP1366" t="s">
        <v>7106</v>
      </c>
    </row>
    <row r="1367" spans="1:42" x14ac:dyDescent="0.45">
      <c r="A1367" t="s">
        <v>6617</v>
      </c>
      <c r="B1367" t="s">
        <v>6618</v>
      </c>
      <c r="C1367" t="s">
        <v>7081</v>
      </c>
      <c r="D1367">
        <v>2026</v>
      </c>
      <c r="E1367" t="s">
        <v>45</v>
      </c>
      <c r="F1367" t="s">
        <v>6620</v>
      </c>
      <c r="J1367" t="s">
        <v>7110</v>
      </c>
      <c r="K1367" t="s">
        <v>7111</v>
      </c>
      <c r="L1367" t="s">
        <v>7112</v>
      </c>
      <c r="M1367" t="s">
        <v>7113</v>
      </c>
      <c r="N1367" t="s">
        <v>51</v>
      </c>
      <c r="O1367" t="s">
        <v>52</v>
      </c>
      <c r="P1367" t="s">
        <v>53</v>
      </c>
      <c r="Q1367" t="s">
        <v>7086</v>
      </c>
      <c r="S1367">
        <v>27</v>
      </c>
      <c r="T1367" t="s">
        <v>7114</v>
      </c>
      <c r="U1367">
        <v>715</v>
      </c>
      <c r="V1367">
        <v>363</v>
      </c>
      <c r="W1367">
        <v>1.9697</v>
      </c>
      <c r="X1367" t="s">
        <v>242</v>
      </c>
      <c r="Y1367" t="s">
        <v>7088</v>
      </c>
      <c r="Z1367">
        <v>171.83</v>
      </c>
      <c r="AA1367">
        <v>12.7</v>
      </c>
      <c r="AB1367">
        <v>2182</v>
      </c>
      <c r="AC1367" t="b">
        <v>0</v>
      </c>
      <c r="AD1367" t="b">
        <v>0</v>
      </c>
      <c r="AE1367" t="b">
        <v>0</v>
      </c>
      <c r="AF1367" t="b">
        <v>0</v>
      </c>
      <c r="AG1367" t="s">
        <v>58</v>
      </c>
      <c r="AH1367">
        <v>8</v>
      </c>
      <c r="AI1367" t="s">
        <v>169</v>
      </c>
      <c r="AJ1367" t="s">
        <v>60</v>
      </c>
      <c r="AL1367" t="s">
        <v>380</v>
      </c>
      <c r="AM1367" t="s">
        <v>245</v>
      </c>
      <c r="AN1367" t="s">
        <v>63</v>
      </c>
      <c r="AO1367" t="s">
        <v>7089</v>
      </c>
      <c r="AP1367" t="s">
        <v>7111</v>
      </c>
    </row>
    <row r="1368" spans="1:42" x14ac:dyDescent="0.45">
      <c r="A1368" t="s">
        <v>6617</v>
      </c>
      <c r="B1368" t="s">
        <v>6618</v>
      </c>
      <c r="C1368" t="s">
        <v>7081</v>
      </c>
      <c r="D1368">
        <v>2026</v>
      </c>
      <c r="E1368" t="s">
        <v>45</v>
      </c>
      <c r="F1368" t="s">
        <v>6620</v>
      </c>
      <c r="J1368" t="s">
        <v>7115</v>
      </c>
      <c r="K1368" t="s">
        <v>7116</v>
      </c>
      <c r="L1368" t="s">
        <v>7117</v>
      </c>
      <c r="M1368" t="s">
        <v>7118</v>
      </c>
      <c r="N1368" t="s">
        <v>51</v>
      </c>
      <c r="O1368" t="s">
        <v>52</v>
      </c>
      <c r="P1368" t="s">
        <v>53</v>
      </c>
      <c r="Q1368" t="s">
        <v>7086</v>
      </c>
      <c r="S1368">
        <v>14</v>
      </c>
      <c r="T1368" t="s">
        <v>7119</v>
      </c>
      <c r="U1368">
        <v>2092</v>
      </c>
      <c r="V1368">
        <v>363</v>
      </c>
      <c r="W1368">
        <v>5.7630999999999997</v>
      </c>
      <c r="X1368" t="s">
        <v>242</v>
      </c>
      <c r="Y1368" t="s">
        <v>7088</v>
      </c>
      <c r="Z1368">
        <v>175.79</v>
      </c>
      <c r="AA1368">
        <v>43.26</v>
      </c>
      <c r="AB1368">
        <v>7605</v>
      </c>
      <c r="AC1368" t="b">
        <v>0</v>
      </c>
      <c r="AD1368" t="b">
        <v>0</v>
      </c>
      <c r="AE1368" t="b">
        <v>0</v>
      </c>
      <c r="AF1368" t="b">
        <v>0</v>
      </c>
      <c r="AG1368" t="s">
        <v>58</v>
      </c>
      <c r="AH1368">
        <v>10</v>
      </c>
      <c r="AI1368" t="s">
        <v>386</v>
      </c>
      <c r="AJ1368" t="s">
        <v>387</v>
      </c>
      <c r="AL1368" t="s">
        <v>983</v>
      </c>
      <c r="AM1368" t="s">
        <v>245</v>
      </c>
      <c r="AN1368" t="s">
        <v>63</v>
      </c>
      <c r="AO1368" t="s">
        <v>7089</v>
      </c>
      <c r="AP1368" t="s">
        <v>7116</v>
      </c>
    </row>
    <row r="1369" spans="1:42" x14ac:dyDescent="0.45">
      <c r="A1369" t="s">
        <v>6617</v>
      </c>
      <c r="B1369" t="s">
        <v>6618</v>
      </c>
      <c r="C1369" t="s">
        <v>7081</v>
      </c>
      <c r="D1369">
        <v>2026</v>
      </c>
      <c r="E1369" t="s">
        <v>45</v>
      </c>
      <c r="F1369" t="s">
        <v>6620</v>
      </c>
      <c r="J1369" t="s">
        <v>7120</v>
      </c>
      <c r="K1369" t="s">
        <v>7121</v>
      </c>
      <c r="L1369" t="s">
        <v>7122</v>
      </c>
      <c r="M1369" t="s">
        <v>7123</v>
      </c>
      <c r="N1369" t="s">
        <v>51</v>
      </c>
      <c r="O1369" t="s">
        <v>52</v>
      </c>
      <c r="P1369" t="s">
        <v>53</v>
      </c>
      <c r="Q1369" t="s">
        <v>7086</v>
      </c>
      <c r="S1369">
        <v>15</v>
      </c>
      <c r="T1369" t="s">
        <v>7124</v>
      </c>
      <c r="U1369">
        <v>641</v>
      </c>
      <c r="V1369">
        <v>363</v>
      </c>
      <c r="W1369">
        <v>1.7658</v>
      </c>
      <c r="X1369" t="s">
        <v>242</v>
      </c>
      <c r="Y1369" t="s">
        <v>7088</v>
      </c>
      <c r="Z1369">
        <v>176.25</v>
      </c>
      <c r="AA1369">
        <v>304.72000000000003</v>
      </c>
      <c r="AB1369">
        <v>53707</v>
      </c>
      <c r="AC1369" t="b">
        <v>0</v>
      </c>
      <c r="AD1369" t="b">
        <v>0</v>
      </c>
      <c r="AE1369" t="b">
        <v>0</v>
      </c>
      <c r="AF1369" t="b">
        <v>0</v>
      </c>
      <c r="AG1369" t="s">
        <v>58</v>
      </c>
      <c r="AH1369">
        <v>8</v>
      </c>
      <c r="AI1369" t="s">
        <v>169</v>
      </c>
      <c r="AJ1369" t="s">
        <v>60</v>
      </c>
      <c r="AL1369" t="s">
        <v>380</v>
      </c>
      <c r="AM1369" t="s">
        <v>245</v>
      </c>
      <c r="AN1369" t="s">
        <v>63</v>
      </c>
      <c r="AO1369" t="s">
        <v>7089</v>
      </c>
      <c r="AP1369" t="s">
        <v>7121</v>
      </c>
    </row>
    <row r="1370" spans="1:42" x14ac:dyDescent="0.45">
      <c r="A1370" t="s">
        <v>6617</v>
      </c>
      <c r="B1370" t="s">
        <v>6618</v>
      </c>
      <c r="C1370" t="s">
        <v>7081</v>
      </c>
      <c r="D1370">
        <v>2026</v>
      </c>
      <c r="E1370" t="s">
        <v>45</v>
      </c>
      <c r="F1370" t="s">
        <v>6620</v>
      </c>
      <c r="J1370" t="s">
        <v>7125</v>
      </c>
      <c r="K1370" t="s">
        <v>7126</v>
      </c>
      <c r="L1370" t="s">
        <v>7127</v>
      </c>
      <c r="M1370" t="s">
        <v>7128</v>
      </c>
      <c r="N1370" t="s">
        <v>51</v>
      </c>
      <c r="O1370" t="s">
        <v>52</v>
      </c>
      <c r="P1370" t="s">
        <v>53</v>
      </c>
      <c r="Q1370" t="s">
        <v>7086</v>
      </c>
      <c r="S1370">
        <v>13</v>
      </c>
      <c r="T1370" t="s">
        <v>7129</v>
      </c>
      <c r="U1370">
        <v>2767</v>
      </c>
      <c r="V1370">
        <v>363</v>
      </c>
      <c r="W1370">
        <v>7.6226000000000003</v>
      </c>
      <c r="X1370" t="s">
        <v>242</v>
      </c>
      <c r="Y1370" t="s">
        <v>7088</v>
      </c>
      <c r="Z1370">
        <v>178.12</v>
      </c>
      <c r="AA1370">
        <v>110.71</v>
      </c>
      <c r="AB1370">
        <v>19720</v>
      </c>
      <c r="AC1370" t="b">
        <v>0</v>
      </c>
      <c r="AD1370" t="b">
        <v>0</v>
      </c>
      <c r="AE1370" t="b">
        <v>0</v>
      </c>
      <c r="AF1370" t="b">
        <v>0</v>
      </c>
      <c r="AG1370" t="s">
        <v>58</v>
      </c>
      <c r="AH1370">
        <v>10</v>
      </c>
      <c r="AI1370" t="s">
        <v>386</v>
      </c>
      <c r="AJ1370" t="s">
        <v>387</v>
      </c>
      <c r="AL1370" t="s">
        <v>983</v>
      </c>
      <c r="AM1370" t="s">
        <v>245</v>
      </c>
      <c r="AN1370" t="s">
        <v>63</v>
      </c>
      <c r="AO1370" t="s">
        <v>7089</v>
      </c>
      <c r="AP1370" t="s">
        <v>7126</v>
      </c>
    </row>
    <row r="1371" spans="1:42" x14ac:dyDescent="0.45">
      <c r="A1371" t="s">
        <v>6617</v>
      </c>
      <c r="B1371" t="s">
        <v>6618</v>
      </c>
      <c r="C1371" t="s">
        <v>7081</v>
      </c>
      <c r="D1371">
        <v>2026</v>
      </c>
      <c r="E1371" t="s">
        <v>45</v>
      </c>
      <c r="F1371" t="s">
        <v>6620</v>
      </c>
      <c r="J1371" t="s">
        <v>7130</v>
      </c>
      <c r="K1371" t="s">
        <v>7131</v>
      </c>
      <c r="L1371" t="s">
        <v>7132</v>
      </c>
      <c r="M1371" t="s">
        <v>7133</v>
      </c>
      <c r="N1371" t="s">
        <v>89</v>
      </c>
      <c r="O1371" t="s">
        <v>90</v>
      </c>
      <c r="P1371" t="s">
        <v>91</v>
      </c>
      <c r="Q1371" t="s">
        <v>7086</v>
      </c>
      <c r="S1371">
        <v>2</v>
      </c>
      <c r="T1371" t="s">
        <v>7134</v>
      </c>
      <c r="U1371">
        <v>10708</v>
      </c>
      <c r="V1371">
        <v>363</v>
      </c>
      <c r="W1371">
        <v>29.4986</v>
      </c>
      <c r="X1371" t="s">
        <v>242</v>
      </c>
      <c r="Y1371" t="s">
        <v>7088</v>
      </c>
      <c r="Z1371">
        <v>176.75</v>
      </c>
      <c r="AA1371">
        <v>8492.19</v>
      </c>
      <c r="AB1371">
        <v>1500991</v>
      </c>
      <c r="AC1371" t="b">
        <v>0</v>
      </c>
      <c r="AD1371" t="b">
        <v>0</v>
      </c>
      <c r="AE1371" t="b">
        <v>0</v>
      </c>
      <c r="AF1371" t="b">
        <v>0</v>
      </c>
      <c r="AG1371" t="s">
        <v>58</v>
      </c>
      <c r="AH1371">
        <v>10</v>
      </c>
      <c r="AI1371" t="s">
        <v>386</v>
      </c>
      <c r="AJ1371" t="s">
        <v>387</v>
      </c>
      <c r="AL1371" t="s">
        <v>983</v>
      </c>
      <c r="AM1371" t="s">
        <v>245</v>
      </c>
      <c r="AN1371" t="s">
        <v>63</v>
      </c>
      <c r="AO1371" t="s">
        <v>7089</v>
      </c>
      <c r="AP1371" t="s">
        <v>7131</v>
      </c>
    </row>
    <row r="1372" spans="1:42" x14ac:dyDescent="0.45">
      <c r="A1372" t="s">
        <v>6617</v>
      </c>
      <c r="B1372" t="s">
        <v>6618</v>
      </c>
      <c r="C1372" t="s">
        <v>7081</v>
      </c>
      <c r="D1372">
        <v>2026</v>
      </c>
      <c r="E1372" t="s">
        <v>45</v>
      </c>
      <c r="F1372" t="s">
        <v>6620</v>
      </c>
      <c r="J1372" t="s">
        <v>7135</v>
      </c>
      <c r="K1372" t="s">
        <v>7136</v>
      </c>
      <c r="L1372" t="s">
        <v>7137</v>
      </c>
      <c r="M1372" t="s">
        <v>7138</v>
      </c>
      <c r="N1372" t="s">
        <v>51</v>
      </c>
      <c r="O1372" t="s">
        <v>52</v>
      </c>
      <c r="P1372" t="s">
        <v>53</v>
      </c>
      <c r="Q1372" t="s">
        <v>7086</v>
      </c>
      <c r="S1372">
        <v>28</v>
      </c>
      <c r="T1372" t="s">
        <v>7139</v>
      </c>
      <c r="U1372">
        <v>2886</v>
      </c>
      <c r="V1372">
        <v>363</v>
      </c>
      <c r="W1372">
        <v>7.9504000000000001</v>
      </c>
      <c r="X1372" t="s">
        <v>242</v>
      </c>
      <c r="Y1372" t="s">
        <v>7088</v>
      </c>
      <c r="Z1372">
        <v>172.12</v>
      </c>
      <c r="AA1372">
        <v>41.34</v>
      </c>
      <c r="AB1372">
        <v>7115</v>
      </c>
      <c r="AC1372" t="b">
        <v>0</v>
      </c>
      <c r="AD1372" t="b">
        <v>0</v>
      </c>
      <c r="AE1372" t="b">
        <v>0</v>
      </c>
      <c r="AF1372" t="b">
        <v>0</v>
      </c>
      <c r="AG1372" t="s">
        <v>58</v>
      </c>
      <c r="AH1372">
        <v>10</v>
      </c>
      <c r="AI1372" t="s">
        <v>386</v>
      </c>
      <c r="AJ1372" t="s">
        <v>387</v>
      </c>
      <c r="AL1372" t="s">
        <v>983</v>
      </c>
      <c r="AM1372" t="s">
        <v>245</v>
      </c>
      <c r="AN1372" t="s">
        <v>63</v>
      </c>
      <c r="AO1372" t="s">
        <v>7089</v>
      </c>
      <c r="AP1372" t="s">
        <v>7136</v>
      </c>
    </row>
    <row r="1373" spans="1:42" x14ac:dyDescent="0.45">
      <c r="A1373" t="s">
        <v>6617</v>
      </c>
      <c r="B1373" t="s">
        <v>6618</v>
      </c>
      <c r="C1373" t="s">
        <v>7081</v>
      </c>
      <c r="D1373">
        <v>2026</v>
      </c>
      <c r="E1373" t="s">
        <v>45</v>
      </c>
      <c r="F1373" t="s">
        <v>6620</v>
      </c>
      <c r="J1373" t="s">
        <v>7140</v>
      </c>
      <c r="K1373" t="s">
        <v>7141</v>
      </c>
      <c r="L1373" t="s">
        <v>7142</v>
      </c>
      <c r="M1373" t="s">
        <v>7143</v>
      </c>
      <c r="N1373" t="s">
        <v>51</v>
      </c>
      <c r="O1373" t="s">
        <v>52</v>
      </c>
      <c r="P1373" t="s">
        <v>53</v>
      </c>
      <c r="Q1373" t="s">
        <v>7086</v>
      </c>
      <c r="S1373">
        <v>7</v>
      </c>
      <c r="T1373" t="s">
        <v>7144</v>
      </c>
      <c r="U1373">
        <v>107</v>
      </c>
      <c r="V1373">
        <v>363</v>
      </c>
      <c r="W1373">
        <v>0.29480000000000001</v>
      </c>
      <c r="X1373" t="s">
        <v>56</v>
      </c>
      <c r="Y1373" t="s">
        <v>7088</v>
      </c>
      <c r="Z1373">
        <v>180.03</v>
      </c>
      <c r="AA1373">
        <v>199.88</v>
      </c>
      <c r="AB1373">
        <v>35985</v>
      </c>
      <c r="AC1373" t="b">
        <v>0</v>
      </c>
      <c r="AD1373" t="b">
        <v>0</v>
      </c>
      <c r="AE1373" t="b">
        <v>0</v>
      </c>
      <c r="AF1373" t="b">
        <v>0</v>
      </c>
      <c r="AG1373" t="s">
        <v>58</v>
      </c>
      <c r="AH1373">
        <v>8</v>
      </c>
      <c r="AI1373" t="s">
        <v>169</v>
      </c>
      <c r="AJ1373" t="s">
        <v>60</v>
      </c>
      <c r="AL1373" t="s">
        <v>380</v>
      </c>
      <c r="AM1373" t="s">
        <v>245</v>
      </c>
      <c r="AN1373" t="s">
        <v>63</v>
      </c>
      <c r="AO1373" t="s">
        <v>7089</v>
      </c>
      <c r="AP1373" t="s">
        <v>7141</v>
      </c>
    </row>
    <row r="1374" spans="1:42" x14ac:dyDescent="0.45">
      <c r="A1374" t="s">
        <v>6617</v>
      </c>
      <c r="B1374" t="s">
        <v>6618</v>
      </c>
      <c r="C1374" t="s">
        <v>7081</v>
      </c>
      <c r="D1374">
        <v>2026</v>
      </c>
      <c r="E1374" t="s">
        <v>45</v>
      </c>
      <c r="F1374" t="s">
        <v>6620</v>
      </c>
      <c r="J1374" t="s">
        <v>7145</v>
      </c>
      <c r="K1374" t="s">
        <v>7146</v>
      </c>
      <c r="L1374" t="s">
        <v>7132</v>
      </c>
      <c r="M1374" t="s">
        <v>7133</v>
      </c>
      <c r="N1374" t="s">
        <v>201</v>
      </c>
      <c r="O1374" t="s">
        <v>202</v>
      </c>
      <c r="P1374" t="s">
        <v>203</v>
      </c>
      <c r="Q1374" t="s">
        <v>7086</v>
      </c>
      <c r="S1374">
        <v>1</v>
      </c>
      <c r="T1374" t="s">
        <v>7147</v>
      </c>
      <c r="U1374">
        <v>10708</v>
      </c>
      <c r="V1374">
        <v>363</v>
      </c>
      <c r="W1374">
        <v>29.4986</v>
      </c>
      <c r="X1374" t="s">
        <v>242</v>
      </c>
      <c r="Y1374" t="s">
        <v>7088</v>
      </c>
      <c r="Z1374">
        <v>176.75</v>
      </c>
      <c r="AA1374">
        <v>13735.19</v>
      </c>
      <c r="AB1374">
        <v>2427689</v>
      </c>
      <c r="AC1374" t="b">
        <v>0</v>
      </c>
      <c r="AD1374" t="b">
        <v>0</v>
      </c>
      <c r="AE1374" t="b">
        <v>0</v>
      </c>
      <c r="AF1374" t="b">
        <v>0</v>
      </c>
      <c r="AG1374" t="s">
        <v>58</v>
      </c>
      <c r="AH1374">
        <v>6</v>
      </c>
      <c r="AI1374" t="s">
        <v>386</v>
      </c>
      <c r="AJ1374" t="s">
        <v>387</v>
      </c>
      <c r="AL1374" t="s">
        <v>388</v>
      </c>
      <c r="AM1374" t="s">
        <v>245</v>
      </c>
      <c r="AN1374" t="s">
        <v>63</v>
      </c>
      <c r="AO1374" t="s">
        <v>7089</v>
      </c>
      <c r="AP1374" t="s">
        <v>7146</v>
      </c>
    </row>
    <row r="1375" spans="1:42" x14ac:dyDescent="0.45">
      <c r="A1375" t="s">
        <v>6617</v>
      </c>
      <c r="B1375" t="s">
        <v>6618</v>
      </c>
      <c r="C1375" t="s">
        <v>7081</v>
      </c>
      <c r="D1375">
        <v>2026</v>
      </c>
      <c r="E1375" t="s">
        <v>45</v>
      </c>
      <c r="F1375" t="s">
        <v>6620</v>
      </c>
      <c r="G1375">
        <v>1</v>
      </c>
      <c r="J1375" t="s">
        <v>7148</v>
      </c>
      <c r="K1375" t="s">
        <v>7149</v>
      </c>
      <c r="L1375" t="s">
        <v>7150</v>
      </c>
      <c r="M1375" t="s">
        <v>7151</v>
      </c>
      <c r="N1375" t="s">
        <v>51</v>
      </c>
      <c r="O1375" t="s">
        <v>52</v>
      </c>
      <c r="P1375" t="s">
        <v>53</v>
      </c>
      <c r="Q1375" t="s">
        <v>7086</v>
      </c>
      <c r="S1375">
        <v>3</v>
      </c>
      <c r="T1375" t="s">
        <v>7152</v>
      </c>
      <c r="U1375">
        <v>363</v>
      </c>
      <c r="V1375">
        <v>363</v>
      </c>
      <c r="W1375">
        <v>1</v>
      </c>
      <c r="X1375" t="s">
        <v>70</v>
      </c>
      <c r="Y1375" t="s">
        <v>7088</v>
      </c>
      <c r="Z1375">
        <v>182.78</v>
      </c>
      <c r="AA1375">
        <v>1750.63</v>
      </c>
      <c r="AB1375">
        <v>319979</v>
      </c>
      <c r="AC1375" t="b">
        <v>1</v>
      </c>
      <c r="AD1375" t="b">
        <v>1</v>
      </c>
      <c r="AE1375" t="b">
        <v>0</v>
      </c>
      <c r="AF1375" t="b">
        <v>0</v>
      </c>
      <c r="AG1375" t="s">
        <v>58</v>
      </c>
      <c r="AH1375">
        <v>12</v>
      </c>
      <c r="AI1375" t="s">
        <v>59</v>
      </c>
      <c r="AJ1375" t="s">
        <v>71</v>
      </c>
      <c r="AL1375" t="s">
        <v>1988</v>
      </c>
      <c r="AM1375" t="s">
        <v>245</v>
      </c>
      <c r="AN1375" t="s">
        <v>63</v>
      </c>
      <c r="AO1375" t="s">
        <v>7089</v>
      </c>
      <c r="AP1375" t="s">
        <v>7149</v>
      </c>
    </row>
    <row r="1376" spans="1:42" x14ac:dyDescent="0.45">
      <c r="A1376" t="s">
        <v>6617</v>
      </c>
      <c r="B1376" t="s">
        <v>6618</v>
      </c>
      <c r="C1376" t="s">
        <v>7081</v>
      </c>
      <c r="D1376">
        <v>2026</v>
      </c>
      <c r="E1376" t="s">
        <v>45</v>
      </c>
      <c r="F1376" t="s">
        <v>6620</v>
      </c>
      <c r="J1376" t="s">
        <v>7153</v>
      </c>
      <c r="K1376" t="s">
        <v>7154</v>
      </c>
      <c r="L1376" t="s">
        <v>7155</v>
      </c>
      <c r="M1376" t="s">
        <v>7156</v>
      </c>
      <c r="N1376" t="s">
        <v>51</v>
      </c>
      <c r="O1376" t="s">
        <v>52</v>
      </c>
      <c r="P1376" t="s">
        <v>53</v>
      </c>
      <c r="Q1376" t="s">
        <v>7086</v>
      </c>
      <c r="S1376">
        <v>19</v>
      </c>
      <c r="T1376" t="s">
        <v>7157</v>
      </c>
      <c r="U1376">
        <v>693</v>
      </c>
      <c r="V1376">
        <v>363</v>
      </c>
      <c r="W1376">
        <v>1.9091</v>
      </c>
      <c r="X1376" t="s">
        <v>242</v>
      </c>
      <c r="Y1376" t="s">
        <v>7088</v>
      </c>
      <c r="Z1376">
        <v>176.17</v>
      </c>
      <c r="AA1376">
        <v>703.98</v>
      </c>
      <c r="AB1376">
        <v>124017</v>
      </c>
      <c r="AC1376" t="b">
        <v>0</v>
      </c>
      <c r="AD1376" t="b">
        <v>0</v>
      </c>
      <c r="AE1376" t="b">
        <v>0</v>
      </c>
      <c r="AF1376" t="b">
        <v>0</v>
      </c>
      <c r="AG1376" t="s">
        <v>58</v>
      </c>
      <c r="AH1376">
        <v>8</v>
      </c>
      <c r="AI1376" t="s">
        <v>169</v>
      </c>
      <c r="AJ1376" t="s">
        <v>60</v>
      </c>
      <c r="AL1376" t="s">
        <v>380</v>
      </c>
      <c r="AM1376" t="s">
        <v>245</v>
      </c>
      <c r="AN1376" t="s">
        <v>63</v>
      </c>
      <c r="AO1376" t="s">
        <v>7089</v>
      </c>
      <c r="AP1376" t="s">
        <v>7154</v>
      </c>
    </row>
    <row r="1377" spans="1:42" x14ac:dyDescent="0.45">
      <c r="A1377" t="s">
        <v>6617</v>
      </c>
      <c r="B1377" t="s">
        <v>6618</v>
      </c>
      <c r="C1377" t="s">
        <v>7081</v>
      </c>
      <c r="D1377">
        <v>2026</v>
      </c>
      <c r="E1377" t="s">
        <v>45</v>
      </c>
      <c r="F1377" t="s">
        <v>6620</v>
      </c>
      <c r="J1377" t="s">
        <v>7158</v>
      </c>
      <c r="K1377" t="s">
        <v>7159</v>
      </c>
      <c r="L1377" t="s">
        <v>7160</v>
      </c>
      <c r="M1377" t="s">
        <v>7161</v>
      </c>
      <c r="N1377" t="s">
        <v>51</v>
      </c>
      <c r="O1377" t="s">
        <v>52</v>
      </c>
      <c r="P1377" t="s">
        <v>53</v>
      </c>
      <c r="Q1377" t="s">
        <v>7086</v>
      </c>
      <c r="S1377">
        <v>4</v>
      </c>
      <c r="T1377" t="s">
        <v>7162</v>
      </c>
      <c r="U1377">
        <v>138</v>
      </c>
      <c r="V1377">
        <v>363</v>
      </c>
      <c r="W1377">
        <v>0.38019999999999998</v>
      </c>
      <c r="X1377" t="s">
        <v>196</v>
      </c>
      <c r="Y1377" t="s">
        <v>7088</v>
      </c>
      <c r="Z1377">
        <v>185.83</v>
      </c>
      <c r="AA1377">
        <v>1226.46</v>
      </c>
      <c r="AB1377">
        <v>227916</v>
      </c>
      <c r="AC1377" t="b">
        <v>0</v>
      </c>
      <c r="AD1377" t="b">
        <v>0</v>
      </c>
      <c r="AE1377" t="b">
        <v>0</v>
      </c>
      <c r="AF1377" t="b">
        <v>0</v>
      </c>
      <c r="AG1377" t="s">
        <v>58</v>
      </c>
      <c r="AH1377">
        <v>-15</v>
      </c>
      <c r="AI1377" t="s">
        <v>59</v>
      </c>
      <c r="AJ1377" t="s">
        <v>60</v>
      </c>
      <c r="AK1377" t="s">
        <v>162</v>
      </c>
      <c r="AL1377" t="s">
        <v>163</v>
      </c>
      <c r="AM1377" t="s">
        <v>245</v>
      </c>
      <c r="AN1377" t="s">
        <v>63</v>
      </c>
      <c r="AO1377" t="s">
        <v>7089</v>
      </c>
      <c r="AP1377" t="s">
        <v>7159</v>
      </c>
    </row>
    <row r="1378" spans="1:42" x14ac:dyDescent="0.45">
      <c r="A1378" t="s">
        <v>6617</v>
      </c>
      <c r="B1378" t="s">
        <v>6618</v>
      </c>
      <c r="C1378" t="s">
        <v>7081</v>
      </c>
      <c r="D1378">
        <v>2026</v>
      </c>
      <c r="E1378" t="s">
        <v>45</v>
      </c>
      <c r="F1378" t="s">
        <v>6620</v>
      </c>
      <c r="J1378" t="s">
        <v>7163</v>
      </c>
      <c r="K1378" t="s">
        <v>7164</v>
      </c>
      <c r="L1378" t="s">
        <v>7132</v>
      </c>
      <c r="M1378" t="s">
        <v>7133</v>
      </c>
      <c r="N1378" t="s">
        <v>51</v>
      </c>
      <c r="O1378" t="s">
        <v>52</v>
      </c>
      <c r="P1378" t="s">
        <v>53</v>
      </c>
      <c r="Q1378" t="s">
        <v>7086</v>
      </c>
      <c r="S1378">
        <v>0</v>
      </c>
      <c r="T1378" t="s">
        <v>7147</v>
      </c>
      <c r="U1378">
        <v>10708</v>
      </c>
      <c r="V1378">
        <v>363</v>
      </c>
      <c r="W1378">
        <v>29.4986</v>
      </c>
      <c r="X1378" t="s">
        <v>242</v>
      </c>
      <c r="Y1378" t="s">
        <v>7088</v>
      </c>
      <c r="Z1378">
        <v>176.75</v>
      </c>
      <c r="AA1378">
        <v>18608.080000000002</v>
      </c>
      <c r="AB1378">
        <v>3288970</v>
      </c>
      <c r="AC1378" t="b">
        <v>0</v>
      </c>
      <c r="AD1378" t="b">
        <v>0</v>
      </c>
      <c r="AE1378" t="b">
        <v>0</v>
      </c>
      <c r="AF1378" t="b">
        <v>0</v>
      </c>
      <c r="AG1378" t="s">
        <v>58</v>
      </c>
      <c r="AH1378">
        <v>10</v>
      </c>
      <c r="AI1378" t="s">
        <v>386</v>
      </c>
      <c r="AJ1378" t="s">
        <v>387</v>
      </c>
      <c r="AL1378" t="s">
        <v>983</v>
      </c>
      <c r="AM1378" t="s">
        <v>245</v>
      </c>
      <c r="AN1378" t="s">
        <v>63</v>
      </c>
      <c r="AO1378" t="s">
        <v>7089</v>
      </c>
      <c r="AP1378" t="s">
        <v>7164</v>
      </c>
    </row>
    <row r="1379" spans="1:42" x14ac:dyDescent="0.45">
      <c r="A1379" t="s">
        <v>6617</v>
      </c>
      <c r="B1379" t="s">
        <v>6618</v>
      </c>
      <c r="C1379" t="s">
        <v>7081</v>
      </c>
      <c r="D1379">
        <v>2026</v>
      </c>
      <c r="E1379" t="s">
        <v>45</v>
      </c>
      <c r="F1379" t="s">
        <v>6620</v>
      </c>
      <c r="J1379" t="s">
        <v>7165</v>
      </c>
      <c r="K1379" t="s">
        <v>7166</v>
      </c>
      <c r="L1379" t="s">
        <v>7167</v>
      </c>
      <c r="M1379" t="s">
        <v>7168</v>
      </c>
      <c r="N1379" t="s">
        <v>51</v>
      </c>
      <c r="O1379" t="s">
        <v>52</v>
      </c>
      <c r="P1379" t="s">
        <v>53</v>
      </c>
      <c r="Q1379" t="s">
        <v>7086</v>
      </c>
      <c r="S1379">
        <v>5</v>
      </c>
      <c r="T1379" t="s">
        <v>7169</v>
      </c>
      <c r="U1379">
        <v>75</v>
      </c>
      <c r="V1379">
        <v>363</v>
      </c>
      <c r="W1379">
        <v>0.20660000000000001</v>
      </c>
      <c r="X1379" t="s">
        <v>56</v>
      </c>
      <c r="Y1379" t="s">
        <v>7088</v>
      </c>
      <c r="Z1379">
        <v>183.11</v>
      </c>
      <c r="AA1379">
        <v>7828.95</v>
      </c>
      <c r="AB1379">
        <v>1433591</v>
      </c>
      <c r="AC1379" t="b">
        <v>0</v>
      </c>
      <c r="AD1379" t="b">
        <v>0</v>
      </c>
      <c r="AE1379" t="b">
        <v>0</v>
      </c>
      <c r="AF1379" t="b">
        <v>0</v>
      </c>
      <c r="AG1379" t="s">
        <v>58</v>
      </c>
      <c r="AH1379">
        <v>-15</v>
      </c>
      <c r="AI1379" t="s">
        <v>59</v>
      </c>
      <c r="AJ1379" t="s">
        <v>60</v>
      </c>
      <c r="AK1379" t="s">
        <v>140</v>
      </c>
      <c r="AL1379" t="s">
        <v>141</v>
      </c>
      <c r="AM1379" t="s">
        <v>245</v>
      </c>
      <c r="AN1379" t="s">
        <v>63</v>
      </c>
      <c r="AO1379" t="s">
        <v>7089</v>
      </c>
      <c r="AP1379" t="s">
        <v>7166</v>
      </c>
    </row>
    <row r="1380" spans="1:42" x14ac:dyDescent="0.45">
      <c r="A1380" t="s">
        <v>6617</v>
      </c>
      <c r="B1380" t="s">
        <v>6618</v>
      </c>
      <c r="C1380" t="s">
        <v>7081</v>
      </c>
      <c r="D1380">
        <v>2026</v>
      </c>
      <c r="E1380" t="s">
        <v>45</v>
      </c>
      <c r="F1380" t="s">
        <v>6620</v>
      </c>
      <c r="J1380" t="s">
        <v>7170</v>
      </c>
      <c r="K1380" t="s">
        <v>7171</v>
      </c>
      <c r="L1380" t="s">
        <v>7172</v>
      </c>
      <c r="M1380" t="s">
        <v>7173</v>
      </c>
      <c r="N1380" t="s">
        <v>51</v>
      </c>
      <c r="O1380" t="s">
        <v>52</v>
      </c>
      <c r="P1380" t="s">
        <v>53</v>
      </c>
      <c r="Q1380" t="s">
        <v>7086</v>
      </c>
      <c r="S1380">
        <v>17</v>
      </c>
      <c r="T1380" t="s">
        <v>7174</v>
      </c>
      <c r="U1380">
        <v>88</v>
      </c>
      <c r="V1380">
        <v>363</v>
      </c>
      <c r="W1380">
        <v>0.2424</v>
      </c>
      <c r="X1380" t="s">
        <v>56</v>
      </c>
      <c r="Y1380" t="s">
        <v>7088</v>
      </c>
      <c r="Z1380">
        <v>177.17</v>
      </c>
      <c r="AA1380">
        <v>387.65</v>
      </c>
      <c r="AB1380">
        <v>68679</v>
      </c>
      <c r="AC1380" t="b">
        <v>0</v>
      </c>
      <c r="AD1380" t="b">
        <v>0</v>
      </c>
      <c r="AE1380" t="b">
        <v>0</v>
      </c>
      <c r="AF1380" t="b">
        <v>0</v>
      </c>
      <c r="AG1380" t="s">
        <v>58</v>
      </c>
      <c r="AH1380">
        <v>8</v>
      </c>
      <c r="AI1380" t="s">
        <v>169</v>
      </c>
      <c r="AJ1380" t="s">
        <v>60</v>
      </c>
      <c r="AL1380" t="s">
        <v>380</v>
      </c>
      <c r="AM1380" t="s">
        <v>245</v>
      </c>
      <c r="AN1380" t="s">
        <v>63</v>
      </c>
      <c r="AO1380" t="s">
        <v>7089</v>
      </c>
      <c r="AP1380" t="s">
        <v>7171</v>
      </c>
    </row>
    <row r="1381" spans="1:42" x14ac:dyDescent="0.45">
      <c r="A1381" t="s">
        <v>6617</v>
      </c>
      <c r="B1381" t="s">
        <v>6618</v>
      </c>
      <c r="C1381" t="s">
        <v>7081</v>
      </c>
      <c r="D1381">
        <v>2026</v>
      </c>
      <c r="E1381" t="s">
        <v>45</v>
      </c>
      <c r="F1381" t="s">
        <v>6620</v>
      </c>
      <c r="J1381" t="s">
        <v>7175</v>
      </c>
      <c r="K1381" t="s">
        <v>7176</v>
      </c>
      <c r="L1381" t="s">
        <v>7177</v>
      </c>
      <c r="M1381" t="s">
        <v>7178</v>
      </c>
      <c r="N1381" t="s">
        <v>51</v>
      </c>
      <c r="O1381" t="s">
        <v>52</v>
      </c>
      <c r="P1381" t="s">
        <v>53</v>
      </c>
      <c r="Q1381" t="s">
        <v>7086</v>
      </c>
      <c r="S1381">
        <v>18</v>
      </c>
      <c r="T1381" t="s">
        <v>7179</v>
      </c>
      <c r="U1381">
        <v>958</v>
      </c>
      <c r="V1381">
        <v>363</v>
      </c>
      <c r="W1381">
        <v>2.6391</v>
      </c>
      <c r="X1381" t="s">
        <v>242</v>
      </c>
      <c r="Y1381" t="s">
        <v>7088</v>
      </c>
      <c r="Z1381">
        <v>176.08</v>
      </c>
      <c r="AA1381">
        <v>88.32</v>
      </c>
      <c r="AB1381">
        <v>15552</v>
      </c>
      <c r="AC1381" t="b">
        <v>0</v>
      </c>
      <c r="AD1381" t="b">
        <v>0</v>
      </c>
      <c r="AE1381" t="b">
        <v>0</v>
      </c>
      <c r="AF1381" t="b">
        <v>0</v>
      </c>
      <c r="AG1381" t="s">
        <v>58</v>
      </c>
      <c r="AH1381">
        <v>8</v>
      </c>
      <c r="AI1381" t="s">
        <v>169</v>
      </c>
      <c r="AJ1381" t="s">
        <v>60</v>
      </c>
      <c r="AL1381" t="s">
        <v>380</v>
      </c>
      <c r="AM1381" t="s">
        <v>245</v>
      </c>
      <c r="AN1381" t="s">
        <v>63</v>
      </c>
      <c r="AO1381" t="s">
        <v>7089</v>
      </c>
      <c r="AP1381" t="s">
        <v>7176</v>
      </c>
    </row>
    <row r="1382" spans="1:42" x14ac:dyDescent="0.45">
      <c r="A1382" t="s">
        <v>6617</v>
      </c>
      <c r="B1382" t="s">
        <v>6618</v>
      </c>
      <c r="C1382" t="s">
        <v>7081</v>
      </c>
      <c r="D1382">
        <v>2026</v>
      </c>
      <c r="E1382" t="s">
        <v>45</v>
      </c>
      <c r="F1382" t="s">
        <v>6620</v>
      </c>
      <c r="J1382" t="s">
        <v>7180</v>
      </c>
      <c r="K1382" t="s">
        <v>7181</v>
      </c>
      <c r="L1382" t="s">
        <v>7182</v>
      </c>
      <c r="M1382" t="s">
        <v>7183</v>
      </c>
      <c r="N1382" t="s">
        <v>51</v>
      </c>
      <c r="O1382" t="s">
        <v>52</v>
      </c>
      <c r="P1382" t="s">
        <v>53</v>
      </c>
      <c r="Q1382" t="s">
        <v>7086</v>
      </c>
      <c r="S1382">
        <v>29</v>
      </c>
      <c r="T1382" t="s">
        <v>7184</v>
      </c>
      <c r="U1382">
        <v>1604</v>
      </c>
      <c r="V1382">
        <v>363</v>
      </c>
      <c r="W1382">
        <v>4.4187000000000003</v>
      </c>
      <c r="X1382" t="s">
        <v>242</v>
      </c>
      <c r="Y1382" t="s">
        <v>7088</v>
      </c>
      <c r="Z1382">
        <v>171.1</v>
      </c>
      <c r="AA1382">
        <v>38.78</v>
      </c>
      <c r="AB1382">
        <v>6635</v>
      </c>
      <c r="AC1382" t="b">
        <v>0</v>
      </c>
      <c r="AD1382" t="b">
        <v>0</v>
      </c>
      <c r="AE1382" t="b">
        <v>0</v>
      </c>
      <c r="AF1382" t="b">
        <v>0</v>
      </c>
      <c r="AG1382" t="s">
        <v>58</v>
      </c>
      <c r="AH1382">
        <v>10</v>
      </c>
      <c r="AI1382" t="s">
        <v>386</v>
      </c>
      <c r="AJ1382" t="s">
        <v>387</v>
      </c>
      <c r="AL1382" t="s">
        <v>983</v>
      </c>
      <c r="AM1382" t="s">
        <v>245</v>
      </c>
      <c r="AN1382" t="s">
        <v>63</v>
      </c>
      <c r="AO1382" t="s">
        <v>7089</v>
      </c>
      <c r="AP1382" t="s">
        <v>7181</v>
      </c>
    </row>
    <row r="1383" spans="1:42" x14ac:dyDescent="0.45">
      <c r="A1383" t="s">
        <v>6617</v>
      </c>
      <c r="B1383" t="s">
        <v>6618</v>
      </c>
      <c r="C1383" t="s">
        <v>7081</v>
      </c>
      <c r="D1383">
        <v>2026</v>
      </c>
      <c r="E1383" t="s">
        <v>45</v>
      </c>
      <c r="F1383" t="s">
        <v>6620</v>
      </c>
      <c r="J1383" t="s">
        <v>7185</v>
      </c>
      <c r="K1383" t="s">
        <v>7186</v>
      </c>
      <c r="L1383" t="s">
        <v>7187</v>
      </c>
      <c r="M1383" t="s">
        <v>7188</v>
      </c>
      <c r="N1383" t="s">
        <v>51</v>
      </c>
      <c r="O1383" t="s">
        <v>52</v>
      </c>
      <c r="P1383" t="s">
        <v>53</v>
      </c>
      <c r="Q1383" t="s">
        <v>7086</v>
      </c>
      <c r="S1383">
        <v>6</v>
      </c>
      <c r="T1383" t="s">
        <v>7189</v>
      </c>
      <c r="U1383">
        <v>124</v>
      </c>
      <c r="V1383">
        <v>363</v>
      </c>
      <c r="W1383">
        <v>0.34160000000000001</v>
      </c>
      <c r="X1383" t="s">
        <v>56</v>
      </c>
      <c r="Y1383" t="s">
        <v>7088</v>
      </c>
      <c r="Z1383">
        <v>181.18</v>
      </c>
      <c r="AA1383">
        <v>103.69</v>
      </c>
      <c r="AB1383">
        <v>18787</v>
      </c>
      <c r="AC1383" t="b">
        <v>0</v>
      </c>
      <c r="AD1383" t="b">
        <v>0</v>
      </c>
      <c r="AE1383" t="b">
        <v>0</v>
      </c>
      <c r="AF1383" t="b">
        <v>0</v>
      </c>
      <c r="AG1383" t="s">
        <v>58</v>
      </c>
      <c r="AH1383">
        <v>8</v>
      </c>
      <c r="AI1383" t="s">
        <v>169</v>
      </c>
      <c r="AJ1383" t="s">
        <v>60</v>
      </c>
      <c r="AL1383" t="s">
        <v>380</v>
      </c>
      <c r="AM1383" t="s">
        <v>245</v>
      </c>
      <c r="AN1383" t="s">
        <v>63</v>
      </c>
      <c r="AO1383" t="s">
        <v>7089</v>
      </c>
      <c r="AP1383" t="s">
        <v>7186</v>
      </c>
    </row>
    <row r="1384" spans="1:42" x14ac:dyDescent="0.45">
      <c r="A1384" t="s">
        <v>6617</v>
      </c>
      <c r="B1384" t="s">
        <v>6618</v>
      </c>
      <c r="C1384" t="s">
        <v>7081</v>
      </c>
      <c r="D1384">
        <v>2026</v>
      </c>
      <c r="E1384" t="s">
        <v>45</v>
      </c>
      <c r="F1384" t="s">
        <v>6620</v>
      </c>
      <c r="J1384" t="s">
        <v>7190</v>
      </c>
      <c r="K1384" t="s">
        <v>7191</v>
      </c>
      <c r="L1384" t="s">
        <v>7192</v>
      </c>
      <c r="M1384" t="s">
        <v>7193</v>
      </c>
      <c r="N1384" t="s">
        <v>51</v>
      </c>
      <c r="O1384" t="s">
        <v>52</v>
      </c>
      <c r="P1384" t="s">
        <v>53</v>
      </c>
      <c r="Q1384" t="s">
        <v>7086</v>
      </c>
      <c r="S1384">
        <v>20</v>
      </c>
      <c r="T1384" t="s">
        <v>7194</v>
      </c>
      <c r="U1384">
        <v>1859</v>
      </c>
      <c r="V1384">
        <v>363</v>
      </c>
      <c r="W1384">
        <v>5.1212</v>
      </c>
      <c r="X1384" t="s">
        <v>242</v>
      </c>
      <c r="Y1384" t="s">
        <v>7088</v>
      </c>
      <c r="Z1384">
        <v>176.12</v>
      </c>
      <c r="AA1384">
        <v>290.64</v>
      </c>
      <c r="AB1384">
        <v>51189</v>
      </c>
      <c r="AC1384" t="b">
        <v>0</v>
      </c>
      <c r="AD1384" t="b">
        <v>0</v>
      </c>
      <c r="AE1384" t="b">
        <v>0</v>
      </c>
      <c r="AF1384" t="b">
        <v>0</v>
      </c>
      <c r="AG1384" t="s">
        <v>58</v>
      </c>
      <c r="AH1384">
        <v>10</v>
      </c>
      <c r="AI1384" t="s">
        <v>386</v>
      </c>
      <c r="AJ1384" t="s">
        <v>387</v>
      </c>
      <c r="AL1384" t="s">
        <v>983</v>
      </c>
      <c r="AM1384" t="s">
        <v>245</v>
      </c>
      <c r="AN1384" t="s">
        <v>63</v>
      </c>
      <c r="AO1384" t="s">
        <v>7089</v>
      </c>
      <c r="AP1384" t="s">
        <v>7191</v>
      </c>
    </row>
    <row r="1385" spans="1:42" x14ac:dyDescent="0.45">
      <c r="A1385" t="s">
        <v>6617</v>
      </c>
      <c r="B1385" t="s">
        <v>6618</v>
      </c>
      <c r="C1385" t="s">
        <v>7081</v>
      </c>
      <c r="D1385">
        <v>2026</v>
      </c>
      <c r="E1385" t="s">
        <v>45</v>
      </c>
      <c r="F1385" t="s">
        <v>6620</v>
      </c>
      <c r="J1385" t="s">
        <v>7195</v>
      </c>
      <c r="K1385" t="s">
        <v>7196</v>
      </c>
      <c r="L1385" t="s">
        <v>7197</v>
      </c>
      <c r="M1385" t="s">
        <v>7198</v>
      </c>
      <c r="N1385" t="s">
        <v>51</v>
      </c>
      <c r="O1385" t="s">
        <v>52</v>
      </c>
      <c r="P1385" t="s">
        <v>53</v>
      </c>
      <c r="Q1385" t="s">
        <v>7086</v>
      </c>
      <c r="S1385">
        <v>23</v>
      </c>
      <c r="T1385" t="s">
        <v>7199</v>
      </c>
      <c r="U1385">
        <v>2205</v>
      </c>
      <c r="V1385">
        <v>363</v>
      </c>
      <c r="W1385">
        <v>6.0743999999999998</v>
      </c>
      <c r="X1385" t="s">
        <v>242</v>
      </c>
      <c r="Y1385" t="s">
        <v>7088</v>
      </c>
      <c r="Z1385">
        <v>174.12</v>
      </c>
      <c r="AA1385">
        <v>54.89</v>
      </c>
      <c r="AB1385">
        <v>9557</v>
      </c>
      <c r="AC1385" t="b">
        <v>0</v>
      </c>
      <c r="AD1385" t="b">
        <v>0</v>
      </c>
      <c r="AE1385" t="b">
        <v>0</v>
      </c>
      <c r="AF1385" t="b">
        <v>0</v>
      </c>
      <c r="AG1385" t="s">
        <v>58</v>
      </c>
      <c r="AH1385">
        <v>10</v>
      </c>
      <c r="AI1385" t="s">
        <v>386</v>
      </c>
      <c r="AJ1385" t="s">
        <v>387</v>
      </c>
      <c r="AL1385" t="s">
        <v>983</v>
      </c>
      <c r="AM1385" t="s">
        <v>245</v>
      </c>
      <c r="AN1385" t="s">
        <v>63</v>
      </c>
      <c r="AO1385" t="s">
        <v>7089</v>
      </c>
      <c r="AP1385" t="s">
        <v>7196</v>
      </c>
    </row>
    <row r="1386" spans="1:42" x14ac:dyDescent="0.45">
      <c r="A1386" t="s">
        <v>6617</v>
      </c>
      <c r="B1386" t="s">
        <v>6618</v>
      </c>
      <c r="C1386" t="s">
        <v>7081</v>
      </c>
      <c r="D1386">
        <v>2026</v>
      </c>
      <c r="E1386" t="s">
        <v>45</v>
      </c>
      <c r="F1386" t="s">
        <v>6620</v>
      </c>
      <c r="J1386" t="s">
        <v>7200</v>
      </c>
      <c r="K1386" t="s">
        <v>7201</v>
      </c>
      <c r="L1386" t="s">
        <v>7202</v>
      </c>
      <c r="M1386" t="s">
        <v>7203</v>
      </c>
      <c r="N1386" t="s">
        <v>51</v>
      </c>
      <c r="O1386" t="s">
        <v>52</v>
      </c>
      <c r="P1386" t="s">
        <v>53</v>
      </c>
      <c r="Q1386" t="s">
        <v>7086</v>
      </c>
      <c r="S1386">
        <v>25</v>
      </c>
      <c r="T1386" t="s">
        <v>7204</v>
      </c>
      <c r="U1386">
        <v>1053</v>
      </c>
      <c r="V1386">
        <v>363</v>
      </c>
      <c r="W1386">
        <v>2.9007999999999998</v>
      </c>
      <c r="X1386" t="s">
        <v>242</v>
      </c>
      <c r="Y1386" t="s">
        <v>7088</v>
      </c>
      <c r="Z1386">
        <v>173.12</v>
      </c>
      <c r="AA1386">
        <v>88.66</v>
      </c>
      <c r="AB1386">
        <v>15349</v>
      </c>
      <c r="AC1386" t="b">
        <v>0</v>
      </c>
      <c r="AD1386" t="b">
        <v>0</v>
      </c>
      <c r="AE1386" t="b">
        <v>0</v>
      </c>
      <c r="AF1386" t="b">
        <v>0</v>
      </c>
      <c r="AG1386" t="s">
        <v>58</v>
      </c>
      <c r="AH1386">
        <v>8</v>
      </c>
      <c r="AI1386" t="s">
        <v>169</v>
      </c>
      <c r="AJ1386" t="s">
        <v>60</v>
      </c>
      <c r="AL1386" t="s">
        <v>380</v>
      </c>
      <c r="AM1386" t="s">
        <v>245</v>
      </c>
      <c r="AN1386" t="s">
        <v>63</v>
      </c>
      <c r="AO1386" t="s">
        <v>7089</v>
      </c>
      <c r="AP1386" t="s">
        <v>7201</v>
      </c>
    </row>
    <row r="1387" spans="1:42" x14ac:dyDescent="0.45">
      <c r="A1387" t="s">
        <v>6617</v>
      </c>
      <c r="B1387" t="s">
        <v>6618</v>
      </c>
      <c r="C1387" t="s">
        <v>7081</v>
      </c>
      <c r="D1387">
        <v>2026</v>
      </c>
      <c r="E1387" t="s">
        <v>45</v>
      </c>
      <c r="F1387" t="s">
        <v>6620</v>
      </c>
      <c r="J1387" t="s">
        <v>7205</v>
      </c>
      <c r="K1387" t="s">
        <v>7206</v>
      </c>
      <c r="L1387" t="s">
        <v>7207</v>
      </c>
      <c r="M1387" t="s">
        <v>7208</v>
      </c>
      <c r="N1387" t="s">
        <v>51</v>
      </c>
      <c r="O1387" t="s">
        <v>52</v>
      </c>
      <c r="P1387" t="s">
        <v>53</v>
      </c>
      <c r="Q1387" t="s">
        <v>7086</v>
      </c>
      <c r="S1387">
        <v>10</v>
      </c>
      <c r="T1387" t="s">
        <v>7209</v>
      </c>
      <c r="U1387">
        <v>74</v>
      </c>
      <c r="V1387">
        <v>363</v>
      </c>
      <c r="W1387">
        <v>0.2039</v>
      </c>
      <c r="X1387" t="s">
        <v>56</v>
      </c>
      <c r="Y1387" t="s">
        <v>7088</v>
      </c>
      <c r="Z1387">
        <v>179.03</v>
      </c>
      <c r="AA1387">
        <v>130.74</v>
      </c>
      <c r="AB1387">
        <v>23406</v>
      </c>
      <c r="AC1387" t="b">
        <v>0</v>
      </c>
      <c r="AD1387" t="b">
        <v>0</v>
      </c>
      <c r="AE1387" t="b">
        <v>0</v>
      </c>
      <c r="AF1387" t="b">
        <v>0</v>
      </c>
      <c r="AG1387" t="s">
        <v>58</v>
      </c>
      <c r="AH1387">
        <v>8</v>
      </c>
      <c r="AI1387" t="s">
        <v>169</v>
      </c>
      <c r="AJ1387" t="s">
        <v>60</v>
      </c>
      <c r="AL1387" t="s">
        <v>380</v>
      </c>
      <c r="AM1387" t="s">
        <v>245</v>
      </c>
      <c r="AN1387" t="s">
        <v>63</v>
      </c>
      <c r="AO1387" t="s">
        <v>7089</v>
      </c>
      <c r="AP1387" t="s">
        <v>7206</v>
      </c>
    </row>
    <row r="1388" spans="1:42" x14ac:dyDescent="0.45">
      <c r="A1388" t="s">
        <v>6617</v>
      </c>
      <c r="B1388" t="s">
        <v>6618</v>
      </c>
      <c r="C1388" t="s">
        <v>7081</v>
      </c>
      <c r="D1388">
        <v>2026</v>
      </c>
      <c r="E1388" t="s">
        <v>45</v>
      </c>
      <c r="F1388" t="s">
        <v>6620</v>
      </c>
      <c r="J1388" t="s">
        <v>7210</v>
      </c>
      <c r="K1388" t="s">
        <v>7211</v>
      </c>
      <c r="L1388" t="s">
        <v>7212</v>
      </c>
      <c r="M1388" t="s">
        <v>7213</v>
      </c>
      <c r="N1388" t="s">
        <v>51</v>
      </c>
      <c r="O1388" t="s">
        <v>52</v>
      </c>
      <c r="P1388" t="s">
        <v>53</v>
      </c>
      <c r="Q1388" t="s">
        <v>7086</v>
      </c>
      <c r="S1388">
        <v>16</v>
      </c>
      <c r="T1388" t="s">
        <v>7214</v>
      </c>
      <c r="U1388">
        <v>1003</v>
      </c>
      <c r="V1388">
        <v>363</v>
      </c>
      <c r="W1388">
        <v>2.7631000000000001</v>
      </c>
      <c r="X1388" t="s">
        <v>242</v>
      </c>
      <c r="Y1388" t="s">
        <v>7088</v>
      </c>
      <c r="Z1388">
        <v>176.21</v>
      </c>
      <c r="AA1388">
        <v>442.29</v>
      </c>
      <c r="AB1388">
        <v>77935</v>
      </c>
      <c r="AC1388" t="b">
        <v>0</v>
      </c>
      <c r="AD1388" t="b">
        <v>0</v>
      </c>
      <c r="AE1388" t="b">
        <v>0</v>
      </c>
      <c r="AF1388" t="b">
        <v>0</v>
      </c>
      <c r="AG1388" t="s">
        <v>58</v>
      </c>
      <c r="AH1388">
        <v>8</v>
      </c>
      <c r="AI1388" t="s">
        <v>169</v>
      </c>
      <c r="AJ1388" t="s">
        <v>60</v>
      </c>
      <c r="AL1388" t="s">
        <v>380</v>
      </c>
      <c r="AM1388" t="s">
        <v>245</v>
      </c>
      <c r="AN1388" t="s">
        <v>63</v>
      </c>
      <c r="AO1388" t="s">
        <v>7089</v>
      </c>
      <c r="AP1388" t="s">
        <v>7211</v>
      </c>
    </row>
    <row r="1389" spans="1:42" x14ac:dyDescent="0.45">
      <c r="A1389" t="s">
        <v>6617</v>
      </c>
      <c r="B1389" t="s">
        <v>6618</v>
      </c>
      <c r="C1389" t="s">
        <v>7081</v>
      </c>
      <c r="D1389">
        <v>2026</v>
      </c>
      <c r="E1389" t="s">
        <v>45</v>
      </c>
      <c r="F1389" t="s">
        <v>6620</v>
      </c>
      <c r="J1389" t="s">
        <v>7215</v>
      </c>
      <c r="K1389" t="s">
        <v>7216</v>
      </c>
      <c r="L1389" t="s">
        <v>7217</v>
      </c>
      <c r="M1389" t="s">
        <v>7218</v>
      </c>
      <c r="N1389" t="s">
        <v>51</v>
      </c>
      <c r="O1389" t="s">
        <v>52</v>
      </c>
      <c r="P1389" t="s">
        <v>53</v>
      </c>
      <c r="Q1389" t="s">
        <v>7086</v>
      </c>
      <c r="S1389">
        <v>26</v>
      </c>
      <c r="T1389" t="s">
        <v>7219</v>
      </c>
      <c r="U1389">
        <v>687</v>
      </c>
      <c r="V1389">
        <v>363</v>
      </c>
      <c r="W1389">
        <v>1.8926000000000001</v>
      </c>
      <c r="X1389" t="s">
        <v>242</v>
      </c>
      <c r="Y1389" t="s">
        <v>7088</v>
      </c>
      <c r="Z1389">
        <v>169.83</v>
      </c>
      <c r="AA1389">
        <v>6.9</v>
      </c>
      <c r="AB1389">
        <v>1171</v>
      </c>
      <c r="AC1389" t="b">
        <v>0</v>
      </c>
      <c r="AD1389" t="b">
        <v>0</v>
      </c>
      <c r="AE1389" t="b">
        <v>0</v>
      </c>
      <c r="AF1389" t="b">
        <v>0</v>
      </c>
      <c r="AG1389" t="s">
        <v>58</v>
      </c>
      <c r="AH1389">
        <v>8</v>
      </c>
      <c r="AI1389" t="s">
        <v>169</v>
      </c>
      <c r="AJ1389" t="s">
        <v>60</v>
      </c>
      <c r="AL1389" t="s">
        <v>380</v>
      </c>
      <c r="AM1389" t="s">
        <v>245</v>
      </c>
      <c r="AN1389" t="s">
        <v>63</v>
      </c>
      <c r="AO1389" t="s">
        <v>7089</v>
      </c>
      <c r="AP1389" t="s">
        <v>7216</v>
      </c>
    </row>
    <row r="1390" spans="1:42" x14ac:dyDescent="0.45">
      <c r="A1390" t="s">
        <v>6617</v>
      </c>
      <c r="B1390" t="s">
        <v>6618</v>
      </c>
      <c r="C1390" t="s">
        <v>7081</v>
      </c>
      <c r="D1390">
        <v>2026</v>
      </c>
      <c r="E1390" t="s">
        <v>45</v>
      </c>
      <c r="F1390" t="s">
        <v>6620</v>
      </c>
      <c r="J1390" t="s">
        <v>7220</v>
      </c>
      <c r="K1390" t="s">
        <v>7221</v>
      </c>
      <c r="L1390" t="s">
        <v>7222</v>
      </c>
      <c r="M1390" t="s">
        <v>7223</v>
      </c>
      <c r="N1390" t="s">
        <v>51</v>
      </c>
      <c r="O1390" t="s">
        <v>52</v>
      </c>
      <c r="P1390" t="s">
        <v>53</v>
      </c>
      <c r="Q1390" t="s">
        <v>7086</v>
      </c>
      <c r="S1390">
        <v>12</v>
      </c>
      <c r="T1390" t="s">
        <v>7224</v>
      </c>
      <c r="U1390">
        <v>487</v>
      </c>
      <c r="V1390">
        <v>363</v>
      </c>
      <c r="W1390">
        <v>1.3415999999999999</v>
      </c>
      <c r="X1390" t="s">
        <v>70</v>
      </c>
      <c r="Y1390" t="s">
        <v>7088</v>
      </c>
      <c r="Z1390">
        <v>178.79</v>
      </c>
      <c r="AA1390">
        <v>123.51</v>
      </c>
      <c r="AB1390">
        <v>22082</v>
      </c>
      <c r="AC1390" t="b">
        <v>0</v>
      </c>
      <c r="AD1390" t="b">
        <v>0</v>
      </c>
      <c r="AE1390" t="b">
        <v>0</v>
      </c>
      <c r="AF1390" t="b">
        <v>0</v>
      </c>
      <c r="AG1390" t="s">
        <v>58</v>
      </c>
      <c r="AH1390">
        <v>-15</v>
      </c>
      <c r="AI1390" t="s">
        <v>59</v>
      </c>
      <c r="AJ1390" t="s">
        <v>60</v>
      </c>
      <c r="AK1390" t="s">
        <v>433</v>
      </c>
      <c r="AL1390" t="s">
        <v>434</v>
      </c>
      <c r="AM1390" t="s">
        <v>245</v>
      </c>
      <c r="AN1390" t="s">
        <v>63</v>
      </c>
      <c r="AO1390" t="s">
        <v>7089</v>
      </c>
      <c r="AP1390" t="s">
        <v>7221</v>
      </c>
    </row>
    <row r="1391" spans="1:42" x14ac:dyDescent="0.45">
      <c r="A1391" t="s">
        <v>6617</v>
      </c>
      <c r="B1391" t="s">
        <v>6618</v>
      </c>
      <c r="C1391" t="s">
        <v>7081</v>
      </c>
      <c r="D1391">
        <v>2026</v>
      </c>
      <c r="E1391" t="s">
        <v>45</v>
      </c>
      <c r="F1391" t="s">
        <v>6620</v>
      </c>
      <c r="J1391" t="s">
        <v>7225</v>
      </c>
      <c r="K1391" t="s">
        <v>7226</v>
      </c>
      <c r="L1391" t="s">
        <v>7227</v>
      </c>
      <c r="M1391" t="s">
        <v>7228</v>
      </c>
      <c r="N1391" t="s">
        <v>51</v>
      </c>
      <c r="O1391" t="s">
        <v>52</v>
      </c>
      <c r="P1391" t="s">
        <v>53</v>
      </c>
      <c r="Q1391" t="s">
        <v>7086</v>
      </c>
      <c r="S1391">
        <v>24</v>
      </c>
      <c r="T1391" t="s">
        <v>7229</v>
      </c>
      <c r="U1391">
        <v>583</v>
      </c>
      <c r="V1391">
        <v>363</v>
      </c>
      <c r="W1391">
        <v>1.6061000000000001</v>
      </c>
      <c r="X1391" t="s">
        <v>242</v>
      </c>
      <c r="Y1391" t="s">
        <v>7088</v>
      </c>
      <c r="Z1391">
        <v>173.83</v>
      </c>
      <c r="AA1391">
        <v>29.76</v>
      </c>
      <c r="AB1391">
        <v>5173</v>
      </c>
      <c r="AC1391" t="b">
        <v>0</v>
      </c>
      <c r="AD1391" t="b">
        <v>0</v>
      </c>
      <c r="AE1391" t="b">
        <v>0</v>
      </c>
      <c r="AF1391" t="b">
        <v>0</v>
      </c>
      <c r="AG1391" t="s">
        <v>58</v>
      </c>
      <c r="AH1391">
        <v>8</v>
      </c>
      <c r="AI1391" t="s">
        <v>169</v>
      </c>
      <c r="AJ1391" t="s">
        <v>60</v>
      </c>
      <c r="AL1391" t="s">
        <v>380</v>
      </c>
      <c r="AM1391" t="s">
        <v>245</v>
      </c>
      <c r="AN1391" t="s">
        <v>63</v>
      </c>
      <c r="AO1391" t="s">
        <v>7089</v>
      </c>
      <c r="AP1391" t="s">
        <v>7226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F8A30-A3FA-45E7-8427-FD523ACEB951}">
  <sheetPr>
    <tabColor rgb="FF2F75B5"/>
  </sheetPr>
  <dimension ref="A1:L80"/>
  <sheetViews>
    <sheetView showGridLines="0" tabSelected="1" topLeftCell="A53" zoomScale="79" workbookViewId="0"/>
  </sheetViews>
  <sheetFormatPr defaultRowHeight="14.25" x14ac:dyDescent="0.45"/>
  <cols>
    <col min="1" max="1" width="24" customWidth="1"/>
    <col min="2" max="2" width="14.59765625" customWidth="1"/>
    <col min="3" max="3" width="13.33203125" customWidth="1"/>
    <col min="4" max="4" width="31.1328125" customWidth="1"/>
    <col min="5" max="6" width="16" customWidth="1"/>
    <col min="7" max="12" width="16.86328125" customWidth="1"/>
  </cols>
  <sheetData>
    <row r="1" spans="1:12" ht="30" customHeight="1" x14ac:dyDescent="0.45">
      <c r="A1" s="2" t="s">
        <v>7230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05" customHeight="1" x14ac:dyDescent="0.45">
      <c r="A2" s="3" t="s">
        <v>7231</v>
      </c>
      <c r="B2" s="3"/>
      <c r="C2" s="3"/>
      <c r="D2" s="3"/>
      <c r="E2" s="3"/>
      <c r="F2" s="3"/>
      <c r="G2" s="3"/>
      <c r="H2" s="3"/>
      <c r="I2" s="3"/>
      <c r="J2" s="4" t="str" cm="1">
        <f t="array" ref="J2">"Last snapshot: "&amp;LEFT(LOOKUP(2,1/(tblEpisodes[snapshot_at]&lt;&gt;""),tblEpisodes[snapshot_at]),10)</f>
        <v>Last snapshot: 2026-08-12</v>
      </c>
      <c r="K2" s="4"/>
      <c r="L2" s="4"/>
    </row>
    <row r="3" spans="1:12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22.05" customHeight="1" x14ac:dyDescent="0.45">
      <c r="A4" s="11" t="s">
        <v>7232</v>
      </c>
      <c r="B4" s="5"/>
      <c r="C4" s="5"/>
      <c r="D4" s="12" t="s">
        <v>7233</v>
      </c>
      <c r="E4" s="6"/>
      <c r="F4" s="6"/>
      <c r="G4" s="13" t="s">
        <v>7234</v>
      </c>
      <c r="H4" s="7"/>
      <c r="I4" s="7"/>
      <c r="J4" s="14" t="s">
        <v>7235</v>
      </c>
      <c r="K4" s="8"/>
      <c r="L4" s="8"/>
    </row>
    <row r="5" spans="1:12" ht="22.05" customHeight="1" x14ac:dyDescent="0.45">
      <c r="A5" s="5"/>
      <c r="B5" s="5"/>
      <c r="C5" s="5"/>
      <c r="D5" s="6"/>
      <c r="E5" s="6"/>
      <c r="F5" s="6"/>
      <c r="G5" s="7"/>
      <c r="H5" s="7"/>
      <c r="I5" s="7"/>
      <c r="J5" s="8"/>
      <c r="K5" s="8"/>
      <c r="L5" s="8"/>
    </row>
    <row r="6" spans="1:12" ht="22.05" customHeight="1" x14ac:dyDescent="0.45">
      <c r="A6" s="17">
        <f>ROWS(tblEpisodes[show_id])</f>
        <v>1390</v>
      </c>
      <c r="B6" s="5"/>
      <c r="C6" s="5"/>
      <c r="D6" s="18">
        <f>COUNTIF(tblEpisodes[review_status],"INCLUDE")</f>
        <v>759</v>
      </c>
      <c r="E6" s="6"/>
      <c r="F6" s="6"/>
      <c r="G6" s="19">
        <f>IFERROR(COUNTIF(tblEpisodes[review_status],"INCLUDE")/ROWS(tblEpisodes[show_id]),0)</f>
        <v>0.54604316546762588</v>
      </c>
      <c r="H6" s="7"/>
      <c r="I6" s="7"/>
      <c r="J6" s="20">
        <f>SUMIFS(tblEpisodes[view_count],tblEpisodes[review_status],"INCLUDE")</f>
        <v>2802157694</v>
      </c>
      <c r="K6" s="8"/>
      <c r="L6" s="8"/>
    </row>
    <row r="7" spans="1:12" ht="22.05" customHeight="1" x14ac:dyDescent="0.45">
      <c r="A7" s="5"/>
      <c r="B7" s="5"/>
      <c r="C7" s="5"/>
      <c r="D7" s="6"/>
      <c r="E7" s="6"/>
      <c r="F7" s="6"/>
      <c r="G7" s="7"/>
      <c r="H7" s="7"/>
      <c r="I7" s="7"/>
      <c r="J7" s="8"/>
      <c r="K7" s="8"/>
      <c r="L7" s="8"/>
    </row>
    <row r="8" spans="1:12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ht="22.05" customHeight="1" x14ac:dyDescent="0.45">
      <c r="A9" s="11" t="s">
        <v>7236</v>
      </c>
      <c r="B9" s="5"/>
      <c r="C9" s="5"/>
      <c r="D9" s="15" t="s">
        <v>7237</v>
      </c>
      <c r="E9" s="9"/>
      <c r="F9" s="9"/>
      <c r="G9" s="12" t="s">
        <v>7238</v>
      </c>
      <c r="H9" s="6"/>
      <c r="I9" s="6"/>
      <c r="J9" s="16" t="s">
        <v>7239</v>
      </c>
      <c r="K9" s="10"/>
      <c r="L9" s="10"/>
    </row>
    <row r="10" spans="1:12" ht="22.05" customHeight="1" x14ac:dyDescent="0.45">
      <c r="A10" s="5"/>
      <c r="B10" s="5"/>
      <c r="C10" s="5"/>
      <c r="D10" s="9"/>
      <c r="E10" s="9"/>
      <c r="F10" s="9"/>
      <c r="G10" s="6"/>
      <c r="H10" s="6"/>
      <c r="I10" s="6"/>
      <c r="J10" s="10"/>
      <c r="K10" s="10"/>
      <c r="L10" s="10"/>
    </row>
    <row r="11" spans="1:12" ht="22.05" customHeight="1" x14ac:dyDescent="0.45">
      <c r="A11" s="17" cm="1">
        <f t="array" ref="A11">COUNTA(_xlfn.UNIQUE(_xlfn._xlws.FILTER(tblEpisodes[show_name],tblEpisodes[show_name]&lt;&gt;"")))</f>
        <v>25</v>
      </c>
      <c r="B11" s="5"/>
      <c r="C11" s="5"/>
      <c r="D11" s="21" cm="1">
        <f t="array" ref="D11">COUNTA(_xlfn.UNIQUE(_xlfn._xlws.FILTER(tblEpisodes[season_id],tblEpisodes[season_id]&lt;&gt;"")))</f>
        <v>53</v>
      </c>
      <c r="E11" s="9"/>
      <c r="F11" s="9"/>
      <c r="G11" s="22">
        <f>IFERROR(AVERAGEIFS(tblEpisodes[view_count],tblEpisodes[review_status],"INCLUDE"),0)</f>
        <v>3691907.370223979</v>
      </c>
      <c r="H11" s="6"/>
      <c r="I11" s="6"/>
      <c r="J11" s="23">
        <f>COUNTIF(tblEpisodes[review_status],"REVIEW")</f>
        <v>72</v>
      </c>
      <c r="K11" s="10"/>
      <c r="L11" s="10"/>
    </row>
    <row r="12" spans="1:12" ht="22.05" customHeight="1" x14ac:dyDescent="0.45">
      <c r="A12" s="5"/>
      <c r="B12" s="5"/>
      <c r="C12" s="5"/>
      <c r="D12" s="9"/>
      <c r="E12" s="9"/>
      <c r="F12" s="9"/>
      <c r="G12" s="6"/>
      <c r="H12" s="6"/>
      <c r="I12" s="6"/>
      <c r="J12" s="10"/>
      <c r="K12" s="10"/>
      <c r="L12" s="10"/>
    </row>
    <row r="13" spans="1:12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22.05" customHeight="1" x14ac:dyDescent="0.45">
      <c r="A14" s="31" t="s">
        <v>7240</v>
      </c>
      <c r="B14" s="31"/>
      <c r="C14" s="31"/>
      <c r="D14" s="31"/>
      <c r="E14" s="31"/>
      <c r="F14" s="31"/>
      <c r="G14" s="31" t="s">
        <v>7241</v>
      </c>
      <c r="H14" s="31"/>
      <c r="I14" s="31"/>
      <c r="J14" s="31"/>
      <c r="K14" s="31"/>
      <c r="L14" s="31"/>
    </row>
    <row r="15" spans="1:12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22.05" customHeight="1" x14ac:dyDescent="0.45">
      <c r="A47" s="31" t="s">
        <v>7242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</row>
    <row r="48" spans="1:12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22.05" customHeight="1" x14ac:dyDescent="0.45">
      <c r="A49" s="24" t="s">
        <v>7243</v>
      </c>
      <c r="B49" s="24" t="s">
        <v>7244</v>
      </c>
      <c r="C49" s="24" t="s">
        <v>7245</v>
      </c>
      <c r="D49" s="24" t="s">
        <v>7246</v>
      </c>
      <c r="E49" s="24" t="s">
        <v>7247</v>
      </c>
      <c r="F49" s="24" t="s">
        <v>7248</v>
      </c>
      <c r="G49" s="1"/>
      <c r="H49" s="1"/>
      <c r="I49" s="1"/>
      <c r="J49" s="1"/>
      <c r="K49" s="1"/>
      <c r="L49" s="1"/>
    </row>
    <row r="50" spans="1:12" ht="34.049999999999997" customHeight="1" x14ac:dyDescent="0.45">
      <c r="A50" s="25" t="str" cm="1">
        <f t="array" ref="A50:F59">_xlfn.LET(_xlpm.f,tblEpisodes[review_status]="INCLUDE",_xlpm.t,LEFT(tblEpisodes[title],80)&amp;IF(LEN(tblEpisodes[title])&gt;80,"…",""),_xlpm.d,_xlfn._xlws.FILTER(CHOOSE({1,2,3,4,5,6},tblEpisodes[show_name],tblEpisodes[season_year],tblEpisodes[episode_no],_xlpm.t,tblEpisodes[view_count],tblEpisodes[lifetime_views_per_day]),_xlpm.f),_xlfn.TAKE(_xlfn.SORTBY(_xlpm.d,INDEX(_xlpm.d,,5),-1),10))</f>
        <v>Anh Trai "Say Hi"</v>
      </c>
      <c r="B50" s="26">
        <v>2025</v>
      </c>
      <c r="C50" s="26">
        <v>1</v>
      </c>
      <c r="D50" s="27" t="str">
        <v>Anh Trai Say Hi - Tập 1: Cú "knock out" bất ngờ sẽ là BẢNH team ATUS hay I.C.O.N…</v>
      </c>
      <c r="E50" s="28">
        <v>21913071</v>
      </c>
      <c r="F50" s="28">
        <v>27817.51</v>
      </c>
      <c r="G50" s="1"/>
      <c r="H50" s="1"/>
      <c r="I50" s="1"/>
      <c r="J50" s="1"/>
      <c r="K50" s="1"/>
      <c r="L50" s="1"/>
    </row>
    <row r="51" spans="1:12" ht="34.049999999999997" customHeight="1" x14ac:dyDescent="0.45">
      <c r="A51" s="25" t="str">
        <v>Anh Trai "Say Hi"</v>
      </c>
      <c r="B51" s="26">
        <v>2024</v>
      </c>
      <c r="C51" s="26">
        <v>1</v>
      </c>
      <c r="D51" s="27" t="str">
        <v>Anh Trai Say Hi - Tập 1: Cú "knock out" bất ngờ sẽ là BẢNH team ATUS hay I.C.O.N…</v>
      </c>
      <c r="E51" s="28">
        <v>21912757</v>
      </c>
      <c r="F51" s="28">
        <v>27818.76</v>
      </c>
      <c r="G51" s="1"/>
      <c r="H51" s="1"/>
      <c r="I51" s="1"/>
      <c r="J51" s="1"/>
      <c r="K51" s="1"/>
      <c r="L51" s="1"/>
    </row>
    <row r="52" spans="1:12" ht="34.049999999999997" customHeight="1" x14ac:dyDescent="0.45">
      <c r="A52" s="25" t="str">
        <v>2 Ngày 1 Đêm</v>
      </c>
      <c r="B52" s="26">
        <v>2022</v>
      </c>
      <c r="C52" s="26">
        <v>27</v>
      </c>
      <c r="D52" s="27" t="str">
        <v>2 Ngày 1 Đêm Việt Nam - Tập 27: Kiều Minh Tuấn "come out", Trường Giang "trốn ch…</v>
      </c>
      <c r="E52" s="28">
        <v>20222572</v>
      </c>
      <c r="F52" s="28">
        <v>15667.88</v>
      </c>
      <c r="G52" s="1"/>
      <c r="H52" s="1"/>
      <c r="I52" s="1"/>
      <c r="J52" s="1"/>
      <c r="K52" s="1"/>
      <c r="L52" s="1"/>
    </row>
    <row r="53" spans="1:12" ht="34.049999999999997" customHeight="1" x14ac:dyDescent="0.45">
      <c r="A53" s="25" t="str">
        <v>Anh Trai "Say Hi"</v>
      </c>
      <c r="B53" s="26">
        <v>2024</v>
      </c>
      <c r="C53" s="26">
        <v>14</v>
      </c>
      <c r="D53" s="27" t="str">
        <v>Anh Trai Say Hi Tập 14: Đêm Chung Kết - Công Bố &amp; Trao Giải</v>
      </c>
      <c r="E53" s="28">
        <v>18968047</v>
      </c>
      <c r="F53" s="28">
        <v>27232.3</v>
      </c>
      <c r="G53" s="1"/>
      <c r="H53" s="1"/>
      <c r="I53" s="1"/>
      <c r="J53" s="1"/>
      <c r="K53" s="1"/>
      <c r="L53" s="1"/>
    </row>
    <row r="54" spans="1:12" ht="34.049999999999997" customHeight="1" x14ac:dyDescent="0.45">
      <c r="A54" s="25" t="str">
        <v>Anh Trai "Say Hi"</v>
      </c>
      <c r="B54" s="26">
        <v>2025</v>
      </c>
      <c r="C54" s="26">
        <v>3</v>
      </c>
      <c r="D54" s="27" t="str">
        <v>Anh Trai Say Hi - Tập 3: Đại chiến hồ bơi của quản gia Dương Lâm và 30 Anh Trai,…</v>
      </c>
      <c r="E54" s="28">
        <v>18375739</v>
      </c>
      <c r="F54" s="28">
        <v>23749.13</v>
      </c>
      <c r="G54" s="1"/>
      <c r="H54" s="1"/>
      <c r="I54" s="1"/>
      <c r="J54" s="1"/>
      <c r="K54" s="1"/>
      <c r="L54" s="1"/>
    </row>
    <row r="55" spans="1:12" ht="34.049999999999997" customHeight="1" x14ac:dyDescent="0.45">
      <c r="A55" s="25" t="str">
        <v>Anh Trai "Say Hi"</v>
      </c>
      <c r="B55" s="26">
        <v>2024</v>
      </c>
      <c r="C55" s="26">
        <v>3</v>
      </c>
      <c r="D55" s="27" t="str">
        <v>Anh Trai Say Hi - Tập 3: Đại chiến hồ bơi của quản gia Dương Lâm và 30 Anh Trai,…</v>
      </c>
      <c r="E55" s="28">
        <v>18375507</v>
      </c>
      <c r="F55" s="28">
        <v>23750.26</v>
      </c>
      <c r="G55" s="1"/>
      <c r="H55" s="1"/>
      <c r="I55" s="1"/>
      <c r="J55" s="1"/>
      <c r="K55" s="1"/>
      <c r="L55" s="1"/>
    </row>
    <row r="56" spans="1:12" ht="34.049999999999997" customHeight="1" x14ac:dyDescent="0.45">
      <c r="A56" s="25" t="str">
        <v>Anh Trai "Say Hi"</v>
      </c>
      <c r="B56" s="26">
        <v>2024</v>
      </c>
      <c r="C56" s="26">
        <v>11</v>
      </c>
      <c r="D56" s="27" t="str">
        <v>Anh Trai Say Hi Tập 11: Team HURRYKNG - Atus tạo bất ngờ lớn, hé lộ dàn anh trai…</v>
      </c>
      <c r="E56" s="28">
        <v>18120697</v>
      </c>
      <c r="F56" s="28">
        <v>25248.39</v>
      </c>
      <c r="G56" s="1"/>
      <c r="H56" s="1"/>
      <c r="I56" s="1"/>
      <c r="J56" s="1"/>
      <c r="K56" s="1"/>
      <c r="L56" s="1"/>
    </row>
    <row r="57" spans="1:12" ht="34.049999999999997" customHeight="1" x14ac:dyDescent="0.45">
      <c r="A57" s="25" t="str">
        <v>Running Man Vietnam</v>
      </c>
      <c r="B57" s="26">
        <v>2025</v>
      </c>
      <c r="C57" s="26">
        <v>1</v>
      </c>
      <c r="D57" s="27" t="str">
        <v>RUNNING MAN VIETNAM MÙA 3 - CHẠY NGAY ĐI | TẬP 01: Cuộc Đi Săn Đầu Tiên</v>
      </c>
      <c r="E57" s="28">
        <v>17858870</v>
      </c>
      <c r="F57" s="28">
        <v>57282.6</v>
      </c>
      <c r="G57" s="1"/>
      <c r="H57" s="1"/>
      <c r="I57" s="1"/>
      <c r="J57" s="1"/>
      <c r="K57" s="1"/>
      <c r="L57" s="1"/>
    </row>
    <row r="58" spans="1:12" ht="34.049999999999997" customHeight="1" x14ac:dyDescent="0.45">
      <c r="A58" s="25" t="str">
        <v>Sao Nhập Ngũ</v>
      </c>
      <c r="B58" s="26">
        <v>2022</v>
      </c>
      <c r="C58" s="26">
        <v>1</v>
      </c>
      <c r="D58" s="27" t="str">
        <v>SAO NHẬP NGŨ 2022 l TẬP 1 l  Dàn Cast "Khủng" Hứa Sẽ Nghiêm Túc Nhập Ngũ Và Cái …</v>
      </c>
      <c r="E58" s="28">
        <v>17175643</v>
      </c>
      <c r="F58" s="28">
        <v>10597.38</v>
      </c>
      <c r="G58" s="1"/>
      <c r="H58" s="1"/>
      <c r="I58" s="1"/>
      <c r="J58" s="1"/>
      <c r="K58" s="1"/>
      <c r="L58" s="1"/>
    </row>
    <row r="59" spans="1:12" ht="34.049999999999997" customHeight="1" x14ac:dyDescent="0.45">
      <c r="A59" s="25" t="str">
        <v>Anh Trai "Say Hi"</v>
      </c>
      <c r="B59" s="26">
        <v>2024</v>
      </c>
      <c r="C59" s="26">
        <v>9</v>
      </c>
      <c r="D59" s="27" t="str">
        <v>Anh Trai Say Hi Tập 9: Hội anh em - hội kịch liên tục hội ngộ, vô số anh trai đá…</v>
      </c>
      <c r="E59" s="28">
        <v>16362008</v>
      </c>
      <c r="F59" s="28">
        <v>22577.72</v>
      </c>
      <c r="G59" s="1"/>
      <c r="H59" s="1"/>
      <c r="I59" s="1"/>
      <c r="J59" s="1"/>
      <c r="K59" s="1"/>
      <c r="L59" s="1"/>
    </row>
    <row r="60" spans="1:12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20" customHeight="1" x14ac:dyDescent="0.45">
      <c r="A65" s="29" t="s">
        <v>7249</v>
      </c>
      <c r="B65" s="29" t="s">
        <v>7250</v>
      </c>
      <c r="C65" s="1"/>
      <c r="D65" s="29" t="s">
        <v>7244</v>
      </c>
      <c r="E65" s="29" t="s">
        <v>7250</v>
      </c>
      <c r="F65" s="1"/>
      <c r="G65" s="29" t="s">
        <v>7243</v>
      </c>
      <c r="H65" s="29" t="s">
        <v>7233</v>
      </c>
      <c r="I65" s="1"/>
      <c r="J65" s="29" t="s">
        <v>7243</v>
      </c>
      <c r="K65" s="29" t="s">
        <v>7235</v>
      </c>
      <c r="L65" s="1"/>
    </row>
    <row r="66" spans="1:12" x14ac:dyDescent="0.45">
      <c r="A66" s="1" t="s">
        <v>71</v>
      </c>
      <c r="B66" s="30">
        <f>COUNTIF(tblEpisodes[review_status],A66)</f>
        <v>759</v>
      </c>
      <c r="C66" s="1"/>
      <c r="D66" s="1" cm="1">
        <f t="array" ref="D66:D75">_xlfn._xlws.SORT(_xlfn.UNIQUE(_xlfn._xlws.FILTER(tblEpisodes[season_year],tblEpisodes[season_year]&lt;&gt;"")))</f>
        <v>2017</v>
      </c>
      <c r="E66" s="30" cm="1">
        <f t="array" ref="E66:E75">COUNTIF(tblEpisodes[season_year],_xlfn.ANCHORARRAY(D66))</f>
        <v>37</v>
      </c>
      <c r="F66" s="1"/>
      <c r="G66" s="1" t="str" cm="1">
        <f t="array" ref="G66:H75">_xlfn.LET(_xlpm.s,_xlfn.UNIQUE(_xlfn._xlws.FILTER(tblEpisodes[show_name],tblEpisodes[show_name]&lt;&gt;"")),_xlpm.c,COUNTIFS(tblEpisodes[show_name],_xlpm.s,tblEpisodes[review_status],"INCLUDE"),_xlfn.TAKE(_xlfn.SORTBY(CHOOSE({1,2},_xlpm.s,_xlpm.c),_xlpm.c,-1),10))</f>
        <v>Mái Ấm Gia Đình Việt</v>
      </c>
      <c r="H66" s="30">
        <v>175</v>
      </c>
      <c r="I66" s="1"/>
      <c r="J66" s="1" t="str" cm="1">
        <f t="array" ref="J66:K75">_xlfn.LET(_xlpm.s,_xlfn.UNIQUE(_xlfn._xlws.FILTER(tblEpisodes[show_name],tblEpisodes[show_name]&lt;&gt;"")),_xlpm.v,SUMIFS(tblEpisodes[view_count],tblEpisodes[show_name],_xlpm.s,tblEpisodes[review_status],"INCLUDE"),_xlfn.TAKE(_xlfn.SORTBY(CHOOSE({1,2},_xlpm.s,_xlpm.v),_xlpm.v,-1),10))</f>
        <v>2 Ngày 1 Đêm</v>
      </c>
      <c r="K66" s="30">
        <v>650157367</v>
      </c>
      <c r="L66" s="1"/>
    </row>
    <row r="67" spans="1:12" x14ac:dyDescent="0.45">
      <c r="A67" s="1" t="s">
        <v>60</v>
      </c>
      <c r="B67" s="30">
        <f>COUNTIF(tblEpisodes[review_status],A67)</f>
        <v>559</v>
      </c>
      <c r="C67" s="1"/>
      <c r="D67" s="1">
        <v>2018</v>
      </c>
      <c r="E67" s="30">
        <v>48</v>
      </c>
      <c r="F67" s="1"/>
      <c r="G67" s="1" t="str">
        <v>Sao Nhập Ngũ</v>
      </c>
      <c r="H67" s="30">
        <v>141</v>
      </c>
      <c r="I67" s="1"/>
      <c r="J67" s="1" t="str">
        <v>Sao Nhập Ngũ</v>
      </c>
      <c r="K67" s="30">
        <v>453881943</v>
      </c>
      <c r="L67" s="1"/>
    </row>
    <row r="68" spans="1:12" x14ac:dyDescent="0.45">
      <c r="A68" s="1" t="s">
        <v>387</v>
      </c>
      <c r="B68" s="30">
        <f>COUNTIF(tblEpisodes[review_status],A68)</f>
        <v>72</v>
      </c>
      <c r="C68" s="1"/>
      <c r="D68" s="1">
        <v>2019</v>
      </c>
      <c r="E68" s="30">
        <v>19</v>
      </c>
      <c r="F68" s="1"/>
      <c r="G68" s="1" t="str">
        <v>2 Ngày 1 Đêm</v>
      </c>
      <c r="H68" s="30">
        <v>96</v>
      </c>
      <c r="I68" s="1"/>
      <c r="J68" s="1" t="str">
        <v>Running Man Vietnam</v>
      </c>
      <c r="K68" s="30">
        <v>327133338</v>
      </c>
      <c r="L68" s="1"/>
    </row>
    <row r="69" spans="1:12" x14ac:dyDescent="0.45">
      <c r="A69" s="1"/>
      <c r="B69" s="1"/>
      <c r="C69" s="1"/>
      <c r="D69" s="1">
        <v>2020</v>
      </c>
      <c r="E69" s="30">
        <v>39</v>
      </c>
      <c r="F69" s="1"/>
      <c r="G69" s="1" t="str">
        <v>Xuân Hạ Thu Đông, Rồi Lại Xuân</v>
      </c>
      <c r="H69" s="30">
        <v>35</v>
      </c>
      <c r="I69" s="1"/>
      <c r="J69" s="1" t="str">
        <v>Anh Trai "Say Hi"</v>
      </c>
      <c r="K69" s="30">
        <v>319204882</v>
      </c>
      <c r="L69" s="1"/>
    </row>
    <row r="70" spans="1:12" x14ac:dyDescent="0.45">
      <c r="A70" s="1"/>
      <c r="B70" s="1"/>
      <c r="C70" s="1"/>
      <c r="D70" s="1">
        <v>2021</v>
      </c>
      <c r="E70" s="30">
        <v>42</v>
      </c>
      <c r="F70" s="1"/>
      <c r="G70" s="1" t="str">
        <v>Running Man Vietnam</v>
      </c>
      <c r="H70" s="30">
        <v>31</v>
      </c>
      <c r="I70" s="1"/>
      <c r="J70" s="1" t="str">
        <v>Hành Trình Rực Rỡ</v>
      </c>
      <c r="K70" s="30">
        <v>160120477</v>
      </c>
      <c r="L70" s="1"/>
    </row>
    <row r="71" spans="1:12" x14ac:dyDescent="0.45">
      <c r="A71" s="1"/>
      <c r="B71" s="1"/>
      <c r="C71" s="1"/>
      <c r="D71" s="1">
        <v>2022</v>
      </c>
      <c r="E71" s="30">
        <v>257</v>
      </c>
      <c r="F71" s="1"/>
      <c r="G71" s="1" t="str">
        <v>Chị Đẹp Đạp Gió</v>
      </c>
      <c r="H71" s="30">
        <v>30</v>
      </c>
      <c r="I71" s="1"/>
      <c r="J71" s="1" t="str">
        <v>Rap Việt</v>
      </c>
      <c r="K71" s="30">
        <v>144069314</v>
      </c>
      <c r="L71" s="1"/>
    </row>
    <row r="72" spans="1:12" x14ac:dyDescent="0.45">
      <c r="A72" s="1"/>
      <c r="B72" s="1"/>
      <c r="C72" s="1"/>
      <c r="D72" s="1">
        <v>2023</v>
      </c>
      <c r="E72" s="30">
        <v>214</v>
      </c>
      <c r="F72" s="1"/>
      <c r="G72" s="1" t="str">
        <v>Anh Trai "Say Hi"</v>
      </c>
      <c r="H72" s="30">
        <v>28</v>
      </c>
      <c r="I72" s="1"/>
      <c r="J72" s="1" t="str">
        <v>Em Xinh "Say Hi"</v>
      </c>
      <c r="K72" s="30">
        <v>120605993</v>
      </c>
      <c r="L72" s="1"/>
    </row>
    <row r="73" spans="1:12" x14ac:dyDescent="0.45">
      <c r="A73" s="1"/>
      <c r="B73" s="1"/>
      <c r="C73" s="1"/>
      <c r="D73" s="1">
        <v>2024</v>
      </c>
      <c r="E73" s="30">
        <v>296</v>
      </c>
      <c r="F73" s="1"/>
      <c r="G73" s="1" t="str">
        <v>Anh Trai Vượt Ngàn Chông Gai</v>
      </c>
      <c r="H73" s="30">
        <v>21</v>
      </c>
      <c r="I73" s="1"/>
      <c r="J73" s="1" t="str">
        <v>Chị Đẹp Đạp Gió</v>
      </c>
      <c r="K73" s="30">
        <v>101075172</v>
      </c>
      <c r="L73" s="1"/>
    </row>
    <row r="74" spans="1:12" x14ac:dyDescent="0.45">
      <c r="A74" s="1"/>
      <c r="B74" s="1"/>
      <c r="C74" s="1"/>
      <c r="D74" s="1">
        <v>2025</v>
      </c>
      <c r="E74" s="30">
        <v>304</v>
      </c>
      <c r="F74" s="1"/>
      <c r="G74" s="1" t="str">
        <v>Hành Trình Rực Rỡ</v>
      </c>
      <c r="H74" s="30">
        <v>21</v>
      </c>
      <c r="I74" s="1"/>
      <c r="J74" s="1" t="str">
        <v>Anh Trai Vượt Ngàn Chông Gai</v>
      </c>
      <c r="K74" s="30">
        <v>93609748</v>
      </c>
      <c r="L74" s="1"/>
    </row>
    <row r="75" spans="1:12" x14ac:dyDescent="0.45">
      <c r="A75" s="1"/>
      <c r="B75" s="1"/>
      <c r="C75" s="1"/>
      <c r="D75" s="1">
        <v>2026</v>
      </c>
      <c r="E75" s="30">
        <v>134</v>
      </c>
      <c r="F75" s="1"/>
      <c r="G75" s="1" t="str">
        <v>Rap Việt</v>
      </c>
      <c r="H75" s="30">
        <v>16</v>
      </c>
      <c r="I75" s="1"/>
      <c r="J75" s="1" t="str">
        <v>Tân Binh Toàn Năng</v>
      </c>
      <c r="K75" s="30">
        <v>71120478</v>
      </c>
      <c r="L75" s="1"/>
    </row>
    <row r="76" spans="1:12" x14ac:dyDescent="0.45">
      <c r="A76" s="1"/>
      <c r="B76" s="1"/>
      <c r="C76" s="1"/>
      <c r="D76" s="1"/>
      <c r="E76" s="30"/>
      <c r="F76" s="1"/>
      <c r="G76" s="1"/>
      <c r="H76" s="1"/>
      <c r="I76" s="1"/>
      <c r="J76" s="1"/>
      <c r="K76" s="1"/>
      <c r="L76" s="1"/>
    </row>
    <row r="77" spans="1:12" x14ac:dyDescent="0.45">
      <c r="A77" s="1"/>
      <c r="B77" s="1"/>
      <c r="C77" s="1"/>
      <c r="D77" s="1"/>
      <c r="E77" s="30"/>
      <c r="F77" s="1"/>
      <c r="G77" s="1"/>
      <c r="H77" s="1"/>
      <c r="I77" s="1"/>
      <c r="J77" s="1"/>
      <c r="K77" s="1"/>
      <c r="L77" s="1"/>
    </row>
    <row r="78" spans="1:12" x14ac:dyDescent="0.45">
      <c r="A78" s="1"/>
      <c r="B78" s="1"/>
      <c r="C78" s="1"/>
      <c r="D78" s="1"/>
      <c r="E78" s="30"/>
      <c r="F78" s="1"/>
      <c r="G78" s="1"/>
      <c r="H78" s="1"/>
      <c r="I78" s="1"/>
      <c r="J78" s="1"/>
      <c r="K78" s="1"/>
      <c r="L78" s="1"/>
    </row>
    <row r="79" spans="1:12" x14ac:dyDescent="0.45">
      <c r="A79" s="1"/>
      <c r="B79" s="1"/>
      <c r="C79" s="1"/>
      <c r="D79" s="1"/>
      <c r="E79" s="30"/>
      <c r="F79" s="1"/>
      <c r="G79" s="1"/>
      <c r="H79" s="1"/>
      <c r="I79" s="1"/>
      <c r="J79" s="1"/>
      <c r="K79" s="1"/>
      <c r="L79" s="1"/>
    </row>
    <row r="80" spans="1:12" x14ac:dyDescent="0.45">
      <c r="A80" s="1"/>
      <c r="B80" s="1"/>
      <c r="C80" s="1"/>
      <c r="D80" s="1"/>
      <c r="E80" s="30"/>
      <c r="F80" s="1"/>
      <c r="G80" s="1"/>
      <c r="H80" s="1"/>
      <c r="I80" s="1"/>
      <c r="J80" s="1"/>
      <c r="K80" s="1"/>
      <c r="L8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episode_registry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Kiet Vo</cp:lastModifiedBy>
  <dcterms:created xsi:type="dcterms:W3CDTF">2026-08-12T11:44:01Z</dcterms:created>
  <dcterms:modified xsi:type="dcterms:W3CDTF">2026-08-12T11:44:01Z</dcterms:modified>
</cp:coreProperties>
</file>